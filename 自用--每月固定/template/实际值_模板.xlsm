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aveExternalLinkValues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yun\Desktop\work\绩效\"/>
    </mc:Choice>
  </mc:AlternateContent>
  <xr:revisionPtr revIDLastSave="0" documentId="13_ncr:1_{1E56F133-3371-49C7-B84C-ED58B16FE8D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结果" sheetId="1" r:id="rId1"/>
    <sheet name="固定数据" sheetId="2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结果!$A$1:$AZ$84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75" i="1" l="1"/>
  <c r="BA6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6" i="1"/>
  <c r="BA77" i="1"/>
  <c r="BA78" i="1"/>
  <c r="BA79" i="1"/>
  <c r="BA80" i="1"/>
  <c r="BA81" i="1"/>
  <c r="BA82" i="1"/>
  <c r="BA83" i="1"/>
  <c r="BA84" i="1"/>
  <c r="BA7" i="1"/>
  <c r="T17" i="1" a="1"/>
  <c r="T25" i="1" a="1"/>
  <c r="O36" i="1" a="1"/>
  <c r="T28" i="1" a="1"/>
  <c r="N75" i="1" a="1"/>
  <c r="T26" i="1" a="1"/>
  <c r="N79" i="1" a="1"/>
  <c r="N74" i="1" a="1"/>
  <c r="O70" i="1" a="1"/>
  <c r="N10" i="1" a="1"/>
  <c r="N47" i="1" a="1"/>
  <c r="N49" i="1" a="1"/>
  <c r="N80" i="1" a="1"/>
  <c r="T73" i="1" a="1"/>
  <c r="M12" i="1" a="1"/>
  <c r="T52" i="1" a="1"/>
  <c r="M15" i="1" a="1"/>
  <c r="T21" i="1" a="1"/>
  <c r="M80" i="1" a="1"/>
  <c r="O83" i="1" a="1"/>
  <c r="M22" i="1" a="1"/>
  <c r="T15" i="1" a="1"/>
  <c r="T35" i="1" a="1"/>
  <c r="M36" i="1" a="1"/>
  <c r="T16" i="1" a="1"/>
  <c r="O67" i="1" a="1"/>
  <c r="T67" i="1" a="1"/>
  <c r="M31" i="1" a="1"/>
  <c r="M38" i="1" a="1"/>
  <c r="M11" i="1" a="1"/>
  <c r="O82" i="1" a="1"/>
  <c r="N17" i="1" a="1"/>
  <c r="O42" i="1" a="1"/>
  <c r="M68" i="1" a="1"/>
  <c r="T55" i="1" a="1"/>
  <c r="M48" i="1" a="1"/>
  <c r="T56" i="1" a="1"/>
  <c r="M7" i="1" a="1"/>
  <c r="T50" i="1" a="1"/>
  <c r="T49" i="1" a="1"/>
  <c r="O14" i="1" a="1"/>
  <c r="M63" i="1" a="1"/>
  <c r="M43" i="1" a="1"/>
  <c r="T45" i="1" a="1"/>
  <c r="T36" i="1" a="1"/>
  <c r="N40" i="1" a="1"/>
  <c r="T77" i="1" a="1"/>
  <c r="M21" i="1" a="1"/>
  <c r="N56" i="1" a="1"/>
  <c r="N62" i="1" a="1"/>
  <c r="O71" i="1" a="1"/>
  <c r="T57" i="1" a="1"/>
  <c r="N12" i="1" a="1"/>
  <c r="O11" i="1" a="1"/>
  <c r="T47" i="1" a="1"/>
  <c r="O10" i="1" a="1"/>
  <c r="T43" i="1" a="1"/>
  <c r="N7" i="1" a="1"/>
  <c r="T9" i="1" a="1"/>
  <c r="T19" i="1" a="1"/>
  <c r="T29" i="1" a="1"/>
  <c r="T69" i="1" a="1"/>
  <c r="M9" i="1" a="1"/>
  <c r="M82" i="1" a="1"/>
  <c r="T60" i="1" a="1"/>
  <c r="T40" i="1" a="1"/>
  <c r="N18" i="1" a="1"/>
  <c r="T58" i="1" a="1"/>
  <c r="M25" i="1" a="1"/>
  <c r="T14" i="1" a="1"/>
  <c r="O19" i="1" a="1"/>
  <c r="T33" i="1" a="1"/>
  <c r="T51" i="1" a="1"/>
  <c r="N24" i="1" a="1"/>
  <c r="M51" i="1" a="1"/>
  <c r="T7" i="1" a="1"/>
  <c r="N83" i="1" a="1"/>
  <c r="T54" i="1" a="1"/>
  <c r="T23" i="1" a="1"/>
  <c r="M47" i="1" a="1"/>
  <c r="T12" i="1" a="1"/>
  <c r="N26" i="1" a="1"/>
  <c r="T84" i="1" a="1"/>
  <c r="N32" i="1" a="1"/>
  <c r="N20" i="1" a="1"/>
  <c r="T64" i="1" a="1"/>
  <c r="T78" i="1" a="1"/>
  <c r="N11" i="1" a="1"/>
  <c r="M37" i="1" a="1"/>
  <c r="N41" i="1" a="1"/>
  <c r="T65" i="1" a="1"/>
  <c r="O15" i="1" a="1"/>
  <c r="T18" i="1" a="1"/>
  <c r="T44" i="1" a="1"/>
  <c r="O24" i="1" a="1"/>
  <c r="O58" i="1" a="1"/>
  <c r="T82" i="1" a="1"/>
  <c r="O49" i="1" a="1"/>
  <c r="O46" i="1" a="1"/>
  <c r="T76" i="1" a="1"/>
  <c r="N23" i="1" a="1"/>
  <c r="T32" i="1" a="1"/>
  <c r="M24" i="1" a="1"/>
  <c r="O18" i="1" a="1"/>
  <c r="M56" i="1" a="1"/>
  <c r="M8" i="1" a="1"/>
  <c r="N61" i="1" a="1"/>
  <c r="O39" i="1" a="1"/>
  <c r="O35" i="1" a="1"/>
  <c r="N64" i="1" a="1"/>
  <c r="O21" i="1" a="1"/>
  <c r="T70" i="1" a="1"/>
  <c r="M6" i="1" a="1"/>
  <c r="T38" i="1" a="1"/>
  <c r="T48" i="1" a="1"/>
  <c r="N65" i="1" a="1"/>
  <c r="M30" i="1" a="1"/>
  <c r="T42" i="1" a="1"/>
  <c r="N22" i="1" a="1"/>
  <c r="O57" i="1" a="1"/>
  <c r="N52" i="1" a="1"/>
  <c r="O47" i="1" a="1"/>
  <c r="T62" i="1" a="1"/>
  <c r="N69" i="1" a="1"/>
  <c r="N55" i="1" a="1"/>
  <c r="M26" i="1" a="1"/>
  <c r="T6" i="1" a="1"/>
  <c r="N66" i="1" a="1"/>
  <c r="N58" i="1" a="1"/>
  <c r="M74" i="1" a="1"/>
  <c r="M14" i="1" a="1"/>
  <c r="O9" i="1" a="1"/>
  <c r="T27" i="1" a="1"/>
  <c r="O50" i="1" a="1"/>
  <c r="T68" i="1" a="1"/>
  <c r="T31" i="1" a="1"/>
  <c r="T63" i="1" a="1"/>
  <c r="M39" i="1" a="1"/>
  <c r="T83" i="1" a="1"/>
  <c r="T41" i="1" a="1"/>
  <c r="O65" i="1" a="1"/>
  <c r="O28" i="1" a="1"/>
  <c r="N29" i="1" a="1"/>
  <c r="T37" i="1" a="1"/>
  <c r="N48" i="1" a="1"/>
  <c r="N46" i="1" a="1"/>
  <c r="N71" i="1" a="1"/>
  <c r="M65" i="1" a="1"/>
  <c r="N8" i="1" a="1"/>
  <c r="O69" i="1" a="1"/>
  <c r="N37" i="1" a="1"/>
  <c r="O43" i="1" a="1"/>
  <c r="N67" i="1" a="1"/>
  <c r="T53" i="1" a="1"/>
  <c r="O84" i="1" a="1"/>
  <c r="T72" i="1" a="1"/>
  <c r="O27" i="1" a="1"/>
  <c r="T71" i="1" a="1"/>
  <c r="O61" i="1" a="1"/>
  <c r="M84" i="1" a="1"/>
  <c r="T80" i="1" a="1"/>
  <c r="M34" i="1" a="1"/>
  <c r="M32" i="1" a="1"/>
  <c r="O74" i="1" a="1"/>
  <c r="M18" i="1" a="1"/>
  <c r="N16" i="1" a="1"/>
  <c r="T13" i="1" a="1"/>
  <c r="N39" i="1" a="1"/>
  <c r="M52" i="1" a="1"/>
  <c r="N9" i="1" a="1"/>
  <c r="O77" i="1" a="1"/>
  <c r="O16" i="1" a="1"/>
  <c r="O78" i="1" a="1"/>
  <c r="N38" i="1" a="1"/>
  <c r="M73" i="1" a="1"/>
  <c r="O8" i="1" a="1"/>
  <c r="O73" i="1" a="1"/>
  <c r="N30" i="1" a="1"/>
  <c r="O30" i="1" a="1"/>
  <c r="T24" i="1" a="1"/>
  <c r="N70" i="1" a="1"/>
  <c r="O54" i="1" a="1"/>
  <c r="O7" i="1" a="1"/>
  <c r="O6" i="1" a="1"/>
  <c r="O79" i="1" a="1"/>
  <c r="M54" i="1" a="1"/>
  <c r="O31" i="1" a="1"/>
  <c r="N34" i="1" a="1"/>
  <c r="T81" i="1" a="1"/>
  <c r="O17" i="1" a="1"/>
  <c r="M62" i="1" a="1"/>
  <c r="N19" i="1" a="1"/>
  <c r="N54" i="1" a="1"/>
  <c r="O23" i="1" a="1"/>
  <c r="M44" i="1" a="1"/>
  <c r="N44" i="1" a="1"/>
  <c r="O63" i="1" a="1"/>
  <c r="M69" i="1" a="1"/>
  <c r="N33" i="1" a="1"/>
  <c r="N76" i="1" a="1"/>
  <c r="T22" i="1" a="1"/>
  <c r="M29" i="1" a="1"/>
  <c r="N60" i="1" a="1"/>
  <c r="O34" i="1" a="1"/>
  <c r="N59" i="1" a="1"/>
  <c r="M83" i="1" a="1"/>
  <c r="M78" i="1" a="1"/>
  <c r="O26" i="1" a="1"/>
  <c r="O80" i="1" a="1"/>
  <c r="T10" i="1" a="1"/>
  <c r="O48" i="1" a="1"/>
  <c r="M27" i="1" a="1"/>
  <c r="T61" i="1" a="1"/>
  <c r="O13" i="1" a="1"/>
  <c r="O59" i="1" a="1"/>
  <c r="M41" i="1" a="1"/>
  <c r="O75" i="1" a="1"/>
  <c r="M70" i="1" a="1"/>
  <c r="M35" i="1" a="1"/>
  <c r="M33" i="1" a="1"/>
  <c r="N53" i="1" a="1"/>
  <c r="O81" i="1" a="1"/>
  <c r="M76" i="1" a="1"/>
  <c r="T74" i="1" a="1"/>
  <c r="T34" i="1" a="1"/>
  <c r="N84" i="1" a="1"/>
  <c r="N73" i="1" a="1"/>
  <c r="M53" i="1" a="1"/>
  <c r="O44" i="1" a="1"/>
  <c r="N15" i="1" a="1"/>
  <c r="M40" i="1" a="1"/>
  <c r="M50" i="1" a="1"/>
  <c r="T59" i="1" a="1"/>
  <c r="T11" i="1" a="1"/>
  <c r="N28" i="1" a="1"/>
  <c r="T20" i="1" a="1"/>
  <c r="O60" i="1" a="1"/>
  <c r="M16" i="1" a="1"/>
  <c r="O45" i="1" a="1"/>
  <c r="M10" i="1" a="1"/>
  <c r="N36" i="1" a="1"/>
  <c r="O38" i="1" a="1"/>
  <c r="N42" i="1" a="1"/>
  <c r="M79" i="1" a="1"/>
  <c r="M71" i="1" a="1"/>
  <c r="O22" i="1" a="1"/>
  <c r="M55" i="1" a="1"/>
  <c r="M42" i="1" a="1"/>
  <c r="O41" i="1" a="1"/>
  <c r="N25" i="1" a="1"/>
  <c r="N63" i="1" a="1"/>
  <c r="O25" i="1" a="1"/>
  <c r="M60" i="1" a="1"/>
  <c r="N50" i="1" a="1"/>
  <c r="T39" i="1" a="1"/>
  <c r="N27" i="1" a="1"/>
  <c r="N35" i="1" a="1"/>
  <c r="M59" i="1" a="1"/>
  <c r="M20" i="1" a="1"/>
  <c r="M45" i="1" a="1"/>
  <c r="O53" i="1" a="1"/>
  <c r="M28" i="1" a="1"/>
  <c r="M64" i="1" a="1"/>
  <c r="O52" i="1" a="1"/>
  <c r="M81" i="1" a="1"/>
  <c r="O29" i="1" a="1"/>
  <c r="O12" i="1" a="1"/>
  <c r="N68" i="1" a="1"/>
  <c r="M19" i="1" a="1"/>
  <c r="N13" i="1" a="1"/>
  <c r="N6" i="1" a="1"/>
  <c r="M49" i="1" a="1"/>
  <c r="O72" i="1" a="1"/>
  <c r="M57" i="1" a="1"/>
  <c r="M13" i="1" a="1"/>
  <c r="O33" i="1" a="1"/>
  <c r="N21" i="1" a="1"/>
  <c r="N51" i="1" a="1"/>
  <c r="N14" i="1" a="1"/>
  <c r="N57" i="1" a="1"/>
  <c r="M75" i="1" a="1"/>
  <c r="O51" i="1" a="1"/>
  <c r="T30" i="1" a="1"/>
  <c r="M66" i="1" a="1"/>
  <c r="O40" i="1" a="1"/>
  <c r="O20" i="1" a="1"/>
  <c r="N82" i="1" a="1"/>
  <c r="O62" i="1" a="1"/>
  <c r="O56" i="1" a="1"/>
  <c r="O76" i="1" a="1"/>
  <c r="N81" i="1" a="1"/>
  <c r="O55" i="1" a="1"/>
  <c r="M67" i="1" a="1"/>
  <c r="O32" i="1" a="1"/>
  <c r="M23" i="1" a="1"/>
  <c r="N31" i="1" a="1"/>
  <c r="O66" i="1" a="1"/>
  <c r="O68" i="1" a="1"/>
  <c r="N77" i="1" a="1"/>
  <c r="O64" i="1" a="1"/>
  <c r="T46" i="1" a="1"/>
  <c r="M17" i="1" a="1"/>
  <c r="T66" i="1" a="1"/>
  <c r="N78" i="1" a="1"/>
  <c r="M72" i="1" a="1"/>
  <c r="N45" i="1" a="1"/>
  <c r="N72" i="1" a="1"/>
  <c r="M61" i="1" a="1"/>
  <c r="N43" i="1" a="1"/>
  <c r="M46" i="1" a="1"/>
  <c r="T79" i="1" a="1"/>
  <c r="O37" i="1" a="1"/>
  <c r="T75" i="1" a="1"/>
  <c r="M77" i="1" a="1"/>
  <c r="T8" i="1" a="1"/>
  <c r="M58" i="1" a="1"/>
  <c r="AX36" i="1" a="1"/>
  <c r="H57" i="1" a="1"/>
  <c r="J84" i="1" a="1"/>
  <c r="AU31" i="1" a="1"/>
  <c r="AO7" i="1" a="1"/>
  <c r="AV42" i="1" a="1"/>
  <c r="J17" i="1" a="1"/>
  <c r="R79" i="1" a="1"/>
  <c r="AV73" i="1" a="1"/>
  <c r="AX21" i="1" a="1"/>
  <c r="G78" i="1" a="1"/>
  <c r="AJ57" i="1" a="1"/>
  <c r="AP74" i="1" a="1"/>
  <c r="AL78" i="1" a="1"/>
  <c r="AR34" i="1" a="1"/>
  <c r="D79" i="1" a="1"/>
  <c r="AO46" i="1" a="1"/>
  <c r="AQ37" i="1" a="1"/>
  <c r="B41" i="1" a="1"/>
  <c r="K62" i="1" a="1"/>
  <c r="AV66" i="1" a="1"/>
  <c r="Z36" i="1" a="1"/>
  <c r="AK26" i="1" a="1"/>
  <c r="W44" i="1" a="1"/>
  <c r="AT6" i="1" a="1"/>
  <c r="L68" i="1" a="1"/>
  <c r="AX15" i="1" a="1"/>
  <c r="AG29" i="1" a="1"/>
  <c r="AD25" i="1" a="1"/>
  <c r="L19" i="1" a="1"/>
  <c r="AX25" i="1" a="1"/>
  <c r="AB22" i="1" a="1"/>
  <c r="D27" i="1" a="1"/>
  <c r="AT68" i="1" a="1"/>
  <c r="AX73" i="1" a="1"/>
  <c r="Q82" i="1" a="1"/>
  <c r="AR41" i="1" a="1"/>
  <c r="R70" i="1" a="1"/>
  <c r="L56" i="1" a="1"/>
  <c r="AJ36" i="1" a="1"/>
  <c r="AN47" i="1" a="1"/>
  <c r="R58" i="1" a="1"/>
  <c r="AG72" i="1" a="1"/>
  <c r="G24" i="1" a="1"/>
  <c r="AB50" i="1" a="1"/>
  <c r="AF68" i="1" a="1"/>
  <c r="AR70" i="1" a="1"/>
  <c r="AO56" i="1" a="1"/>
  <c r="AP18" i="1" a="1"/>
  <c r="AP23" i="1" a="1"/>
  <c r="L41" i="1" a="1"/>
  <c r="F84" i="1" a="1"/>
  <c r="Z80" i="1" a="1"/>
  <c r="D17" i="1" a="1"/>
  <c r="AU60" i="1" a="1"/>
  <c r="AV69" i="1" a="1"/>
  <c r="AR54" i="1" a="1"/>
  <c r="AO66" i="1" a="1"/>
  <c r="C71" i="1" a="1"/>
  <c r="K70" i="1" a="1"/>
  <c r="AT79" i="1" a="1"/>
  <c r="AF77" i="1" a="1"/>
  <c r="I58" i="1" a="1"/>
  <c r="AR48" i="1" a="1"/>
  <c r="P37" i="1" a="1"/>
  <c r="AQ73" i="1" a="1"/>
  <c r="V35" i="1" a="1"/>
  <c r="K39" i="1" a="1"/>
  <c r="H33" i="1" a="1"/>
  <c r="S18" i="1" a="1"/>
  <c r="AT84" i="1" a="1"/>
  <c r="AW25" i="1" a="1"/>
  <c r="S53" i="1" a="1"/>
  <c r="AN53" i="1" a="1"/>
  <c r="AJ32" i="1" a="1"/>
  <c r="AQ65" i="1" a="1"/>
  <c r="R33" i="1" a="1"/>
  <c r="S64" i="1" a="1"/>
  <c r="Z11" i="1" a="1"/>
  <c r="AN40" i="1" a="1"/>
  <c r="AP73" i="1" a="1"/>
  <c r="S9" i="1" a="1"/>
  <c r="AW26" i="1" a="1"/>
  <c r="AO11" i="1" a="1"/>
  <c r="AO48" i="1" a="1"/>
  <c r="AQ60" i="1" a="1"/>
  <c r="AV78" i="1" a="1"/>
  <c r="AW14" i="1" a="1"/>
  <c r="X67" i="1" a="1"/>
  <c r="I54" i="1" a="1"/>
  <c r="AR12" i="1" a="1"/>
  <c r="X73" i="1" a="1"/>
  <c r="AL67" i="1" a="1"/>
  <c r="AW28" i="1" a="1"/>
  <c r="AO51" i="1" a="1"/>
  <c r="AB15" i="1" a="1"/>
  <c r="G13" i="1" a="1"/>
  <c r="AH68" i="1" a="1"/>
  <c r="AM36" i="1" a="1"/>
  <c r="J37" i="1" a="1"/>
  <c r="Z20" i="1" a="1"/>
  <c r="AC16" i="1" a="1"/>
  <c r="AU27" i="1" a="1"/>
  <c r="P32" i="1" a="1"/>
  <c r="AD59" i="1" a="1"/>
  <c r="H74" i="1" a="1"/>
  <c r="K58" i="1" a="1"/>
  <c r="AU32" i="1" a="1"/>
  <c r="AO70" i="1" a="1"/>
  <c r="X84" i="1" a="1"/>
  <c r="AT12" i="1" a="1"/>
  <c r="X20" i="1" a="1"/>
  <c r="U82" i="1" a="1"/>
  <c r="AB48" i="1" a="1"/>
  <c r="D53" i="1" a="1"/>
  <c r="Y26" i="1" a="1"/>
  <c r="AH17" i="1" a="1"/>
  <c r="X43" i="1" a="1"/>
  <c r="AF13" i="1" a="1"/>
  <c r="AB62" i="1" a="1"/>
  <c r="AH70" i="1" a="1"/>
  <c r="Y84" i="1" a="1"/>
  <c r="AU17" i="1" a="1"/>
  <c r="AU24" i="1" a="1"/>
  <c r="K71" i="1" a="1"/>
  <c r="AW7" i="1" a="1"/>
  <c r="AN75" i="1" a="1"/>
  <c r="R11" i="1" a="1"/>
  <c r="V68" i="1" a="1"/>
  <c r="AN56" i="1" a="1"/>
  <c r="Y32" i="1" a="1"/>
  <c r="W34" i="1" a="1"/>
  <c r="AW21" i="1" a="1"/>
  <c r="F63" i="1" a="1"/>
  <c r="AQ24" i="1" a="1"/>
  <c r="C64" i="1" a="1"/>
  <c r="AX54" i="1" a="1"/>
  <c r="P78" i="1" a="1"/>
  <c r="J31" i="1" a="1"/>
  <c r="F13" i="1" a="1"/>
  <c r="E61" i="1" a="1"/>
  <c r="S35" i="1" a="1"/>
  <c r="C84" i="1" a="1"/>
  <c r="AO27" i="1" a="1"/>
  <c r="AQ53" i="1" a="1"/>
  <c r="R60" i="1" a="1"/>
  <c r="AX76" i="1" a="1"/>
  <c r="AH28" i="1" a="1"/>
  <c r="AV59" i="1" a="1"/>
  <c r="AO42" i="1" a="1"/>
  <c r="AA15" i="1" a="1"/>
  <c r="AJ10" i="1" a="1"/>
  <c r="K40" i="1" a="1"/>
  <c r="AT24" i="1" a="1"/>
  <c r="H20" i="1" a="1"/>
  <c r="H22" i="1" a="1"/>
  <c r="Z23" i="1" a="1"/>
  <c r="AP14" i="1" a="1"/>
  <c r="C48" i="1" a="1"/>
  <c r="AV61" i="1" a="1"/>
  <c r="AU73" i="1" a="1"/>
  <c r="AK45" i="1" a="1"/>
  <c r="R13" i="1" a="1"/>
  <c r="B33" i="1" a="1"/>
  <c r="S82" i="1" a="1"/>
  <c r="V70" i="1" a="1"/>
  <c r="AB12" i="1" a="1"/>
  <c r="AQ64" i="1" a="1"/>
  <c r="AW19" i="1" a="1"/>
  <c r="AD47" i="1" a="1"/>
  <c r="AV18" i="1" a="1"/>
  <c r="AV84" i="1" a="1"/>
  <c r="Y82" i="1" a="1"/>
  <c r="R50" i="1" a="1"/>
  <c r="C57" i="1" a="1"/>
  <c r="B50" i="1" a="1"/>
  <c r="AQ61" i="1" a="1"/>
  <c r="K79" i="1" a="1"/>
  <c r="AV77" i="1" a="1"/>
  <c r="Q51" i="1" a="1"/>
  <c r="Z76" i="1" a="1"/>
  <c r="AP11" i="1" a="1"/>
  <c r="V60" i="1" a="1"/>
  <c r="U51" i="1" a="1"/>
  <c r="AT60" i="1" a="1"/>
  <c r="AX20" i="1" a="1"/>
  <c r="AW70" i="1" a="1"/>
  <c r="AE78" i="1" a="1"/>
  <c r="AG60" i="1" a="1"/>
  <c r="R76" i="1" a="1"/>
  <c r="AC83" i="1" a="1"/>
  <c r="AX16" i="1" a="1"/>
  <c r="AO53" i="1" a="1"/>
  <c r="Z59" i="1" a="1"/>
  <c r="AV65" i="1" a="1"/>
  <c r="W46" i="1" a="1"/>
  <c r="AB40" i="1" a="1"/>
  <c r="AB29" i="1" a="1"/>
  <c r="U60" i="1" a="1"/>
  <c r="AT76" i="1" a="1"/>
  <c r="AE12" i="1" a="1"/>
  <c r="AV52" i="1" a="1"/>
  <c r="AO64" i="1" a="1"/>
  <c r="AB77" i="1" a="1"/>
  <c r="AH34" i="1" a="1"/>
  <c r="R17" i="1" a="1"/>
  <c r="AQ8" i="1" a="1"/>
  <c r="AM7" i="1" a="1"/>
  <c r="AQ81" i="1" a="1"/>
  <c r="H51" i="1" a="1"/>
  <c r="AR42" i="1" a="1"/>
  <c r="AH77" i="1" a="1"/>
  <c r="I52" i="1" a="1"/>
  <c r="AP64" i="1" a="1"/>
  <c r="AC15" i="1" a="1"/>
  <c r="AU56" i="1" a="1"/>
  <c r="AI62" i="1" a="1"/>
  <c r="Y83" i="1" a="1"/>
  <c r="R53" i="1" a="1"/>
  <c r="AM79" i="1" a="1"/>
  <c r="Z8" i="1" a="1"/>
  <c r="B78" i="1" a="1"/>
  <c r="R23" i="1" a="1"/>
  <c r="AE56" i="1" a="1"/>
  <c r="AH14" i="1" a="1"/>
  <c r="H72" i="1" a="1"/>
  <c r="AN54" i="1" a="1"/>
  <c r="AG32" i="1" a="1"/>
  <c r="L48" i="1" a="1"/>
  <c r="Y31" i="1" a="1"/>
  <c r="J48" i="1" a="1"/>
  <c r="AX64" i="1" a="1"/>
  <c r="R7" i="1" a="1"/>
  <c r="AX33" i="1" a="1"/>
  <c r="K67" i="1" a="1"/>
  <c r="AT16" i="1" a="1"/>
  <c r="AX63" i="1" a="1"/>
  <c r="AM6" i="1" a="1"/>
  <c r="AI49" i="1" a="1"/>
  <c r="G23" i="1" a="1"/>
  <c r="S84" i="1" a="1"/>
  <c r="AU10" i="1" a="1"/>
  <c r="AE14" i="1" a="1"/>
  <c r="AR16" i="1" a="1"/>
  <c r="AO67" i="1" a="1"/>
  <c r="V57" i="1" a="1"/>
  <c r="AL46" i="1" a="1"/>
  <c r="AR24" i="1" a="1"/>
  <c r="K52" i="1" a="1"/>
  <c r="AA69" i="1" a="1"/>
  <c r="R81" i="1" a="1"/>
  <c r="D69" i="1" a="1"/>
  <c r="E53" i="1" a="1"/>
  <c r="H66" i="1" a="1"/>
  <c r="AW60" i="1" a="1"/>
  <c r="I14" i="1" a="1"/>
  <c r="AA68" i="1" a="1"/>
  <c r="AT51" i="1" a="1"/>
  <c r="AK34" i="1" a="1"/>
  <c r="AT19" i="1" a="1"/>
  <c r="AD26" i="1" a="1"/>
  <c r="C77" i="1" a="1"/>
  <c r="AJ54" i="1" a="1"/>
  <c r="AN34" i="1" a="1"/>
  <c r="AB47" i="1" a="1"/>
  <c r="AG13" i="1" a="1"/>
  <c r="AN76" i="1" a="1"/>
  <c r="AJ23" i="1" a="1"/>
  <c r="U38" i="1" a="1"/>
  <c r="AP70" i="1" a="1"/>
  <c r="AP50" i="1" a="1"/>
  <c r="AO35" i="1" a="1"/>
  <c r="AK9" i="1" a="1"/>
  <c r="AT67" i="1" a="1"/>
  <c r="AI70" i="1" a="1"/>
  <c r="AL15" i="1" a="1"/>
  <c r="AN60" i="1" a="1"/>
  <c r="V38" i="1" a="1"/>
  <c r="L54" i="1" a="1"/>
  <c r="AG21" i="1" a="1"/>
  <c r="AJ27" i="1" a="1"/>
  <c r="F76" i="1" a="1"/>
  <c r="AE67" i="1" a="1"/>
  <c r="AM54" i="1" a="1"/>
  <c r="AJ55" i="1" a="1"/>
  <c r="AB51" i="1" a="1"/>
  <c r="AC49" i="1" a="1"/>
  <c r="Z63" i="1" a="1"/>
  <c r="AQ29" i="1" a="1"/>
  <c r="AQ42" i="1" a="1"/>
  <c r="I81" i="1" a="1"/>
  <c r="AA79" i="1" a="1"/>
  <c r="AR74" i="1" a="1"/>
  <c r="S43" i="1" a="1"/>
  <c r="AR79" i="1" a="1"/>
  <c r="X81" i="1" a="1"/>
  <c r="AR37" i="1" a="1"/>
  <c r="AH44" i="1" a="1"/>
  <c r="AB35" i="1" a="1"/>
  <c r="Z13" i="1" a="1"/>
  <c r="AH9" i="1" a="1"/>
  <c r="D73" i="1" a="1"/>
  <c r="P24" i="1" a="1"/>
  <c r="L6" i="1" a="1"/>
  <c r="U33" i="1" a="1"/>
  <c r="AJ14" i="1" a="1"/>
  <c r="AP79" i="1" a="1"/>
  <c r="J12" i="1" a="1"/>
  <c r="G48" i="1" a="1"/>
  <c r="AJ70" i="1" a="1"/>
  <c r="AA20" i="1" a="1"/>
  <c r="AB25" i="1" a="1"/>
  <c r="P43" i="1" a="1"/>
  <c r="AP49" i="1" a="1"/>
  <c r="G16" i="1" a="1"/>
  <c r="P77" i="1" a="1"/>
  <c r="L38" i="1" a="1"/>
  <c r="AL43" i="1" a="1"/>
  <c r="AR25" i="1" a="1"/>
  <c r="AO54" i="1" a="1"/>
  <c r="E11" i="1" a="1"/>
  <c r="AC53" i="1" a="1"/>
  <c r="AM43" i="1" a="1"/>
  <c r="AI17" i="1" a="1"/>
  <c r="AN50" i="1" a="1"/>
  <c r="AK25" i="1" a="1"/>
  <c r="AN28" i="1" a="1"/>
  <c r="W60" i="1" a="1"/>
  <c r="AF84" i="1" a="1"/>
  <c r="AU66" i="1" a="1"/>
  <c r="X39" i="1" a="1"/>
  <c r="AW12" i="1" a="1"/>
  <c r="AG67" i="1" a="1"/>
  <c r="AM59" i="1" a="1"/>
  <c r="AN62" i="1" a="1"/>
  <c r="H28" i="1" a="1"/>
  <c r="AJ37" i="1" a="1"/>
  <c r="Y58" i="1" a="1"/>
  <c r="H50" i="1" a="1"/>
  <c r="D52" i="1" a="1"/>
  <c r="AH58" i="1" a="1"/>
  <c r="U21" i="1" a="1"/>
  <c r="AE66" i="1" a="1"/>
  <c r="AT18" i="1" a="1"/>
  <c r="AM78" i="1" a="1"/>
  <c r="AK44" i="1" a="1"/>
  <c r="AA40" i="1" a="1"/>
  <c r="AI84" i="1" a="1"/>
  <c r="H49" i="1" a="1"/>
  <c r="X30" i="1" a="1"/>
  <c r="AA46" i="1" a="1"/>
  <c r="AM53" i="1" a="1"/>
  <c r="AP58" i="1" a="1"/>
  <c r="AV74" i="1" a="1"/>
  <c r="AA26" i="1" a="1"/>
  <c r="AQ62" i="1" a="1"/>
  <c r="AN74" i="1" a="1"/>
  <c r="Z28" i="1" a="1"/>
  <c r="S10" i="1" a="1"/>
  <c r="AO9" i="1" a="1"/>
  <c r="K29" i="1" a="1"/>
  <c r="AN72" i="1" a="1"/>
  <c r="AI30" i="1" a="1"/>
  <c r="AH8" i="1" a="1"/>
  <c r="AT23" i="1" a="1"/>
  <c r="X72" i="1" a="1"/>
  <c r="S19" i="1" a="1"/>
  <c r="AQ57" i="1" a="1"/>
  <c r="I59" i="1" a="1"/>
  <c r="F73" i="1" a="1"/>
  <c r="I63" i="1" a="1"/>
  <c r="P54" i="1" a="1"/>
  <c r="AP33" i="1" a="1"/>
  <c r="Q12" i="1" a="1"/>
  <c r="Y28" i="1" a="1"/>
  <c r="AR67" i="1" a="1"/>
  <c r="AM44" i="1" a="1"/>
  <c r="AW83" i="1" a="1"/>
  <c r="AW49" i="1" a="1"/>
  <c r="AD11" i="1" a="1"/>
  <c r="AO41" i="1" a="1"/>
  <c r="W80" i="1" a="1"/>
  <c r="D81" i="1" a="1"/>
  <c r="R22" i="1" a="1"/>
  <c r="K72" i="1" a="1"/>
  <c r="I79" i="1" a="1"/>
  <c r="AV56" i="1" a="1"/>
  <c r="E31" i="1" a="1"/>
  <c r="AJ69" i="1" a="1"/>
  <c r="AX32" i="1" a="1"/>
  <c r="AX37" i="1" a="1"/>
  <c r="H59" i="1" a="1"/>
  <c r="AN11" i="1" a="1"/>
  <c r="AK38" i="1" a="1"/>
  <c r="Z72" i="1" a="1"/>
  <c r="V36" i="1" a="1"/>
  <c r="AR11" i="1" a="1"/>
  <c r="S63" i="1" a="1"/>
  <c r="AV36" i="1" a="1"/>
  <c r="AX67" i="1" a="1"/>
  <c r="AP60" i="1" a="1"/>
  <c r="AX61" i="1" a="1"/>
  <c r="S31" i="1" a="1"/>
  <c r="AC37" i="1" a="1"/>
  <c r="AM28" i="1" a="1"/>
  <c r="U46" i="1" a="1"/>
  <c r="U36" i="1" a="1"/>
  <c r="AR46" i="1" a="1"/>
  <c r="S33" i="1" a="1"/>
  <c r="AE26" i="1" a="1"/>
  <c r="AR65" i="1" a="1"/>
  <c r="AU42" i="1" a="1"/>
  <c r="AL83" i="1" a="1"/>
  <c r="D34" i="1" a="1"/>
  <c r="V53" i="1" a="1"/>
  <c r="AQ14" i="1" a="1"/>
  <c r="P18" i="1" a="1"/>
  <c r="AQ6" i="1" a="1"/>
  <c r="J30" i="1" a="1"/>
  <c r="AP51" i="1" a="1"/>
  <c r="F16" i="1" a="1"/>
  <c r="AB42" i="1" a="1"/>
  <c r="AG55" i="1" a="1"/>
  <c r="S42" i="1" a="1"/>
  <c r="S72" i="1" a="1"/>
  <c r="AQ45" i="1" a="1"/>
  <c r="AN16" i="1" a="1"/>
  <c r="AR81" i="1" a="1"/>
  <c r="Z32" i="1" a="1"/>
  <c r="AP57" i="1" a="1"/>
  <c r="AL6" i="1" a="1"/>
  <c r="AC64" i="1" a="1"/>
  <c r="S40" i="1" a="1"/>
  <c r="AE82" i="1" a="1"/>
  <c r="AK68" i="1" a="1"/>
  <c r="AX69" i="1" a="1"/>
  <c r="G53" i="1" a="1"/>
  <c r="AK31" i="1" a="1"/>
  <c r="AT29" i="1" a="1"/>
  <c r="AJ17" i="1" a="1"/>
  <c r="AW30" i="1" a="1"/>
  <c r="U15" i="1" a="1"/>
  <c r="AL17" i="1" a="1"/>
  <c r="AO31" i="1" a="1"/>
  <c r="AL55" i="1" a="1"/>
  <c r="J74" i="1" a="1"/>
  <c r="X47" i="1" a="1"/>
  <c r="D65" i="1" a="1"/>
  <c r="AO14" i="1" a="1"/>
  <c r="AU22" i="1" a="1"/>
  <c r="AR17" i="1" a="1"/>
  <c r="AE41" i="1" a="1"/>
  <c r="AP84" i="1" a="1"/>
  <c r="AP66" i="1" a="1"/>
  <c r="AF50" i="1" a="1"/>
  <c r="AK78" i="1" a="1"/>
  <c r="AO45" i="1" a="1"/>
  <c r="J68" i="1" a="1"/>
  <c r="X28" i="1" a="1"/>
  <c r="AW18" i="1" a="1"/>
  <c r="AO59" i="1" a="1"/>
  <c r="E74" i="1" a="1"/>
  <c r="AC14" i="1" a="1"/>
  <c r="E39" i="1" a="1"/>
  <c r="L59" i="1" a="1"/>
  <c r="AR7" i="1" a="1"/>
  <c r="G71" i="1" a="1"/>
  <c r="F78" i="1" a="1"/>
  <c r="AF34" i="1" a="1"/>
  <c r="B14" i="1" a="1"/>
  <c r="AR23" i="1" a="1"/>
  <c r="AE57" i="1" a="1"/>
  <c r="AU62" i="1" a="1"/>
  <c r="AI35" i="1" a="1"/>
  <c r="AG45" i="1" a="1"/>
  <c r="V39" i="1" a="1"/>
  <c r="AJ60" i="1" a="1"/>
  <c r="AH10" i="1" a="1"/>
  <c r="AR69" i="1" a="1"/>
  <c r="P22" i="1" a="1"/>
  <c r="L69" i="1" a="1"/>
  <c r="S81" i="1" a="1"/>
  <c r="AK72" i="1" a="1"/>
  <c r="D39" i="1" a="1"/>
  <c r="AQ36" i="1" a="1"/>
  <c r="H12" i="1" a="1"/>
  <c r="R39" i="1" a="1"/>
  <c r="AT41" i="1" a="1"/>
  <c r="AI41" i="1" a="1"/>
  <c r="V58" i="1" a="1"/>
  <c r="AM48" i="1" a="1"/>
  <c r="P23" i="1" a="1"/>
  <c r="AV28" i="1" a="1"/>
  <c r="AK33" i="1" a="1"/>
  <c r="AQ48" i="1" a="1"/>
  <c r="AW65" i="1" a="1"/>
  <c r="AN73" i="1" a="1"/>
  <c r="AU19" i="1" a="1"/>
  <c r="AN27" i="1" a="1"/>
  <c r="S76" i="1" a="1"/>
  <c r="AH73" i="1" a="1"/>
  <c r="AC66" i="1" a="1"/>
  <c r="W41" i="1" a="1"/>
  <c r="W28" i="1" a="1"/>
  <c r="AN33" i="1" a="1"/>
  <c r="S73" i="1" a="1"/>
  <c r="AQ12" i="1" a="1"/>
  <c r="AQ33" i="1" a="1"/>
  <c r="I8" i="1" a="1"/>
  <c r="K83" i="1" a="1"/>
  <c r="Z48" i="1" a="1"/>
  <c r="AK7" i="1" a="1"/>
  <c r="I68" i="1" a="1"/>
  <c r="AR77" i="1" a="1"/>
  <c r="AE65" i="1" a="1"/>
  <c r="K78" i="1" a="1"/>
  <c r="AW34" i="1" a="1"/>
  <c r="AJ29" i="1" a="1"/>
  <c r="AA17" i="1" a="1"/>
  <c r="AG18" i="1" a="1"/>
  <c r="AG81" i="1" a="1"/>
  <c r="AR52" i="1" a="1"/>
  <c r="U64" i="1" a="1"/>
  <c r="P81" i="1" a="1"/>
  <c r="AO25" i="1" a="1"/>
  <c r="Y45" i="1" a="1"/>
  <c r="S71" i="1" a="1"/>
  <c r="AH45" i="1" a="1"/>
  <c r="AE79" i="1" a="1"/>
  <c r="AW6" i="1" a="1"/>
  <c r="AX38" i="1" a="1"/>
  <c r="B23" i="1" a="1"/>
  <c r="I53" i="1" a="1"/>
  <c r="R29" i="1" a="1"/>
  <c r="AT38" i="1" a="1"/>
  <c r="E84" i="1" a="1"/>
  <c r="AU12" i="1" a="1"/>
  <c r="AT31" i="1" a="1"/>
  <c r="AU23" i="1" a="1"/>
  <c r="C22" i="1" a="1"/>
  <c r="AQ43" i="1" a="1"/>
  <c r="E33" i="1" a="1"/>
  <c r="AT46" i="1" a="1"/>
  <c r="AW46" i="1" a="1"/>
  <c r="E16" i="1" a="1"/>
  <c r="B53" i="1" a="1"/>
  <c r="AD29" i="1" a="1"/>
  <c r="S21" i="1" a="1"/>
  <c r="S17" i="1" a="1"/>
  <c r="AD7" i="1" a="1"/>
  <c r="AW38" i="1" a="1"/>
  <c r="AP41" i="1" a="1"/>
  <c r="L78" i="1" a="1"/>
  <c r="R34" i="1" a="1"/>
  <c r="AT70" i="1" a="1"/>
  <c r="AO57" i="1" a="1"/>
  <c r="AF59" i="1" a="1"/>
  <c r="S77" i="1" a="1"/>
  <c r="AC82" i="1" a="1"/>
  <c r="AR53" i="1" a="1"/>
  <c r="I41" i="1" a="1"/>
  <c r="G67" i="1" a="1"/>
  <c r="W81" i="1" a="1"/>
  <c r="J78" i="1" a="1"/>
  <c r="AV9" i="1" a="1"/>
  <c r="AU49" i="1" a="1"/>
  <c r="AT80" i="1" a="1"/>
  <c r="AR38" i="1" a="1"/>
  <c r="AW61" i="1" a="1"/>
  <c r="L35" i="1" a="1"/>
  <c r="AQ16" i="1" a="1"/>
  <c r="C40" i="1" a="1"/>
  <c r="E77" i="1" a="1"/>
  <c r="AP12" i="1" a="1"/>
  <c r="AN44" i="1" a="1"/>
  <c r="AH48" i="1" a="1"/>
  <c r="AC65" i="1" a="1"/>
  <c r="L57" i="1" a="1"/>
  <c r="AO22" i="1" a="1"/>
  <c r="AU11" i="1" a="1"/>
  <c r="C67" i="1" a="1"/>
  <c r="AN67" i="1" a="1"/>
  <c r="AD18" i="1" a="1"/>
  <c r="AE63" i="1" a="1"/>
  <c r="Z12" i="1" a="1"/>
  <c r="D51" i="1" a="1"/>
  <c r="AN30" i="1" a="1"/>
  <c r="L44" i="1" a="1"/>
  <c r="S68" i="1" a="1"/>
  <c r="K16" i="1" a="1"/>
  <c r="AT50" i="1" a="1"/>
  <c r="Z47" i="1" a="1"/>
  <c r="AN14" i="1" a="1"/>
  <c r="AW36" i="1" a="1"/>
  <c r="L47" i="1" a="1"/>
  <c r="G61" i="1" a="1"/>
  <c r="AT30" i="1" a="1"/>
  <c r="AN46" i="1" a="1"/>
  <c r="AO28" i="1" a="1"/>
  <c r="W68" i="1" a="1"/>
  <c r="R51" i="1" a="1"/>
  <c r="AF16" i="1" a="1"/>
  <c r="AH84" i="1" a="1"/>
  <c r="S80" i="1" a="1"/>
  <c r="W9" i="1" a="1"/>
  <c r="AB67" i="1" a="1"/>
  <c r="V41" i="1" a="1"/>
  <c r="W58" i="1" a="1"/>
  <c r="AN45" i="1" a="1"/>
  <c r="AB70" i="1" a="1"/>
  <c r="S51" i="1" a="1"/>
  <c r="H39" i="1" a="1"/>
  <c r="AT36" i="1" a="1"/>
  <c r="AV19" i="1" a="1"/>
  <c r="AV75" i="1" a="1"/>
  <c r="Q68" i="1" a="1"/>
  <c r="AQ26" i="1" a="1"/>
  <c r="J69" i="1" a="1"/>
  <c r="S12" i="1" a="1"/>
  <c r="AW44" i="1" a="1"/>
  <c r="J79" i="1" a="1"/>
  <c r="C14" i="1" a="1"/>
  <c r="AX46" i="1" a="1"/>
  <c r="AU81" i="1" a="1"/>
  <c r="AM55" i="1" a="1"/>
  <c r="B26" i="1" a="1"/>
  <c r="B64" i="1" a="1"/>
  <c r="AJ11" i="1" a="1"/>
  <c r="AG78" i="1" a="1"/>
  <c r="AA56" i="1" a="1"/>
  <c r="AO49" i="1" a="1"/>
  <c r="R84" i="1" a="1"/>
  <c r="I62" i="1" a="1"/>
  <c r="S15" i="1" a="1"/>
  <c r="AR73" i="1" a="1"/>
  <c r="AX57" i="1" a="1"/>
  <c r="AI16" i="1" a="1"/>
  <c r="J62" i="1" a="1"/>
  <c r="G14" i="1" a="1"/>
  <c r="AL64" i="1" a="1"/>
  <c r="AW51" i="1" a="1"/>
  <c r="AN64" i="1" a="1"/>
  <c r="R25" i="1" a="1"/>
  <c r="AL81" i="1" a="1"/>
  <c r="AW40" i="1" a="1"/>
  <c r="AE72" i="1" a="1"/>
  <c r="R64" i="1" a="1"/>
  <c r="AO16" i="1" a="1"/>
  <c r="P49" i="1" a="1"/>
  <c r="AU75" i="1" a="1"/>
  <c r="C44" i="1" a="1"/>
  <c r="AG68" i="1" a="1"/>
  <c r="R12" i="1" a="1"/>
  <c r="AV6" i="1" a="1"/>
  <c r="AR21" i="1" a="1"/>
  <c r="AO36" i="1" a="1"/>
  <c r="AI69" i="1" a="1"/>
  <c r="AN31" i="1" a="1"/>
  <c r="B58" i="1" a="1"/>
  <c r="AW50" i="1" a="1"/>
  <c r="AQ47" i="1" a="1"/>
  <c r="AN58" i="1" a="1"/>
  <c r="X63" i="1" a="1"/>
  <c r="E59" i="1" a="1"/>
  <c r="AP17" i="1" a="1"/>
  <c r="AD77" i="1" a="1"/>
  <c r="R49" i="1" a="1"/>
  <c r="AA22" i="1" a="1"/>
  <c r="AW54" i="1" a="1"/>
  <c r="AM49" i="1" a="1"/>
  <c r="AU21" i="1" a="1"/>
  <c r="Z9" i="1" a="1"/>
  <c r="AJ75" i="1" a="1"/>
  <c r="AN20" i="1" a="1"/>
  <c r="AU46" i="1" a="1"/>
  <c r="AV37" i="1" a="1"/>
  <c r="AU65" i="1" a="1"/>
  <c r="AP71" i="1" a="1"/>
  <c r="L82" i="1" a="1"/>
  <c r="AD27" i="1" a="1"/>
  <c r="I38" i="1" a="1"/>
  <c r="AP19" i="1" a="1"/>
  <c r="D21" i="1" a="1"/>
  <c r="F62" i="1" a="1"/>
  <c r="B25" i="1" a="1"/>
  <c r="U7" i="1" a="1"/>
  <c r="P31" i="1" a="1"/>
  <c r="AQ55" i="1" a="1"/>
  <c r="F26" i="1" a="1"/>
  <c r="Q61" i="1" a="1"/>
  <c r="AJ80" i="1" a="1"/>
  <c r="AB55" i="1" a="1"/>
  <c r="B79" i="1" a="1"/>
  <c r="S8" i="1" a="1"/>
  <c r="D15" i="1" a="1"/>
  <c r="AU18" i="1" a="1"/>
  <c r="J19" i="1" a="1"/>
  <c r="C10" i="1" a="1"/>
  <c r="AV8" i="1" a="1"/>
  <c r="D28" i="1" a="1"/>
  <c r="R35" i="1" a="1"/>
  <c r="AR84" i="1" a="1"/>
  <c r="AW23" i="1" a="1"/>
  <c r="AA77" i="1" a="1"/>
  <c r="R80" i="1" a="1"/>
  <c r="AE18" i="1" a="1"/>
  <c r="AJ53" i="1" a="1"/>
  <c r="AL16" i="1" a="1"/>
  <c r="AC68" i="1" a="1"/>
  <c r="AT48" i="1" a="1"/>
  <c r="AD69" i="1" a="1"/>
  <c r="V73" i="1" a="1"/>
  <c r="AF51" i="1" a="1"/>
  <c r="AC7" i="1" a="1"/>
  <c r="AU14" i="1" a="1"/>
  <c r="U26" i="1" a="1"/>
  <c r="AP80" i="1" a="1"/>
  <c r="Z62" i="1" a="1"/>
  <c r="AX43" i="1" a="1"/>
  <c r="AX65" i="1" a="1"/>
  <c r="AW17" i="1" a="1"/>
  <c r="S47" i="1" a="1"/>
  <c r="AU38" i="1" a="1"/>
  <c r="AM9" i="1" a="1"/>
  <c r="AQ50" i="1" a="1"/>
  <c r="AI54" i="1" a="1"/>
  <c r="P80" i="1" a="1"/>
  <c r="AV16" i="1" a="1"/>
  <c r="AK65" i="1" a="1"/>
  <c r="X69" i="1" a="1"/>
  <c r="AJ77" i="1" a="1"/>
  <c r="F29" i="1" a="1"/>
  <c r="AD30" i="1" a="1"/>
  <c r="AQ35" i="1" a="1"/>
  <c r="X16" i="1" a="1"/>
  <c r="AM52" i="1" a="1"/>
  <c r="AE28" i="1" a="1"/>
  <c r="W71" i="1" a="1"/>
  <c r="AW15" i="1" a="1"/>
  <c r="AR64" i="1" a="1"/>
  <c r="AX62" i="1" a="1"/>
  <c r="C46" i="1" a="1"/>
  <c r="AU59" i="1" a="1"/>
  <c r="AL20" i="1" a="1"/>
  <c r="AK80" i="1" a="1"/>
  <c r="AN83" i="1" a="1"/>
  <c r="AI29" i="1" a="1"/>
  <c r="K6" i="1" a="1"/>
  <c r="Z19" i="1" a="1"/>
  <c r="AR28" i="1" a="1"/>
  <c r="B18" i="1" a="1"/>
  <c r="L7" i="1" a="1"/>
  <c r="K61" i="1" a="1"/>
  <c r="AT59" i="1" a="1"/>
  <c r="X42" i="1" a="1"/>
  <c r="AB64" i="1" a="1"/>
  <c r="K53" i="1" a="1"/>
  <c r="AX26" i="1" a="1"/>
  <c r="AH59" i="1" a="1"/>
  <c r="B65" i="1" a="1"/>
  <c r="AW31" i="1" a="1"/>
  <c r="AU36" i="1" a="1"/>
  <c r="AK16" i="1" a="1"/>
  <c r="AO10" i="1" a="1"/>
  <c r="Y23" i="1" a="1"/>
  <c r="J33" i="1" a="1"/>
  <c r="AO21" i="1" a="1"/>
  <c r="X66" i="1" a="1"/>
  <c r="AO75" i="1" a="1"/>
  <c r="AW79" i="1" a="1"/>
  <c r="AV35" i="1" a="1"/>
  <c r="U49" i="1" a="1"/>
  <c r="R40" i="1" a="1"/>
  <c r="L80" i="1" a="1"/>
  <c r="J13" i="1" a="1"/>
  <c r="AU20" i="1" a="1"/>
  <c r="AV71" i="1" a="1"/>
  <c r="B80" i="1" a="1"/>
  <c r="AM75" i="1" a="1"/>
  <c r="S13" i="1" a="1"/>
  <c r="B72" i="1" a="1"/>
  <c r="D70" i="1" a="1"/>
  <c r="AG76" i="1" a="1"/>
  <c r="Z82" i="1" a="1"/>
  <c r="AV68" i="1" a="1"/>
  <c r="AT37" i="1" a="1"/>
  <c r="W26" i="1" a="1"/>
  <c r="E30" i="1" a="1"/>
  <c r="AC45" i="1" a="1"/>
  <c r="AO60" i="1" a="1"/>
  <c r="AG35" i="1" a="1"/>
  <c r="J71" i="1" a="1"/>
  <c r="L23" i="1" a="1"/>
  <c r="AK56" i="1" a="1"/>
  <c r="J70" i="1" a="1"/>
  <c r="D43" i="1" a="1"/>
  <c r="W25" i="1" a="1"/>
  <c r="AT10" i="1" a="1"/>
  <c r="AQ15" i="1" a="1"/>
  <c r="I9" i="1" a="1"/>
  <c r="AF75" i="1" a="1"/>
  <c r="Z57" i="1" a="1"/>
  <c r="Y68" i="1" a="1"/>
  <c r="AI39" i="1" a="1"/>
  <c r="P48" i="1" a="1"/>
  <c r="AD39" i="1" a="1"/>
  <c r="R65" i="1" a="1"/>
  <c r="AX50" i="1" a="1"/>
  <c r="B61" i="1" a="1"/>
  <c r="AU53" i="1" a="1"/>
  <c r="AP34" i="1" a="1"/>
  <c r="AD15" i="1" a="1"/>
  <c r="G29" i="1" a="1"/>
  <c r="AM33" i="1" a="1"/>
  <c r="AO32" i="1" a="1"/>
  <c r="AA41" i="1" a="1"/>
  <c r="Z18" i="1" a="1"/>
  <c r="AJ73" i="1" a="1"/>
  <c r="AW52" i="1" a="1"/>
  <c r="AL59" i="1" a="1"/>
  <c r="AP69" i="1" a="1"/>
  <c r="H29" i="1" a="1"/>
  <c r="Z73" i="1" a="1"/>
  <c r="AP20" i="1" a="1"/>
  <c r="AB56" i="1" a="1"/>
  <c r="B19" i="1" a="1"/>
  <c r="S29" i="1" a="1"/>
  <c r="AR19" i="1" a="1"/>
  <c r="P6" i="1" a="1"/>
  <c r="AD78" i="1" a="1"/>
  <c r="AV27" i="1" a="1"/>
  <c r="AP53" i="1" a="1"/>
  <c r="E55" i="1" a="1"/>
  <c r="AL65" i="1" a="1"/>
  <c r="AU69" i="1" a="1"/>
  <c r="AQ10" i="1" a="1"/>
  <c r="B21" i="1" a="1"/>
  <c r="AC58" i="1" a="1"/>
  <c r="I71" i="1" a="1"/>
  <c r="B48" i="1" a="1"/>
  <c r="AX44" i="1" a="1"/>
  <c r="C65" i="1" a="1"/>
  <c r="AT75" i="1" a="1"/>
  <c r="W32" i="1" a="1"/>
  <c r="X78" i="1" a="1"/>
  <c r="V52" i="1" a="1"/>
  <c r="U69" i="1" a="1"/>
  <c r="AW55" i="1" a="1"/>
  <c r="C37" i="1" a="1"/>
  <c r="AC67" i="1" a="1"/>
  <c r="AU70" i="1" a="1"/>
  <c r="AM66" i="1" a="1"/>
  <c r="S37" i="1" a="1"/>
  <c r="U65" i="1" a="1"/>
  <c r="P15" i="1" a="1"/>
  <c r="AN55" i="1" a="1"/>
  <c r="AO15" i="1" a="1"/>
  <c r="AP32" i="1" a="1"/>
  <c r="AV38" i="1" a="1"/>
  <c r="AJ33" i="1" a="1"/>
  <c r="R67" i="1" a="1"/>
  <c r="I70" i="1" a="1"/>
  <c r="AH38" i="1" a="1"/>
  <c r="AX78" i="1" a="1"/>
  <c r="B69" i="1" a="1"/>
  <c r="AA9" i="1" a="1"/>
  <c r="AV30" i="1" a="1"/>
  <c r="AX27" i="1" a="1"/>
  <c r="AR27" i="1" a="1"/>
  <c r="W39" i="1" a="1"/>
  <c r="AC28" i="1" a="1"/>
  <c r="AR40" i="1" a="1"/>
  <c r="AX12" i="1" a="1"/>
  <c r="AO83" i="1" a="1"/>
  <c r="R27" i="1" a="1"/>
  <c r="AT62" i="1" a="1"/>
  <c r="F82" i="1" a="1"/>
  <c r="AH46" i="1" a="1"/>
  <c r="R20" i="1" a="1"/>
  <c r="X61" i="1" a="1"/>
  <c r="Z58" i="1" a="1"/>
  <c r="I32" i="1" a="1"/>
  <c r="K8" i="1" a="1"/>
  <c r="AP72" i="1" a="1"/>
  <c r="AB13" i="1" a="1"/>
  <c r="AH60" i="1" a="1"/>
  <c r="E37" i="1" a="1"/>
  <c r="V28" i="1" a="1"/>
  <c r="X64" i="1" a="1"/>
  <c r="Z15" i="1" a="1"/>
  <c r="L50" i="1" a="1"/>
  <c r="Y72" i="1" a="1"/>
  <c r="AD66" i="1" a="1"/>
  <c r="Y33" i="1" a="1"/>
  <c r="S50" i="1" a="1"/>
  <c r="AG17" i="1" a="1"/>
  <c r="L62" i="1" a="1"/>
  <c r="AW48" i="1" a="1"/>
  <c r="E67" i="1" a="1"/>
  <c r="AJ78" i="1" a="1"/>
  <c r="AT61" i="1" a="1"/>
  <c r="U10" i="1" a="1"/>
  <c r="AV46" i="1" a="1"/>
  <c r="E38" i="1" a="1"/>
  <c r="B22" i="1" a="1"/>
  <c r="B9" i="1" a="1"/>
  <c r="E19" i="1" a="1"/>
  <c r="AN32" i="1" a="1"/>
  <c r="C76" i="1" a="1"/>
  <c r="I18" i="1" a="1"/>
  <c r="H52" i="1" a="1"/>
  <c r="AW69" i="1" a="1"/>
  <c r="V9" i="1" a="1"/>
  <c r="Q59" i="1" a="1"/>
  <c r="AV13" i="1" a="1"/>
  <c r="D82" i="1" a="1"/>
  <c r="AU64" i="1" a="1"/>
  <c r="AD63" i="1" a="1"/>
  <c r="AX40" i="1" a="1"/>
  <c r="AI14" i="1" a="1"/>
  <c r="P65" i="1" a="1"/>
  <c r="U22" i="1" a="1"/>
  <c r="AR50" i="1" a="1"/>
  <c r="V18" i="1" a="1"/>
  <c r="E9" i="1" a="1"/>
  <c r="V77" i="1" a="1"/>
  <c r="AB27" i="1" a="1"/>
  <c r="AM39" i="1" a="1"/>
  <c r="G83" i="1" a="1"/>
  <c r="D44" i="1" a="1"/>
  <c r="AF9" i="1" a="1"/>
  <c r="P36" i="1" a="1"/>
  <c r="AJ20" i="1" a="1"/>
  <c r="C27" i="1" a="1"/>
  <c r="AJ38" i="1" a="1"/>
  <c r="AG26" i="1" a="1"/>
  <c r="AJ72" i="1" a="1"/>
  <c r="AH55" i="1" a="1"/>
  <c r="AC77" i="1" a="1"/>
  <c r="AC10" i="1" a="1"/>
  <c r="AL51" i="1" a="1"/>
  <c r="AB39" i="1" a="1"/>
  <c r="AF52" i="1" a="1"/>
  <c r="AF71" i="1" a="1"/>
  <c r="AJ52" i="1" a="1"/>
  <c r="I83" i="1" a="1"/>
  <c r="AM25" i="1" a="1"/>
  <c r="F46" i="1" a="1"/>
  <c r="AX68" i="1" a="1"/>
  <c r="AR76" i="1" a="1"/>
  <c r="AK62" i="1" a="1"/>
  <c r="U11" i="1" a="1"/>
  <c r="AR51" i="1" a="1"/>
  <c r="X57" i="1" a="1"/>
  <c r="Q54" i="1" a="1"/>
  <c r="AD36" i="1" a="1"/>
  <c r="V23" i="1" a="1"/>
  <c r="AK21" i="1" a="1"/>
  <c r="H17" i="1" a="1"/>
  <c r="F54" i="1" a="1"/>
  <c r="L79" i="1" a="1"/>
  <c r="AE40" i="1" a="1"/>
  <c r="B28" i="1" a="1"/>
  <c r="U63" i="1" a="1"/>
  <c r="AR35" i="1" a="1"/>
  <c r="AR80" i="1" a="1"/>
  <c r="AP40" i="1" a="1"/>
  <c r="AN51" i="1" a="1"/>
  <c r="W51" i="1" a="1"/>
  <c r="U58" i="1" a="1"/>
  <c r="K44" i="1" a="1"/>
  <c r="AK63" i="1" a="1"/>
  <c r="D80" i="1" a="1"/>
  <c r="B52" i="1" a="1"/>
  <c r="Y10" i="1" a="1"/>
  <c r="H18" i="1" a="1"/>
  <c r="P39" i="1" a="1"/>
  <c r="AK6" i="1" a="1"/>
  <c r="AX45" i="1" a="1"/>
  <c r="S25" i="1" a="1"/>
  <c r="AR60" i="1" a="1"/>
  <c r="AW16" i="1" a="1"/>
  <c r="Y80" i="1" a="1"/>
  <c r="K46" i="1" a="1"/>
  <c r="E15" i="1" a="1"/>
  <c r="AM22" i="1" a="1"/>
  <c r="AU34" i="1" a="1"/>
  <c r="AV29" i="1" a="1"/>
  <c r="AW62" i="1" a="1"/>
  <c r="AA30" i="1" a="1"/>
  <c r="F51" i="1" a="1"/>
  <c r="AN26" i="1" a="1"/>
  <c r="AV33" i="1" a="1"/>
  <c r="AX47" i="1" a="1"/>
  <c r="AD57" i="1" a="1"/>
  <c r="AO12" i="1" a="1"/>
  <c r="AV79" i="1" a="1"/>
  <c r="AR45" i="1" a="1"/>
  <c r="L63" i="1" a="1"/>
  <c r="AW43" i="1" a="1"/>
  <c r="AA84" i="1" a="1"/>
  <c r="AE59" i="1" a="1"/>
  <c r="V49" i="1" a="1"/>
  <c r="C72" i="1" a="1"/>
  <c r="AD53" i="1" a="1"/>
  <c r="AA62" i="1" a="1"/>
  <c r="U43" i="1" a="1"/>
  <c r="AW68" i="1" a="1"/>
  <c r="AJ65" i="1" a="1"/>
  <c r="H53" i="1" a="1"/>
  <c r="AN10" i="1" a="1"/>
  <c r="AV23" i="1" a="1"/>
  <c r="X11" i="1" a="1"/>
  <c r="D83" i="1" a="1"/>
  <c r="AN69" i="1" a="1"/>
  <c r="I75" i="1" a="1"/>
  <c r="B45" i="1" a="1"/>
  <c r="D56" i="1" a="1"/>
  <c r="I47" i="1" a="1"/>
  <c r="C54" i="1" a="1"/>
  <c r="G69" i="1" a="1"/>
  <c r="H14" i="1" a="1"/>
  <c r="AQ28" i="1" a="1"/>
  <c r="B43" i="1" a="1"/>
  <c r="H63" i="1" a="1"/>
  <c r="U37" i="1" a="1"/>
  <c r="X8" i="1" a="1"/>
  <c r="R38" i="1" a="1"/>
  <c r="AQ39" i="1" a="1"/>
  <c r="AR71" i="1" a="1"/>
  <c r="AB6" i="1" a="1"/>
  <c r="Q65" i="1" a="1"/>
  <c r="AF40" i="1" a="1"/>
  <c r="AG56" i="1" a="1"/>
  <c r="I31" i="1" a="1"/>
  <c r="G60" i="1" a="1"/>
  <c r="AV49" i="1" a="1"/>
  <c r="H77" i="1" a="1"/>
  <c r="AQ9" i="1" a="1"/>
  <c r="AR32" i="1" a="1"/>
  <c r="AF44" i="1" a="1"/>
  <c r="AI77" i="1" a="1"/>
  <c r="AA13" i="1" a="1"/>
  <c r="AB75" i="1" a="1"/>
  <c r="AE47" i="1" a="1"/>
  <c r="AI19" i="1" a="1"/>
  <c r="AR15" i="1" a="1"/>
  <c r="AR13" i="1" a="1"/>
  <c r="AE30" i="1" a="1"/>
  <c r="H73" i="1" a="1"/>
  <c r="Q70" i="1" a="1"/>
  <c r="R69" i="1" a="1"/>
  <c r="AH47" i="1" a="1"/>
  <c r="AD83" i="1" a="1"/>
  <c r="AK75" i="1" a="1"/>
  <c r="AK19" i="1" a="1"/>
  <c r="P13" i="1" a="1"/>
  <c r="G79" i="1" a="1"/>
  <c r="AP42" i="1" a="1"/>
  <c r="S74" i="1" a="1"/>
  <c r="AE55" i="1" a="1"/>
  <c r="AO84" i="1" a="1"/>
  <c r="AT83" i="1" a="1"/>
  <c r="Y29" i="1" a="1"/>
  <c r="AL34" i="1" a="1"/>
  <c r="Y51" i="1" a="1"/>
  <c r="AV80" i="1" a="1"/>
  <c r="Z70" i="1" a="1"/>
  <c r="AI22" i="1" a="1"/>
  <c r="K69" i="1" a="1"/>
  <c r="F61" i="1" a="1"/>
  <c r="AO29" i="1" a="1"/>
  <c r="D26" i="1" a="1"/>
  <c r="AC74" i="1" a="1"/>
  <c r="F57" i="1" a="1"/>
  <c r="AA34" i="1" a="1"/>
  <c r="R75" i="1" a="1"/>
  <c r="AU55" i="1" a="1"/>
  <c r="AX82" i="1" a="1"/>
  <c r="AI10" i="1" a="1"/>
  <c r="Y49" i="1" a="1"/>
  <c r="R72" i="1" a="1"/>
  <c r="AO68" i="1" a="1"/>
  <c r="AN23" i="1" a="1"/>
  <c r="L76" i="1" a="1"/>
  <c r="AV15" i="1" a="1"/>
  <c r="H70" i="1" a="1"/>
  <c r="AI18" i="1" a="1"/>
  <c r="AT64" i="1" a="1"/>
  <c r="F71" i="1" a="1"/>
  <c r="S32" i="1" a="1"/>
  <c r="AW64" i="1" a="1"/>
  <c r="L21" i="1" a="1"/>
  <c r="AA67" i="1" a="1"/>
  <c r="B60" i="1" a="1"/>
  <c r="AO55" i="1" a="1"/>
  <c r="E52" i="1" a="1"/>
  <c r="Y46" i="1" a="1"/>
  <c r="AX58" i="1" a="1"/>
  <c r="S26" i="1" a="1"/>
  <c r="P46" i="1" a="1"/>
  <c r="AO30" i="1" a="1"/>
  <c r="L40" i="1" a="1"/>
  <c r="S58" i="1" a="1"/>
  <c r="G15" i="1" a="1"/>
  <c r="AR66" i="1" a="1"/>
  <c r="H46" i="1" a="1"/>
  <c r="AM51" i="1" a="1"/>
  <c r="X7" i="1" a="1"/>
  <c r="Q17" i="1" a="1"/>
  <c r="AJ40" i="1" a="1"/>
  <c r="D12" i="1" a="1"/>
  <c r="AE29" i="1" a="1"/>
  <c r="AM37" i="1" a="1"/>
  <c r="L11" i="1" a="1"/>
  <c r="G20" i="1" a="1"/>
  <c r="AL28" i="1" a="1"/>
  <c r="AX13" i="1" a="1"/>
  <c r="AX52" i="1" a="1"/>
  <c r="AA23" i="1" a="1"/>
  <c r="AG10" i="1" a="1"/>
  <c r="Q10" i="1" a="1"/>
  <c r="W27" i="1" a="1"/>
  <c r="AU29" i="1" a="1"/>
  <c r="F44" i="1" a="1"/>
  <c r="AQ78" i="1" a="1"/>
  <c r="AU40" i="1" a="1"/>
  <c r="AO43" i="1" a="1"/>
  <c r="R19" i="1" a="1"/>
  <c r="AW41" i="1" a="1"/>
  <c r="C69" i="1" a="1"/>
  <c r="AA54" i="1" a="1"/>
  <c r="AK47" i="1" a="1"/>
  <c r="AN22" i="1" a="1"/>
  <c r="AI65" i="1" a="1"/>
  <c r="S62" i="1" a="1"/>
  <c r="AN59" i="1" a="1"/>
  <c r="R26" i="1" a="1"/>
  <c r="AP63" i="1" a="1"/>
  <c r="X29" i="1" a="1"/>
  <c r="AP21" i="1" a="1"/>
  <c r="AT52" i="1" a="1"/>
  <c r="AT45" i="1" a="1"/>
  <c r="S69" i="1" a="1"/>
  <c r="E78" i="1" a="1"/>
  <c r="AI78" i="1" a="1"/>
  <c r="AR14" i="1" a="1"/>
  <c r="B30" i="1" a="1"/>
  <c r="AM77" i="1" a="1"/>
  <c r="Y42" i="1" a="1"/>
  <c r="AO26" i="1" a="1"/>
  <c r="I17" i="1" a="1"/>
  <c r="AX41" i="1" a="1"/>
  <c r="AU25" i="1" a="1"/>
  <c r="AQ34" i="1" a="1"/>
  <c r="AQ20" i="1" a="1"/>
  <c r="K21" i="1" a="1"/>
  <c r="V83" i="1" a="1"/>
  <c r="AU52" i="1" a="1"/>
  <c r="B84" i="1" a="1"/>
  <c r="K27" i="1" a="1"/>
  <c r="R42" i="1" a="1"/>
  <c r="Z66" i="1" a="1"/>
  <c r="AP30" i="1" a="1"/>
  <c r="AE7" i="1" a="1"/>
  <c r="L75" i="1" a="1"/>
  <c r="R77" i="1" a="1"/>
  <c r="W54" i="1" a="1"/>
  <c r="AK23" i="1" a="1"/>
  <c r="AX71" i="1" a="1"/>
  <c r="AQ80" i="1" a="1"/>
  <c r="W19" i="1" a="1"/>
  <c r="AT57" i="1" a="1"/>
  <c r="C51" i="1" a="1"/>
  <c r="D84" i="1" a="1"/>
  <c r="AP56" i="1" a="1"/>
  <c r="F43" i="1" a="1"/>
  <c r="AC9" i="1" a="1"/>
  <c r="AF61" i="1" a="1"/>
  <c r="E50" i="1" a="1"/>
  <c r="AP38" i="1" a="1"/>
  <c r="AW20" i="1" a="1"/>
  <c r="U55" i="1" a="1"/>
  <c r="R8" i="1" a="1"/>
  <c r="AV58" i="1" a="1"/>
  <c r="AH40" i="1" a="1"/>
  <c r="AA49" i="1" a="1"/>
  <c r="AN36" i="1" a="1"/>
  <c r="AH83" i="1" a="1"/>
  <c r="AG75" i="1" a="1"/>
  <c r="Z71" i="1" a="1"/>
  <c r="AV45" i="1" a="1"/>
  <c r="X74" i="1" a="1"/>
  <c r="AH61" i="1" a="1"/>
  <c r="S28" i="1" a="1"/>
  <c r="AP52" i="1" a="1"/>
  <c r="AA59" i="1" a="1"/>
  <c r="Z52" i="1" a="1"/>
  <c r="U83" i="1" a="1"/>
  <c r="P41" i="1" a="1"/>
  <c r="AX31" i="1" a="1"/>
  <c r="AD17" i="1" a="1"/>
  <c r="AR83" i="1" a="1"/>
  <c r="AA52" i="1" a="1"/>
  <c r="AW72" i="1" a="1"/>
  <c r="AQ44" i="1" a="1"/>
  <c r="AJ62" i="1" a="1"/>
  <c r="AM57" i="1" a="1"/>
  <c r="S45" i="1" a="1"/>
  <c r="AU44" i="1" a="1"/>
  <c r="AC31" i="1" a="1"/>
  <c r="Y20" i="1" a="1"/>
  <c r="AN6" i="1" a="1"/>
  <c r="J58" i="1" a="1"/>
  <c r="AR33" i="1" a="1"/>
  <c r="AR58" i="1" a="1"/>
  <c r="AU71" i="1" a="1"/>
  <c r="AO33" i="1" a="1"/>
  <c r="AJ66" i="1" a="1"/>
  <c r="U12" i="1" a="1"/>
  <c r="H76" i="1" a="1"/>
  <c r="AX39" i="1" a="1"/>
  <c r="AH12" i="1" a="1"/>
  <c r="Z53" i="1" a="1"/>
  <c r="AP15" i="1" a="1"/>
  <c r="S55" i="1" a="1"/>
  <c r="AU43" i="1" a="1"/>
  <c r="AV14" i="1" a="1"/>
  <c r="AR26" i="1" a="1"/>
  <c r="AV21" i="1" a="1"/>
  <c r="E80" i="1" a="1"/>
  <c r="AH56" i="1" a="1"/>
  <c r="AU39" i="1" a="1"/>
  <c r="AA53" i="1" a="1"/>
  <c r="AR9" i="1" a="1"/>
  <c r="AA25" i="1" a="1"/>
  <c r="AA74" i="1" a="1"/>
  <c r="AJ64" i="1" a="1"/>
  <c r="J72" i="1" a="1"/>
  <c r="S60" i="1" a="1"/>
  <c r="B24" i="1" a="1"/>
  <c r="D54" i="1" a="1"/>
  <c r="R30" i="1" a="1"/>
  <c r="D57" i="1" a="1"/>
  <c r="AI59" i="1" a="1"/>
  <c r="AN77" i="1" a="1"/>
  <c r="G76" i="1" a="1"/>
  <c r="X22" i="1" a="1"/>
  <c r="AW82" i="1" a="1"/>
  <c r="I12" i="1" a="1"/>
  <c r="AM45" i="1" a="1"/>
  <c r="AN15" i="1" a="1"/>
  <c r="AD24" i="1" a="1"/>
  <c r="AI73" i="1" a="1"/>
  <c r="AQ40" i="1" a="1"/>
  <c r="Q44" i="1" a="1"/>
  <c r="AX51" i="1" a="1"/>
  <c r="AT7" i="1" a="1"/>
  <c r="AO47" i="1" a="1"/>
  <c r="Q53" i="1" a="1"/>
  <c r="AQ71" i="1" a="1"/>
  <c r="G77" i="1" a="1"/>
  <c r="G56" i="1" a="1"/>
  <c r="I10" i="1" a="1"/>
  <c r="AF47" i="1" a="1"/>
  <c r="AP31" i="1" a="1"/>
  <c r="AX48" i="1" a="1"/>
  <c r="V72" i="1" a="1"/>
  <c r="AV55" i="1" a="1"/>
  <c r="Y17" i="1" a="1"/>
  <c r="AH13" i="1" a="1"/>
  <c r="AW76" i="1" a="1"/>
  <c r="F52" i="1" a="1"/>
  <c r="J9" i="1" a="1"/>
  <c r="AM29" i="1" a="1"/>
  <c r="AC34" i="1" a="1"/>
  <c r="AT20" i="1" a="1"/>
  <c r="I55" i="1" a="1"/>
  <c r="I82" i="1" a="1"/>
  <c r="R74" i="1" a="1"/>
  <c r="R16" i="1" a="1"/>
  <c r="V16" i="1" a="1"/>
  <c r="AQ38" i="1" a="1"/>
  <c r="AW22" i="1" a="1"/>
  <c r="E83" i="1" a="1"/>
  <c r="AW29" i="1" a="1"/>
  <c r="U75" i="1" a="1"/>
  <c r="AT33" i="1" a="1"/>
  <c r="W35" i="1" a="1"/>
  <c r="AR55" i="1" a="1"/>
  <c r="U66" i="1" a="1"/>
  <c r="Z44" i="1" a="1"/>
  <c r="AT17" i="1" a="1"/>
  <c r="AV11" i="1" a="1"/>
  <c r="AU35" i="1" a="1"/>
  <c r="Q18" i="1" a="1"/>
  <c r="AR59" i="1" a="1"/>
  <c r="R18" i="1" a="1"/>
  <c r="AP36" i="1" a="1"/>
  <c r="AE51" i="1" a="1"/>
  <c r="H78" i="1" a="1"/>
  <c r="AU79" i="1" a="1"/>
  <c r="AA81" i="1" a="1"/>
  <c r="AH57" i="1" a="1"/>
  <c r="AU8" i="1" a="1"/>
  <c r="Z34" i="1" a="1"/>
  <c r="AM82" i="1" a="1"/>
  <c r="AA63" i="1" a="1"/>
  <c r="AX29" i="1" a="1"/>
  <c r="V10" i="1" a="1"/>
  <c r="F58" i="1" a="1"/>
  <c r="AX59" i="1" a="1"/>
  <c r="H80" i="1" a="1"/>
  <c r="AV40" i="1" a="1"/>
  <c r="AO18" i="1" a="1"/>
  <c r="AN9" i="1" a="1"/>
  <c r="AM41" i="1" a="1"/>
  <c r="AI67" i="1" a="1"/>
  <c r="AQ70" i="1" a="1"/>
  <c r="F40" i="1" a="1"/>
  <c r="AX79" i="1" a="1"/>
  <c r="AC29" i="1" a="1"/>
  <c r="AA7" i="1" a="1"/>
  <c r="AO61" i="1" a="1"/>
  <c r="E69" i="1" a="1"/>
  <c r="S78" i="1" a="1"/>
  <c r="E48" i="1" a="1"/>
  <c r="AO24" i="1" a="1"/>
  <c r="AE76" i="1" a="1"/>
  <c r="AJ67" i="1" a="1"/>
  <c r="G58" i="1" a="1"/>
  <c r="AX49" i="1" a="1"/>
  <c r="L83" i="1" a="1"/>
  <c r="X62" i="1" a="1"/>
  <c r="AL60" i="1" a="1"/>
  <c r="AN63" i="1" a="1"/>
  <c r="AG69" i="1" a="1"/>
  <c r="AE52" i="1" a="1"/>
  <c r="AO6" i="1" a="1"/>
  <c r="AC35" i="1" a="1"/>
  <c r="Q39" i="1" a="1"/>
  <c r="J15" i="1" a="1"/>
  <c r="AN35" i="1" a="1"/>
  <c r="AR78" i="1" a="1"/>
  <c r="AL37" i="1" a="1"/>
  <c r="AJ34" i="1" a="1"/>
  <c r="AA61" i="1" a="1"/>
  <c r="J50" i="1" a="1"/>
  <c r="AU74" i="1" a="1"/>
  <c r="Z67" i="1" a="1"/>
  <c r="AE68" i="1" a="1"/>
  <c r="AU50" i="1" a="1"/>
  <c r="J61" i="1" a="1"/>
  <c r="D61" i="1" a="1"/>
  <c r="G34" i="1" a="1"/>
  <c r="AD55" i="1" a="1"/>
  <c r="AX19" i="1" a="1"/>
  <c r="Q45" i="1" a="1"/>
  <c r="AH79" i="1" a="1"/>
  <c r="R24" i="1" a="1"/>
  <c r="C29" i="1" a="1"/>
  <c r="X45" i="1" a="1"/>
  <c r="AL19" i="1" a="1"/>
  <c r="AE8" i="1" a="1"/>
  <c r="AI80" i="1" a="1"/>
  <c r="K37" i="1" a="1"/>
  <c r="AF67" i="1" a="1"/>
  <c r="AR29" i="1" a="1"/>
  <c r="R15" i="1" a="1"/>
  <c r="H69" i="1" a="1"/>
  <c r="W12" i="1" a="1"/>
  <c r="D42" i="1" a="1"/>
  <c r="V26" i="1" a="1"/>
  <c r="AO38" i="1" a="1"/>
  <c r="AI34" i="1" a="1"/>
  <c r="Y66" i="1" a="1"/>
  <c r="P17" i="1" a="1"/>
  <c r="E66" i="1" a="1"/>
  <c r="AD6" i="1" a="1"/>
  <c r="R6" i="1" a="1"/>
  <c r="AK61" i="1" a="1"/>
  <c r="AV25" i="1" a="1"/>
  <c r="AA39" i="1" a="1"/>
  <c r="P84" i="1" a="1"/>
  <c r="C13" i="1" a="1"/>
  <c r="U18" i="1" a="1"/>
  <c r="X75" i="1" a="1"/>
  <c r="AK29" i="1" a="1"/>
  <c r="D67" i="1" a="1"/>
  <c r="AT54" i="1" a="1"/>
  <c r="AK22" i="1" a="1"/>
  <c r="K64" i="1" a="1"/>
  <c r="AC44" i="1" a="1"/>
  <c r="AB59" i="1" a="1"/>
  <c r="AJ81" i="1" a="1"/>
  <c r="V82" i="1" a="1"/>
  <c r="K30" i="1" a="1"/>
  <c r="E24" i="1" a="1"/>
  <c r="P64" i="1" a="1"/>
  <c r="Y48" i="1" a="1"/>
  <c r="R36" i="1" a="1"/>
  <c r="AM30" i="1" a="1"/>
  <c r="F83" i="1" a="1"/>
  <c r="AM64" i="1" a="1"/>
  <c r="AC11" i="1" a="1"/>
  <c r="D29" i="1" a="1"/>
  <c r="W73" i="1" a="1"/>
  <c r="AB82" i="1" a="1"/>
  <c r="AJ25" i="1" a="1"/>
  <c r="Q16" i="1" a="1"/>
  <c r="AT27" i="1" a="1"/>
  <c r="AA48" i="1" a="1"/>
  <c r="AH23" i="1" a="1"/>
  <c r="AE21" i="1" a="1"/>
  <c r="V80" i="1" a="1"/>
  <c r="D11" i="1" a="1"/>
  <c r="AK41" i="1" a="1"/>
  <c r="AV60" i="1" a="1"/>
  <c r="D23" i="1" a="1"/>
  <c r="B44" i="1" a="1"/>
  <c r="X19" i="1" a="1"/>
  <c r="Y81" i="1" a="1"/>
  <c r="AI38" i="1" a="1"/>
  <c r="AV81" i="1" a="1"/>
  <c r="AN43" i="1" a="1"/>
  <c r="C43" i="1" a="1"/>
  <c r="U61" i="1" a="1"/>
  <c r="AX23" i="1" a="1"/>
  <c r="AN61" i="1" a="1"/>
  <c r="AQ56" i="1" a="1"/>
  <c r="AP10" i="1" a="1"/>
  <c r="AM69" i="1" a="1"/>
  <c r="W7" i="1" a="1"/>
  <c r="AH43" i="1" a="1"/>
  <c r="AH30" i="1" a="1"/>
  <c r="H65" i="1" a="1"/>
  <c r="AM58" i="1" a="1"/>
  <c r="Y56" i="1" a="1"/>
  <c r="AP39" i="1" a="1"/>
  <c r="R31" i="1" a="1"/>
  <c r="AX56" i="1" a="1"/>
  <c r="R41" i="1" a="1"/>
  <c r="AH72" i="1" a="1"/>
  <c r="C26" i="1" a="1"/>
  <c r="S67" i="1" a="1"/>
  <c r="F17" i="1" a="1"/>
  <c r="AB53" i="1" a="1"/>
  <c r="F19" i="1" a="1"/>
  <c r="B15" i="1" a="1"/>
  <c r="AQ83" i="1" a="1"/>
  <c r="G7" i="1" a="1"/>
  <c r="AU57" i="1" a="1"/>
  <c r="Q78" i="1" a="1"/>
  <c r="S56" i="1" a="1"/>
  <c r="AQ68" i="1" a="1"/>
  <c r="Y60" i="1" a="1"/>
  <c r="B20" i="1" a="1"/>
  <c r="Y55" i="1" a="1"/>
  <c r="AA58" i="1" a="1"/>
  <c r="V27" i="1" a="1"/>
  <c r="F49" i="1" a="1"/>
  <c r="AW53" i="1" a="1"/>
  <c r="C74" i="1" a="1"/>
  <c r="AV34" i="1" a="1"/>
  <c r="R66" i="1" a="1"/>
  <c r="Q13" i="1" a="1"/>
  <c r="AL18" i="1" a="1"/>
  <c r="AK24" i="1" a="1"/>
  <c r="J46" i="1" a="1"/>
  <c r="AN41" i="1" a="1"/>
  <c r="X46" i="1" a="1"/>
  <c r="AD72" i="1" a="1"/>
  <c r="Y67" i="1" a="1"/>
  <c r="J28" i="1" a="1"/>
  <c r="I40" i="1" a="1"/>
  <c r="AM80" i="1" a="1"/>
  <c r="K41" i="1" a="1"/>
  <c r="AK51" i="1" a="1"/>
  <c r="X65" i="1" a="1"/>
  <c r="Q56" i="1" a="1"/>
  <c r="AB44" i="1" a="1"/>
  <c r="AG38" i="1" a="1"/>
  <c r="AV57" i="1" a="1"/>
  <c r="X26" i="1" a="1"/>
  <c r="AI27" i="1" a="1"/>
  <c r="K48" i="1" a="1"/>
  <c r="AV72" i="1" a="1"/>
  <c r="AW37" i="1" a="1"/>
  <c r="B12" i="1" a="1"/>
  <c r="H47" i="1" a="1"/>
  <c r="C73" i="1" a="1"/>
  <c r="AJ47" i="1" a="1"/>
  <c r="L26" i="1" a="1"/>
  <c r="AM16" i="1" a="1"/>
  <c r="Z31" i="1" a="1"/>
  <c r="S75" i="1" a="1"/>
  <c r="AI37" i="1" a="1"/>
  <c r="AQ25" i="1" a="1"/>
  <c r="AC36" i="1" a="1"/>
  <c r="R59" i="1" a="1"/>
  <c r="B10" i="1" a="1"/>
  <c r="U8" i="1" a="1"/>
  <c r="AO37" i="1" a="1"/>
  <c r="AI8" i="1" a="1"/>
  <c r="AB7" i="1" a="1"/>
  <c r="AN29" i="1" a="1"/>
  <c r="J49" i="1" a="1"/>
  <c r="X25" i="1" a="1"/>
  <c r="R68" i="1" a="1"/>
  <c r="S44" i="1" a="1"/>
  <c r="AV82" i="1" a="1"/>
  <c r="S27" i="1" a="1"/>
  <c r="AT72" i="1" a="1"/>
  <c r="AP28" i="1" a="1"/>
  <c r="AU37" i="1" a="1"/>
  <c r="AQ13" i="1" a="1"/>
  <c r="K60" i="1" a="1"/>
  <c r="AM76" i="1" a="1"/>
  <c r="Y34" i="1" a="1"/>
  <c r="AM62" i="1" a="1"/>
  <c r="AR43" i="1" a="1"/>
  <c r="W6" i="1" a="1"/>
  <c r="W40" i="1" a="1"/>
  <c r="W67" i="1" a="1"/>
  <c r="AE64" i="1" a="1"/>
  <c r="Z65" i="1" a="1"/>
  <c r="AV43" i="1" a="1"/>
  <c r="AH32" i="1" a="1"/>
  <c r="AI81" i="1" a="1"/>
  <c r="AK36" i="1" a="1"/>
  <c r="AJ22" i="1" a="1"/>
  <c r="AG47" i="1" a="1"/>
  <c r="D37" i="1" a="1"/>
  <c r="AF62" i="1" a="1"/>
  <c r="P73" i="1" a="1"/>
  <c r="P69" i="1" a="1"/>
  <c r="AM38" i="1" a="1"/>
  <c r="J18" i="1" a="1"/>
  <c r="AH41" i="1" a="1"/>
  <c r="H81" i="1" a="1"/>
  <c r="AW74" i="1" a="1"/>
  <c r="AU7" i="1" a="1"/>
  <c r="L67" i="1" a="1"/>
  <c r="L15" i="1" a="1"/>
  <c r="AH54" i="1" a="1"/>
  <c r="D49" i="1" a="1"/>
  <c r="AT28" i="1" a="1"/>
  <c r="AB19" i="1" a="1"/>
  <c r="AX83" i="1" a="1"/>
  <c r="W36" i="1" a="1"/>
  <c r="AE73" i="1" a="1"/>
  <c r="U53" i="1" a="1"/>
  <c r="G70" i="1" a="1"/>
  <c r="J59" i="1" a="1"/>
  <c r="W18" i="1" a="1"/>
  <c r="AD65" i="1" a="1"/>
  <c r="AA32" i="1" a="1"/>
  <c r="L12" i="1" a="1"/>
  <c r="AG61" i="1" a="1"/>
  <c r="X60" i="1" a="1"/>
  <c r="P74" i="1" a="1"/>
  <c r="AF42" i="1" a="1"/>
  <c r="J38" i="1" a="1"/>
  <c r="G66" i="1" a="1"/>
  <c r="AG7" i="1" a="1"/>
  <c r="AL69" i="1" a="1"/>
  <c r="E13" i="1" a="1"/>
  <c r="AE53" i="1" a="1"/>
  <c r="D32" i="1" a="1"/>
  <c r="AB84" i="1" a="1"/>
  <c r="E40" i="1" a="1"/>
  <c r="Q32" i="1" a="1"/>
  <c r="F37" i="1" a="1"/>
  <c r="E12" i="1" a="1"/>
  <c r="B55" i="1" a="1"/>
  <c r="AF6" i="1" a="1"/>
  <c r="AH21" i="1" a="1"/>
  <c r="Q28" i="1" a="1"/>
  <c r="H67" i="1" a="1"/>
  <c r="L18" i="1" a="1"/>
  <c r="B27" i="1" a="1"/>
  <c r="Q48" i="1" a="1"/>
  <c r="AO77" i="1" a="1"/>
  <c r="E42" i="1" a="1"/>
  <c r="F6" i="1" a="1"/>
  <c r="AF24" i="1" a="1"/>
  <c r="U27" i="1" a="1"/>
  <c r="E44" i="1" a="1"/>
  <c r="D45" i="1" a="1"/>
  <c r="L51" i="1" a="1"/>
  <c r="AE42" i="1" a="1"/>
  <c r="AX75" i="1" a="1"/>
  <c r="AF20" i="1" a="1"/>
  <c r="D64" i="1" a="1"/>
  <c r="AK52" i="1" a="1"/>
  <c r="K10" i="1" a="1"/>
  <c r="AC40" i="1" a="1"/>
  <c r="Z26" i="1" a="1"/>
  <c r="Q14" i="1" a="1"/>
  <c r="J10" i="1" a="1"/>
  <c r="AN19" i="1" a="1"/>
  <c r="AB57" i="1" a="1"/>
  <c r="AL23" i="1" a="1"/>
  <c r="Y8" i="1" a="1"/>
  <c r="AL66" i="1" a="1"/>
  <c r="AP76" i="1" a="1"/>
  <c r="AQ32" i="1" a="1"/>
  <c r="AE13" i="1" a="1"/>
  <c r="J22" i="1" a="1"/>
  <c r="AC81" i="1" a="1"/>
  <c r="I42" i="1" a="1"/>
  <c r="AI32" i="1" a="1"/>
  <c r="AF58" i="1" a="1"/>
  <c r="AL30" i="1" a="1"/>
  <c r="AC73" i="1" a="1"/>
  <c r="G73" i="1" a="1"/>
  <c r="AD76" i="1" a="1"/>
  <c r="P34" i="1" a="1"/>
  <c r="V59" i="1" a="1"/>
  <c r="AX14" i="1" a="1"/>
  <c r="AI13" i="1" a="1"/>
  <c r="J20" i="1" a="1"/>
  <c r="G51" i="1" a="1"/>
  <c r="AH35" i="1" a="1"/>
  <c r="E71" i="1" a="1"/>
  <c r="F32" i="1" a="1"/>
  <c r="AH74" i="1" a="1"/>
  <c r="G55" i="1" a="1"/>
  <c r="K22" i="1" a="1"/>
  <c r="AE24" i="1" a="1"/>
  <c r="AO82" i="1" a="1"/>
  <c r="AD50" i="1" a="1"/>
  <c r="AF11" i="1" a="1"/>
  <c r="Y77" i="1" a="1"/>
  <c r="AU63" i="1" a="1"/>
  <c r="D74" i="1" a="1"/>
  <c r="AL68" i="1" a="1"/>
  <c r="AE77" i="1" a="1"/>
  <c r="AP35" i="1" a="1"/>
  <c r="AT26" i="1" a="1"/>
  <c r="J83" i="1" a="1"/>
  <c r="AC52" i="1" a="1"/>
  <c r="L9" i="1" a="1"/>
  <c r="AT73" i="1" a="1"/>
  <c r="AL76" i="1" a="1"/>
  <c r="AA33" i="1" a="1"/>
  <c r="AK84" i="1" a="1"/>
  <c r="AT44" i="1" a="1"/>
  <c r="D19" i="1" a="1"/>
  <c r="J45" i="1" a="1"/>
  <c r="AK12" i="1" a="1"/>
  <c r="V34" i="1" a="1"/>
  <c r="AM70" i="1" a="1"/>
  <c r="X34" i="1" a="1"/>
  <c r="AO78" i="1" a="1"/>
  <c r="AA10" i="1" a="1"/>
  <c r="AX66" i="1" a="1"/>
  <c r="AQ54" i="1" a="1"/>
  <c r="AB23" i="1" a="1"/>
  <c r="AX42" i="1" a="1"/>
  <c r="AV7" i="1" a="1"/>
  <c r="X79" i="1" a="1"/>
  <c r="AE10" i="1" a="1"/>
  <c r="AF17" i="1" a="1"/>
  <c r="K47" i="1" a="1"/>
  <c r="V31" i="1" a="1"/>
  <c r="AW73" i="1" a="1"/>
  <c r="I21" i="1" a="1"/>
  <c r="AV67" i="1" a="1"/>
  <c r="AD75" i="1" a="1"/>
  <c r="K50" i="1" a="1"/>
  <c r="AK79" i="1" a="1"/>
  <c r="AH76" i="1" a="1"/>
  <c r="AN68" i="1" a="1"/>
  <c r="AK15" i="1" a="1"/>
  <c r="J43" i="1" a="1"/>
  <c r="C59" i="1" a="1"/>
  <c r="AC75" i="1" a="1"/>
  <c r="AD41" i="1" a="1"/>
  <c r="Z7" i="1" a="1"/>
  <c r="AU48" i="1" a="1"/>
  <c r="L39" i="1" a="1"/>
  <c r="U40" i="1" a="1"/>
  <c r="AN66" i="1" a="1"/>
  <c r="AX72" i="1" a="1"/>
  <c r="S22" i="1" a="1"/>
  <c r="AN49" i="1" a="1"/>
  <c r="AH49" i="1" a="1"/>
  <c r="AH39" i="1" a="1"/>
  <c r="Z81" i="1" a="1"/>
  <c r="AX8" i="1" a="1"/>
  <c r="AG57" i="1" a="1"/>
  <c r="AP77" i="1" a="1"/>
  <c r="S6" i="1" a="1"/>
  <c r="R78" i="1" a="1"/>
  <c r="AF31" i="1" a="1"/>
  <c r="K9" i="1" a="1"/>
  <c r="AW77" i="1" a="1"/>
  <c r="AO69" i="1" a="1"/>
  <c r="AA50" i="1" a="1"/>
  <c r="AI60" i="1" a="1"/>
  <c r="K84" i="1" a="1"/>
  <c r="AE54" i="1" a="1"/>
  <c r="G47" i="1" a="1"/>
  <c r="H21" i="1" a="1"/>
  <c r="AD52" i="1" a="1"/>
  <c r="AR8" i="1" a="1"/>
  <c r="K12" i="1" a="1"/>
  <c r="P68" i="1" a="1"/>
  <c r="E57" i="1" a="1"/>
  <c r="I74" i="1" a="1"/>
  <c r="AT8" i="1" a="1"/>
  <c r="V13" i="1" a="1"/>
  <c r="AN21" i="1" a="1"/>
  <c r="AF39" i="1" a="1"/>
  <c r="AI61" i="1" a="1"/>
  <c r="AL50" i="1" a="1"/>
  <c r="I65" i="1" a="1"/>
  <c r="Y79" i="1" a="1"/>
  <c r="AH29" i="1" a="1"/>
  <c r="AQ76" i="1" a="1"/>
  <c r="AF78" i="1" a="1"/>
  <c r="G80" i="1" a="1"/>
  <c r="W50" i="1" a="1"/>
  <c r="Q73" i="1" a="1"/>
  <c r="I84" i="1" a="1"/>
  <c r="AA24" i="1" a="1"/>
  <c r="S66" i="1" a="1"/>
  <c r="AO23" i="1" a="1"/>
  <c r="S54" i="1" a="1"/>
  <c r="AV10" i="1" a="1"/>
  <c r="V64" i="1" a="1"/>
  <c r="AT47" i="1" a="1"/>
  <c r="F74" i="1" a="1"/>
  <c r="AB18" i="1" a="1"/>
  <c r="Y14" i="1" a="1"/>
  <c r="W33" i="1" a="1"/>
  <c r="W14" i="1" a="1"/>
  <c r="K28" i="1" a="1"/>
  <c r="C8" i="1" a="1"/>
  <c r="C68" i="1" a="1"/>
  <c r="D35" i="1" a="1"/>
  <c r="AC27" i="1" a="1"/>
  <c r="S7" i="1" a="1"/>
  <c r="W17" i="1" a="1"/>
  <c r="Y9" i="1" a="1"/>
  <c r="AW75" i="1" a="1"/>
  <c r="B13" i="1" a="1"/>
  <c r="U59" i="1" a="1"/>
  <c r="AL77" i="1" a="1"/>
  <c r="Z38" i="1" a="1"/>
  <c r="AE27" i="1" a="1"/>
  <c r="P29" i="1" a="1"/>
  <c r="E26" i="1" a="1"/>
  <c r="AE34" i="1" a="1"/>
  <c r="C31" i="1" a="1"/>
  <c r="V6" i="1" a="1"/>
  <c r="AM18" i="1" a="1"/>
  <c r="AK74" i="1" a="1"/>
  <c r="AC21" i="1" a="1"/>
  <c r="G72" i="1" a="1"/>
  <c r="AK67" i="1" a="1"/>
  <c r="AG51" i="1" a="1"/>
  <c r="AJ42" i="1" a="1"/>
  <c r="K59" i="1" a="1"/>
  <c r="AE33" i="1" a="1"/>
  <c r="AT78" i="1" a="1"/>
  <c r="AJ9" i="1" a="1"/>
  <c r="AF83" i="1" a="1"/>
  <c r="Y75" i="1" a="1"/>
  <c r="AB21" i="1" a="1"/>
  <c r="AH36" i="1" a="1"/>
  <c r="R52" i="1" a="1"/>
  <c r="AB31" i="1" a="1"/>
  <c r="U81" i="1" a="1"/>
  <c r="AW27" i="1" a="1"/>
  <c r="AQ74" i="1" a="1"/>
  <c r="B36" i="1" a="1"/>
  <c r="D14" i="1" a="1"/>
  <c r="AG71" i="1" a="1"/>
  <c r="X15" i="1" a="1"/>
  <c r="AW11" i="1" a="1"/>
  <c r="AQ52" i="1" a="1"/>
  <c r="AR56" i="1" a="1"/>
  <c r="AH25" i="1" a="1"/>
  <c r="Z24" i="1" a="1"/>
  <c r="G26" i="1" a="1"/>
  <c r="AV70" i="1" a="1"/>
  <c r="AA31" i="1" a="1"/>
  <c r="B59" i="1" a="1"/>
  <c r="E81" i="1" a="1"/>
  <c r="I11" i="1" a="1"/>
  <c r="AE20" i="1" a="1"/>
  <c r="E14" i="1" a="1"/>
  <c r="E34" i="1" a="1"/>
  <c r="AP26" i="1" a="1"/>
  <c r="AF56" i="1" a="1"/>
  <c r="W38" i="1" a="1"/>
  <c r="AL84" i="1" a="1"/>
  <c r="AF41" i="1" a="1"/>
  <c r="AB72" i="1" a="1"/>
  <c r="D36" i="1" a="1"/>
  <c r="AD61" i="1" a="1"/>
  <c r="B82" i="1" a="1"/>
  <c r="AC26" i="1" a="1"/>
  <c r="AH75" i="1" a="1"/>
  <c r="W45" i="1" a="1"/>
  <c r="J51" i="1" a="1"/>
  <c r="AG48" i="1" a="1"/>
  <c r="Z42" i="1" a="1"/>
  <c r="W74" i="1" a="1"/>
  <c r="W77" i="1" a="1"/>
  <c r="Q33" i="1" a="1"/>
  <c r="AE25" i="1" a="1"/>
  <c r="AD48" i="1" a="1"/>
  <c r="AI64" i="1" a="1"/>
  <c r="AD37" i="1" a="1"/>
  <c r="AF37" i="1" a="1"/>
  <c r="F24" i="1" a="1"/>
  <c r="H83" i="1" a="1"/>
  <c r="AF22" i="1" a="1"/>
  <c r="AB83" i="1" a="1"/>
  <c r="V40" i="1" a="1"/>
  <c r="AW66" i="1" a="1"/>
  <c r="Z37" i="1" a="1"/>
  <c r="AX22" i="1" a="1"/>
  <c r="B40" i="1" a="1"/>
  <c r="AC84" i="1" a="1"/>
  <c r="AV17" i="1" a="1"/>
  <c r="I26" i="1" a="1"/>
  <c r="AJ68" i="1" a="1"/>
  <c r="F68" i="1" a="1"/>
  <c r="X55" i="1" a="1"/>
  <c r="K38" i="1" a="1"/>
  <c r="V42" i="1" a="1"/>
  <c r="P26" i="1" a="1"/>
  <c r="AW39" i="1" a="1"/>
  <c r="AG64" i="1" a="1"/>
  <c r="C33" i="1" a="1"/>
  <c r="D50" i="1" a="1"/>
  <c r="B38" i="1" a="1"/>
  <c r="AG73" i="1" a="1"/>
  <c r="C62" i="1" a="1"/>
  <c r="L66" i="1" a="1"/>
  <c r="AA65" i="1" a="1"/>
  <c r="AB41" i="1" a="1"/>
  <c r="F77" i="1" a="1"/>
  <c r="AD9" i="1" a="1"/>
  <c r="AK53" i="1" a="1"/>
  <c r="U20" i="1" a="1"/>
  <c r="AM21" i="1" a="1"/>
  <c r="F11" i="1" a="1"/>
  <c r="AM61" i="1" a="1"/>
  <c r="U79" i="1" a="1"/>
  <c r="AF54" i="1" a="1"/>
  <c r="AL21" i="1" a="1"/>
  <c r="AJ13" i="1" a="1"/>
  <c r="B62" i="1" a="1"/>
  <c r="K49" i="1" a="1"/>
  <c r="AQ75" i="1" a="1"/>
  <c r="AM71" i="1" a="1"/>
  <c r="P38" i="1" a="1"/>
  <c r="AU68" i="1" a="1"/>
  <c r="AF21" i="1" a="1"/>
  <c r="AA21" i="1" a="1"/>
  <c r="AB8" i="1" a="1"/>
  <c r="AC55" i="1" a="1"/>
  <c r="AH27" i="1" a="1"/>
  <c r="S38" i="1" a="1"/>
  <c r="AI23" i="1" a="1"/>
  <c r="E10" i="1" a="1"/>
  <c r="H26" i="1" a="1"/>
  <c r="AA47" i="1" a="1"/>
  <c r="F33" i="1" a="1"/>
  <c r="I48" i="1" a="1"/>
  <c r="D6" i="1" a="1"/>
  <c r="Y40" i="1" a="1"/>
  <c r="AX35" i="1" a="1"/>
  <c r="K73" i="1" a="1"/>
  <c r="U44" i="1" a="1"/>
  <c r="R54" i="1" a="1"/>
  <c r="U6" i="1" a="1"/>
  <c r="AU15" i="1" a="1"/>
  <c r="AT74" i="1" a="1"/>
  <c r="AG79" i="1" a="1"/>
  <c r="G27" i="1" a="1"/>
  <c r="AI72" i="1" a="1"/>
  <c r="V62" i="1" a="1"/>
  <c r="C53" i="1" a="1"/>
  <c r="C50" i="1" a="1"/>
  <c r="AF81" i="1" a="1"/>
  <c r="S39" i="1" a="1"/>
  <c r="AR61" i="1" a="1"/>
  <c r="AG70" i="1" a="1"/>
  <c r="AT63" i="1" a="1"/>
  <c r="Y21" i="1" a="1"/>
  <c r="R63" i="1" a="1"/>
  <c r="F72" i="1" a="1"/>
  <c r="AM13" i="1" a="1"/>
  <c r="AX77" i="1" a="1"/>
  <c r="C35" i="1" a="1"/>
  <c r="AO40" i="1" a="1"/>
  <c r="AA36" i="1" a="1"/>
  <c r="AJ50" i="1" a="1"/>
  <c r="Q34" i="1" a="1"/>
  <c r="S57" i="1" a="1"/>
  <c r="AO63" i="1" a="1"/>
  <c r="G44" i="1" a="1"/>
  <c r="AI42" i="1" a="1"/>
  <c r="AD21" i="1" a="1"/>
  <c r="F20" i="1" a="1"/>
  <c r="AR20" i="1" a="1"/>
  <c r="U42" i="1" a="1"/>
  <c r="AO65" i="1" a="1"/>
  <c r="AG31" i="1" a="1"/>
  <c r="W63" i="1" a="1"/>
  <c r="AV48" i="1" a="1"/>
  <c r="AA83" i="1" a="1"/>
  <c r="F39" i="1" a="1"/>
  <c r="S52" i="1" a="1"/>
  <c r="D59" i="1" a="1"/>
  <c r="Q37" i="1" a="1"/>
  <c r="F28" i="1" a="1"/>
  <c r="AM11" i="1" a="1"/>
  <c r="L81" i="1" a="1"/>
  <c r="AC17" i="1" a="1"/>
  <c r="Z27" i="1" a="1"/>
  <c r="W59" i="1" a="1"/>
  <c r="W20" i="1" a="1"/>
  <c r="K15" i="1" a="1"/>
  <c r="G18" i="1" a="1"/>
  <c r="AK73" i="1" a="1"/>
  <c r="D16" i="1" a="1"/>
  <c r="F55" i="1" a="1"/>
  <c r="AE37" i="1" a="1"/>
  <c r="Z17" i="1" a="1"/>
  <c r="L27" i="1" a="1"/>
  <c r="U57" i="1" a="1"/>
  <c r="X44" i="1" a="1"/>
  <c r="AB10" i="1" a="1"/>
  <c r="AP27" i="1" a="1"/>
  <c r="AJ71" i="1" a="1"/>
  <c r="Y16" i="1" a="1"/>
  <c r="L10" i="1" a="1"/>
  <c r="C81" i="1" a="1"/>
  <c r="C21" i="1" a="1"/>
  <c r="Y44" i="1" a="1"/>
  <c r="AI71" i="1" a="1"/>
  <c r="I23" i="1" a="1"/>
  <c r="AM67" i="1" a="1"/>
  <c r="I46" i="1" a="1"/>
  <c r="R21" i="1" a="1"/>
  <c r="X41" i="1" a="1"/>
  <c r="AR39" i="1" a="1"/>
  <c r="AP81" i="1" a="1"/>
  <c r="X52" i="1" a="1"/>
  <c r="AH18" i="1" a="1"/>
  <c r="AF74" i="1" a="1"/>
  <c r="D76" i="1" a="1"/>
  <c r="Q49" i="1" a="1"/>
  <c r="AB71" i="1" a="1"/>
  <c r="AD28" i="1" a="1"/>
  <c r="J14" i="1" a="1"/>
  <c r="I60" i="1" a="1"/>
  <c r="AW13" i="1" a="1"/>
  <c r="AL40" i="1" a="1"/>
  <c r="AG52" i="1" a="1"/>
  <c r="K43" i="1" a="1"/>
  <c r="G82" i="1" a="1"/>
  <c r="V67" i="1" a="1"/>
  <c r="U17" i="1" a="1"/>
  <c r="AC13" i="1" a="1"/>
  <c r="W10" i="1" a="1"/>
  <c r="AC76" i="1" a="1"/>
  <c r="AD44" i="1" a="1"/>
  <c r="E58" i="1" a="1"/>
  <c r="G37" i="1" a="1"/>
  <c r="AR44" i="1" a="1"/>
  <c r="AI52" i="1" a="1"/>
  <c r="Z22" i="1" a="1"/>
  <c r="D41" i="1" a="1"/>
  <c r="X56" i="1" a="1"/>
  <c r="Y50" i="1" a="1"/>
  <c r="U9" i="1" a="1"/>
  <c r="D68" i="1" a="1"/>
  <c r="U41" i="1" a="1"/>
  <c r="E62" i="1" a="1"/>
  <c r="AA8" i="1" a="1"/>
  <c r="Q77" i="1" a="1"/>
  <c r="AE60" i="1" a="1"/>
  <c r="AB65" i="1" a="1"/>
  <c r="F69" i="1" a="1"/>
  <c r="J25" i="1" a="1"/>
  <c r="V43" i="1" a="1"/>
  <c r="R28" i="1" a="1"/>
  <c r="W31" i="1" a="1"/>
  <c r="AO52" i="1" a="1"/>
  <c r="AE61" i="1" a="1"/>
  <c r="V44" i="1" a="1"/>
  <c r="AV76" i="1" a="1"/>
  <c r="AK20" i="1" a="1"/>
  <c r="AJ84" i="1" a="1"/>
  <c r="AP54" i="1" a="1"/>
  <c r="P40" i="1" a="1"/>
  <c r="J57" i="1" a="1"/>
  <c r="X68" i="1" a="1"/>
  <c r="AP44" i="1" a="1"/>
  <c r="AL48" i="1" a="1"/>
  <c r="AU33" i="1" a="1"/>
  <c r="L36" i="1" a="1"/>
  <c r="AD38" i="1" a="1"/>
  <c r="J29" i="1" a="1"/>
  <c r="AN13" i="1" a="1"/>
  <c r="AK14" i="1" a="1"/>
  <c r="E28" i="1" a="1"/>
  <c r="J44" i="1" a="1"/>
  <c r="AP22" i="1" a="1"/>
  <c r="AP29" i="1" a="1"/>
  <c r="R45" i="1" a="1"/>
  <c r="AC79" i="1" a="1"/>
  <c r="L34" i="1" a="1"/>
  <c r="AL71" i="1" a="1"/>
  <c r="AF23" i="1" a="1"/>
  <c r="E8" i="1" a="1"/>
  <c r="AV47" i="1" a="1"/>
  <c r="AP47" i="1" a="1"/>
  <c r="AG12" i="1" a="1"/>
  <c r="AE48" i="1" a="1"/>
  <c r="Y59" i="1" a="1"/>
  <c r="AT69" i="1" a="1"/>
  <c r="AL57" i="1" a="1"/>
  <c r="Z33" i="1" a="1"/>
  <c r="X36" i="1" a="1"/>
  <c r="Q19" i="1" a="1"/>
  <c r="X50" i="1" a="1"/>
  <c r="AB46" i="1" a="1"/>
  <c r="AP59" i="1" a="1"/>
  <c r="W57" i="1" a="1"/>
  <c r="X35" i="1" a="1"/>
  <c r="H56" i="1" a="1"/>
  <c r="AV26" i="1" a="1"/>
  <c r="AI51" i="1" a="1"/>
  <c r="AF69" i="1" a="1"/>
  <c r="Y15" i="1" a="1"/>
  <c r="AK76" i="1" a="1"/>
  <c r="AF79" i="1" a="1"/>
  <c r="AL45" i="1" a="1"/>
  <c r="W53" i="1" a="1"/>
  <c r="AF66" i="1" a="1"/>
  <c r="AN17" i="1" a="1"/>
  <c r="W49" i="1" a="1"/>
  <c r="C52" i="1" a="1"/>
  <c r="AG11" i="1" a="1"/>
  <c r="V29" i="1" a="1"/>
  <c r="AC42" i="1" a="1"/>
  <c r="R32" i="1" a="1"/>
  <c r="AD10" i="1" a="1"/>
  <c r="AH16" i="1" a="1"/>
  <c r="AB24" i="1" a="1"/>
  <c r="AA14" i="1" a="1"/>
  <c r="K45" i="1" a="1"/>
  <c r="F42" i="1" a="1"/>
  <c r="Q66" i="1" a="1"/>
  <c r="AH24" i="1" a="1"/>
  <c r="AM31" i="1" a="1"/>
  <c r="AV83" i="1" a="1"/>
  <c r="AL49" i="1" a="1"/>
  <c r="AD68" i="1" a="1"/>
  <c r="G57" i="1" a="1"/>
  <c r="AV31" i="1" a="1"/>
  <c r="AA44" i="1" a="1"/>
  <c r="V56" i="1" a="1"/>
  <c r="AQ27" i="1" a="1"/>
  <c r="AU80" i="1" a="1"/>
  <c r="Z55" i="1" a="1"/>
  <c r="Z84" i="1" a="1"/>
  <c r="AJ28" i="1" a="1"/>
  <c r="P71" i="1" a="1"/>
  <c r="AH37" i="1" a="1"/>
  <c r="AM35" i="1" a="1"/>
  <c r="C49" i="1" a="1"/>
  <c r="AW58" i="1" a="1"/>
  <c r="C38" i="1" a="1"/>
  <c r="AX80" i="1" a="1"/>
  <c r="L45" i="1" a="1"/>
  <c r="AL62" i="1" a="1"/>
  <c r="AB80" i="1" a="1"/>
  <c r="AG63" i="1" a="1"/>
  <c r="L73" i="1" a="1"/>
  <c r="I19" i="1" a="1"/>
  <c r="AF30" i="1" a="1"/>
  <c r="AB76" i="1" a="1"/>
  <c r="L60" i="1" a="1"/>
  <c r="C30" i="1" a="1"/>
  <c r="G35" i="1" a="1"/>
  <c r="G63" i="1" a="1"/>
  <c r="AB63" i="1" a="1"/>
  <c r="V78" i="1" a="1"/>
  <c r="G6" i="1" a="1"/>
  <c r="Y73" i="1" a="1"/>
  <c r="AE31" i="1" a="1"/>
  <c r="J8" i="1" a="1"/>
  <c r="AJ6" i="1" a="1"/>
  <c r="C9" i="1" a="1"/>
  <c r="AK46" i="1" a="1"/>
  <c r="AC19" i="1" a="1"/>
  <c r="L64" i="1" a="1"/>
  <c r="I56" i="1" a="1"/>
  <c r="AL41" i="1" a="1"/>
  <c r="I27" i="1" a="1"/>
  <c r="AF27" i="1" a="1"/>
  <c r="AE46" i="1" a="1"/>
  <c r="E75" i="1" a="1"/>
  <c r="C79" i="1" a="1"/>
  <c r="Y22" i="1" a="1"/>
  <c r="AL7" i="1" a="1"/>
  <c r="C16" i="1" a="1"/>
  <c r="F70" i="1" a="1"/>
  <c r="AF33" i="1" a="1"/>
  <c r="AD51" i="1" a="1"/>
  <c r="AC80" i="1" a="1"/>
  <c r="AK70" i="1" a="1"/>
  <c r="AW71" i="1" a="1"/>
  <c r="C24" i="1" a="1"/>
  <c r="J7" i="1" a="1"/>
  <c r="E68" i="1" a="1"/>
  <c r="Q23" i="1" a="1"/>
  <c r="L46" i="1" a="1"/>
  <c r="G25" i="1" a="1"/>
  <c r="AM10" i="1" a="1"/>
  <c r="U56" i="1" a="1"/>
  <c r="R46" i="1" a="1"/>
  <c r="AC18" i="1" a="1"/>
  <c r="AT55" i="1" a="1"/>
  <c r="AM34" i="1" a="1"/>
  <c r="AV53" i="1" a="1"/>
  <c r="W70" i="1" a="1"/>
  <c r="AM20" i="1" a="1"/>
  <c r="I13" i="1" a="1"/>
  <c r="K63" i="1" a="1"/>
  <c r="AD32" i="1" a="1"/>
  <c r="AR75" i="1" a="1"/>
  <c r="P44" i="1" a="1"/>
  <c r="AE19" i="1" a="1"/>
  <c r="AX7" i="1" a="1"/>
  <c r="B39" i="1" a="1"/>
  <c r="AC63" i="1" a="1"/>
  <c r="S16" i="1" a="1"/>
  <c r="Y64" i="1" a="1"/>
  <c r="AG34" i="1" a="1"/>
  <c r="Q26" i="1" a="1"/>
  <c r="AH78" i="1" a="1"/>
  <c r="D7" i="1" a="1"/>
  <c r="E72" i="1" a="1"/>
  <c r="C39" i="1" a="1"/>
  <c r="AQ58" i="1" a="1"/>
  <c r="AQ72" i="1" a="1"/>
  <c r="Q63" i="1" a="1"/>
  <c r="AN71" i="1" a="1"/>
  <c r="AP46" i="1" a="1"/>
  <c r="P7" i="1" a="1"/>
  <c r="AM26" i="1" a="1"/>
  <c r="AF29" i="1" a="1"/>
  <c r="AC8" i="1" a="1"/>
  <c r="AJ8" i="1" a="1"/>
  <c r="AG37" i="1" a="1"/>
  <c r="H82" i="1" a="1"/>
  <c r="U13" i="1" a="1"/>
  <c r="AW9" i="1" a="1"/>
  <c r="AJ63" i="1" a="1"/>
  <c r="P30" i="1" a="1"/>
  <c r="AL35" i="1" a="1"/>
  <c r="L28" i="1" a="1"/>
  <c r="AE49" i="1" a="1"/>
  <c r="AP37" i="1" a="1"/>
  <c r="AW78" i="1" a="1"/>
  <c r="AJ59" i="1" a="1"/>
  <c r="K20" i="1" a="1"/>
  <c r="X59" i="1" a="1"/>
  <c r="AI12" i="1" a="1"/>
  <c r="AE32" i="1" a="1"/>
  <c r="AE17" i="1" a="1"/>
  <c r="AU6" i="1" a="1"/>
  <c r="C15" i="1" a="1"/>
  <c r="L74" i="1" a="1"/>
  <c r="P45" i="1" a="1"/>
  <c r="V65" i="1" a="1"/>
  <c r="AK43" i="1" a="1"/>
  <c r="P8" i="1" a="1"/>
  <c r="D47" i="1" a="1"/>
  <c r="Q38" i="1" a="1"/>
  <c r="AA80" i="1" a="1"/>
  <c r="AR22" i="1" a="1"/>
  <c r="K36" i="1" a="1"/>
  <c r="AN81" i="1" a="1"/>
  <c r="U24" i="1" a="1"/>
  <c r="Q46" i="1" a="1"/>
  <c r="F35" i="1" a="1"/>
  <c r="Q81" i="1" a="1"/>
  <c r="V21" i="1" a="1"/>
  <c r="Q71" i="1" a="1"/>
  <c r="E36" i="1" a="1"/>
  <c r="AC23" i="1" a="1"/>
  <c r="X33" i="1" a="1"/>
  <c r="AF7" i="1" a="1"/>
  <c r="U71" i="1" a="1"/>
  <c r="Z39" i="1" a="1"/>
  <c r="Q47" i="1" a="1"/>
  <c r="AJ74" i="1" a="1"/>
  <c r="G54" i="1" a="1"/>
  <c r="Y65" i="1" a="1"/>
  <c r="Z29" i="1" a="1"/>
  <c r="Y70" i="1" a="1"/>
  <c r="AC33" i="1" a="1"/>
  <c r="F9" i="1" a="1"/>
  <c r="F27" i="1" a="1"/>
  <c r="Y6" i="1" a="1"/>
  <c r="AR6" i="1" a="1"/>
  <c r="AG16" i="1" a="1"/>
  <c r="AA70" i="1" a="1"/>
  <c r="C63" i="1" a="1"/>
  <c r="L16" i="1" a="1"/>
  <c r="AI75" i="1" a="1"/>
  <c r="F67" i="1" a="1"/>
  <c r="AP61" i="1" a="1"/>
  <c r="I24" i="1" a="1"/>
  <c r="AH15" i="1" a="1"/>
  <c r="E73" i="1" a="1"/>
  <c r="AA12" i="1" a="1"/>
  <c r="AO71" i="1" a="1"/>
  <c r="Q35" i="1" a="1"/>
  <c r="V17" i="1" a="1"/>
  <c r="AK55" i="1" a="1"/>
  <c r="R9" i="1" a="1"/>
  <c r="AL73" i="1" a="1"/>
  <c r="AL38" i="1" a="1"/>
  <c r="AM68" i="1" a="1"/>
  <c r="AK49" i="1" a="1"/>
  <c r="P59" i="1" a="1"/>
  <c r="V8" i="1" a="1"/>
  <c r="U48" i="1" a="1"/>
  <c r="B76" i="1" a="1"/>
  <c r="AW63" i="1" a="1"/>
  <c r="I28" i="1" a="1"/>
  <c r="AF65" i="1" a="1"/>
  <c r="D38" i="1" a="1"/>
  <c r="AH20" i="1" a="1"/>
  <c r="P27" i="1" a="1"/>
  <c r="AE83" i="1" a="1"/>
  <c r="B35" i="1" a="1"/>
  <c r="AA51" i="1" a="1"/>
  <c r="AB17" i="1" a="1"/>
  <c r="AE22" i="1" a="1"/>
  <c r="Q15" i="1" a="1"/>
  <c r="AP65" i="1" a="1"/>
  <c r="AE75" i="1" a="1"/>
  <c r="H71" i="1" a="1"/>
  <c r="U45" i="1" a="1"/>
  <c r="AJ7" i="1" a="1"/>
  <c r="S20" i="1" a="1"/>
  <c r="J42" i="1" a="1"/>
  <c r="X80" i="1" a="1"/>
  <c r="AP24" i="1" a="1"/>
  <c r="AQ49" i="1" a="1"/>
  <c r="AO79" i="1" a="1"/>
  <c r="E63" i="1" a="1"/>
  <c r="R82" i="1" a="1"/>
  <c r="AO81" i="1" a="1"/>
  <c r="R55" i="1" a="1"/>
  <c r="Q84" i="1" a="1"/>
  <c r="AK82" i="1" a="1"/>
  <c r="AV64" i="1" a="1"/>
  <c r="AU54" i="1" a="1"/>
  <c r="V51" i="1" a="1"/>
  <c r="Z49" i="1" a="1"/>
  <c r="AV41" i="1" a="1"/>
  <c r="Z45" i="1" a="1"/>
  <c r="L77" i="1" a="1"/>
  <c r="AO13" i="1" a="1"/>
  <c r="V81" i="1" a="1"/>
  <c r="Z10" i="1" a="1"/>
  <c r="I33" i="1" a="1"/>
  <c r="AN65" i="1" a="1"/>
  <c r="AM47" i="1" a="1"/>
  <c r="AJ44" i="1" a="1"/>
  <c r="G45" i="1" a="1"/>
  <c r="AI63" i="1" a="1"/>
  <c r="AI40" i="1" a="1"/>
  <c r="D72" i="1" a="1"/>
  <c r="C82" i="1" a="1"/>
  <c r="AF28" i="1" a="1"/>
  <c r="AO76" i="1" a="1"/>
  <c r="AG83" i="1" a="1"/>
  <c r="AB36" i="1" a="1"/>
  <c r="AO34" i="1" a="1"/>
  <c r="D13" i="1" a="1"/>
  <c r="AU77" i="1" a="1"/>
  <c r="I20" i="1" a="1"/>
  <c r="AP48" i="1" a="1"/>
  <c r="AG33" i="1" a="1"/>
  <c r="C75" i="1" a="1"/>
  <c r="J82" i="1" a="1"/>
  <c r="AG40" i="1" a="1"/>
  <c r="AN39" i="1" a="1"/>
  <c r="AX70" i="1" a="1"/>
  <c r="AO20" i="1" a="1"/>
  <c r="H23" i="1" a="1"/>
  <c r="P50" i="1" a="1"/>
  <c r="AU82" i="1" a="1"/>
  <c r="Z60" i="1" a="1"/>
  <c r="G9" i="1" a="1"/>
  <c r="AP6" i="1" a="1"/>
  <c r="Q79" i="1" a="1"/>
  <c r="X14" i="1" a="1"/>
  <c r="B81" i="1" a="1"/>
  <c r="AN37" i="1" a="1"/>
  <c r="K18" i="1" a="1"/>
  <c r="Y69" i="1" a="1"/>
  <c r="F64" i="1" a="1"/>
  <c r="H6" i="1" a="1"/>
  <c r="AW35" i="1" a="1"/>
  <c r="AF72" i="1" a="1"/>
  <c r="AG62" i="1" a="1"/>
  <c r="AG84" i="1" a="1"/>
  <c r="R48" i="1" a="1"/>
  <c r="X27" i="1" a="1"/>
  <c r="E27" i="1" a="1"/>
  <c r="E46" i="1" a="1"/>
  <c r="AE16" i="1" a="1"/>
  <c r="X76" i="1" a="1"/>
  <c r="AA29" i="1" a="1"/>
  <c r="AQ69" i="1" a="1"/>
  <c r="C56" i="1" a="1"/>
  <c r="AP13" i="1" a="1"/>
  <c r="AE43" i="1" a="1"/>
  <c r="AJ15" i="1" a="1"/>
  <c r="K33" i="1" a="1"/>
  <c r="AK60" i="1" a="1"/>
  <c r="AK59" i="1" a="1"/>
  <c r="AK13" i="1" a="1"/>
  <c r="AA11" i="1" a="1"/>
  <c r="AB16" i="1" a="1"/>
  <c r="P21" i="1" a="1"/>
  <c r="AM14" i="1" a="1"/>
  <c r="K14" i="1" a="1"/>
  <c r="J41" i="1" a="1"/>
  <c r="Q55" i="1" a="1"/>
  <c r="G17" i="1" a="1"/>
  <c r="AG39" i="1" a="1"/>
  <c r="AA38" i="1" a="1"/>
  <c r="P70" i="1" a="1"/>
  <c r="G62" i="1" a="1"/>
  <c r="AL72" i="1" a="1"/>
  <c r="AB45" i="1" a="1"/>
  <c r="X40" i="1" a="1"/>
  <c r="K35" i="1" a="1"/>
  <c r="S46" i="1" a="1"/>
  <c r="I49" i="1" a="1"/>
  <c r="P82" i="1" a="1"/>
  <c r="Q74" i="1" a="1"/>
  <c r="K13" i="1" a="1"/>
  <c r="B42" i="1" a="1"/>
  <c r="W83" i="1" a="1"/>
  <c r="Q42" i="1" a="1"/>
  <c r="G31" i="1" a="1"/>
  <c r="W13" i="1" a="1"/>
  <c r="F59" i="1" a="1"/>
  <c r="V50" i="1" a="1"/>
  <c r="AJ79" i="1" a="1"/>
  <c r="AM73" i="1" a="1"/>
  <c r="K57" i="1" a="1"/>
  <c r="B71" i="1" a="1"/>
  <c r="E20" i="1" a="1"/>
  <c r="L30" i="1" a="1"/>
  <c r="W62" i="1" a="1"/>
  <c r="AM12" i="1" a="1"/>
  <c r="AB60" i="1" a="1"/>
  <c r="B51" i="1" a="1"/>
  <c r="Q8" i="1" a="1"/>
  <c r="AD43" i="1" a="1"/>
  <c r="AI83" i="1" a="1"/>
  <c r="V32" i="1" a="1"/>
  <c r="AX53" i="1" a="1"/>
  <c r="B6" i="1" a="1"/>
  <c r="Q80" i="1" a="1"/>
  <c r="AA45" i="1" a="1"/>
  <c r="G65" i="1" a="1"/>
  <c r="AI15" i="1" a="1"/>
  <c r="E82" i="1" a="1"/>
  <c r="AP25" i="1" a="1"/>
  <c r="AL22" i="1" a="1"/>
  <c r="AW24" i="1" a="1"/>
  <c r="AD62" i="1" a="1"/>
  <c r="W79" i="1" a="1"/>
  <c r="AL63" i="1" a="1"/>
  <c r="Q11" i="1" a="1"/>
  <c r="R73" i="1" a="1"/>
  <c r="F10" i="1" a="1"/>
  <c r="F8" i="1" a="1"/>
  <c r="AP82" i="1" a="1"/>
  <c r="D60" i="1" a="1"/>
  <c r="E23" i="1" a="1"/>
  <c r="Z40" i="1" a="1"/>
  <c r="AG23" i="1" a="1"/>
  <c r="AW47" i="1" a="1"/>
  <c r="H37" i="1" a="1"/>
  <c r="AL25" i="1" a="1"/>
  <c r="AA76" i="1" a="1"/>
  <c r="L55" i="1" a="1"/>
  <c r="Z56" i="1" a="1"/>
  <c r="AU45" i="1" a="1"/>
  <c r="J24" i="1" a="1"/>
  <c r="C18" i="1" a="1"/>
  <c r="AE84" i="1" a="1"/>
  <c r="AQ63" i="1" a="1"/>
  <c r="Y37" i="1" a="1"/>
  <c r="AA43" i="1" a="1"/>
  <c r="AI28" i="1" a="1"/>
  <c r="Z77" i="1" a="1"/>
  <c r="Q7" i="1" a="1"/>
  <c r="V84" i="1" a="1"/>
  <c r="U14" i="1" a="1"/>
  <c r="F7" i="1" a="1"/>
  <c r="AM46" i="1" a="1"/>
  <c r="AU9" i="1" a="1"/>
  <c r="G36" i="1" a="1"/>
  <c r="L70" i="1" a="1"/>
  <c r="H60" i="1" a="1"/>
  <c r="AH42" i="1" a="1"/>
  <c r="AF53" i="1" a="1"/>
  <c r="P14" i="1" a="1"/>
  <c r="AE80" i="1" a="1"/>
  <c r="AU76" i="1" a="1"/>
  <c r="P19" i="1" a="1"/>
  <c r="AO73" i="1" a="1"/>
  <c r="AQ17" i="1" a="1"/>
  <c r="AN82" i="1" a="1"/>
  <c r="E21" i="1" a="1"/>
  <c r="AQ18" i="1" a="1"/>
  <c r="U72" i="1" a="1"/>
  <c r="K26" i="1" a="1"/>
  <c r="AT25" i="1" a="1"/>
  <c r="AP68" i="1" a="1"/>
  <c r="AE70" i="1" a="1"/>
  <c r="AI76" i="1" a="1"/>
  <c r="AN79" i="1" a="1"/>
  <c r="AI74" i="1" a="1"/>
  <c r="AH19" i="1" a="1"/>
  <c r="S14" i="1" a="1"/>
  <c r="AE36" i="1" a="1"/>
  <c r="V45" i="1" a="1"/>
  <c r="Z6" i="1" a="1"/>
  <c r="AK35" i="1" a="1"/>
  <c r="AT66" i="1" a="1"/>
  <c r="AP8" i="1" a="1"/>
  <c r="I61" i="1" a="1"/>
  <c r="H84" i="1" a="1"/>
  <c r="AR36" i="1" a="1"/>
  <c r="AO72" i="1" a="1"/>
  <c r="W84" i="1" a="1"/>
  <c r="H62" i="1" a="1"/>
  <c r="F81" i="1" a="1"/>
  <c r="AU41" i="1" a="1"/>
  <c r="E60" i="1" a="1"/>
  <c r="AL8" i="1" a="1"/>
  <c r="AJ18" i="1" a="1"/>
  <c r="L20" i="1" a="1"/>
  <c r="U34" i="1" a="1"/>
  <c r="G12" i="1" a="1"/>
  <c r="AI48" i="1" a="1"/>
  <c r="AJ24" i="1" a="1"/>
  <c r="S49" i="1" a="1"/>
  <c r="AV62" i="1" a="1"/>
  <c r="R44" i="1" a="1"/>
  <c r="AC22" i="1" a="1"/>
  <c r="AG9" i="1" a="1"/>
  <c r="W76" i="1" a="1"/>
  <c r="J26" i="1" a="1"/>
  <c r="R10" i="1" a="1"/>
  <c r="AH69" i="1" a="1"/>
  <c r="AE69" i="1" a="1"/>
  <c r="AN24" i="1" a="1"/>
  <c r="AT34" i="1" a="1"/>
  <c r="L65" i="1" a="1"/>
  <c r="AQ7" i="1" a="1"/>
  <c r="S34" i="1" a="1"/>
  <c r="S24" i="1" a="1"/>
  <c r="AU61" i="1" a="1"/>
  <c r="J73" i="1" a="1"/>
  <c r="AG44" i="1" a="1"/>
  <c r="AN7" i="1" a="1"/>
  <c r="AD54" i="1" a="1"/>
  <c r="AV12" i="1" a="1"/>
  <c r="AC38" i="1" a="1"/>
  <c r="AL52" i="1" a="1"/>
  <c r="AP9" i="1" a="1"/>
  <c r="AF70" i="1" a="1"/>
  <c r="B70" i="1" a="1"/>
  <c r="B47" i="1" a="1"/>
  <c r="AH80" i="1" a="1"/>
  <c r="AX81" i="1" a="1"/>
  <c r="E45" i="1" a="1"/>
  <c r="AL70" i="1" a="1"/>
  <c r="AM23" i="1" a="1"/>
  <c r="H48" i="1" a="1"/>
  <c r="AB11" i="1" a="1"/>
  <c r="V20" i="1" a="1"/>
  <c r="J53" i="1" a="1"/>
  <c r="AT77" i="1" a="1"/>
  <c r="AD42" i="1" a="1"/>
  <c r="V25" i="1" a="1"/>
  <c r="AM72" i="1" a="1"/>
  <c r="X49" i="1" a="1"/>
  <c r="AJ49" i="1" a="1"/>
  <c r="F79" i="1" a="1"/>
  <c r="W55" i="1" a="1"/>
  <c r="AT32" i="1" a="1"/>
  <c r="R43" i="1" a="1"/>
  <c r="AG77" i="1" a="1"/>
  <c r="F75" i="1" a="1"/>
  <c r="AW67" i="1" a="1"/>
  <c r="AV32" i="1" a="1"/>
  <c r="AI82" i="1" a="1"/>
  <c r="AV63" i="1" a="1"/>
  <c r="W11" i="1" a="1"/>
  <c r="Q31" i="1" a="1"/>
  <c r="V66" i="1" a="1"/>
  <c r="AG80" i="1" a="1"/>
  <c r="AT65" i="1" a="1"/>
  <c r="E25" i="1" a="1"/>
  <c r="AD35" i="1" a="1"/>
  <c r="C83" i="1" a="1"/>
  <c r="D63" i="1" a="1"/>
  <c r="H24" i="1" a="1"/>
  <c r="AF45" i="1" a="1"/>
  <c r="AK48" i="1" a="1"/>
  <c r="AI31" i="1" a="1"/>
  <c r="Z16" i="1" a="1"/>
  <c r="H42" i="1" a="1"/>
  <c r="B37" i="1" a="1"/>
  <c r="U29" i="1" a="1"/>
  <c r="AK42" i="1" a="1"/>
  <c r="AO19" i="1" a="1"/>
  <c r="AQ67" i="1" a="1"/>
  <c r="AT81" i="1" a="1"/>
  <c r="H25" i="1" a="1"/>
  <c r="D20" i="1" a="1"/>
  <c r="AF12" i="1" a="1"/>
  <c r="AD81" i="1" a="1"/>
  <c r="AM17" i="1" a="1"/>
  <c r="AD45" i="1" a="1"/>
  <c r="W37" i="1" a="1"/>
  <c r="AK81" i="1" a="1"/>
  <c r="AN57" i="1" a="1"/>
  <c r="AT9" i="1" a="1"/>
  <c r="F41" i="1" a="1"/>
  <c r="D77" i="1" a="1"/>
  <c r="X9" i="1" a="1"/>
  <c r="AT43" i="1" a="1"/>
  <c r="J16" i="1" a="1"/>
  <c r="AI21" i="1" a="1"/>
  <c r="W23" i="1" a="1"/>
  <c r="B57" i="1" a="1"/>
  <c r="R57" i="1" a="1"/>
  <c r="Y78" i="1" a="1"/>
  <c r="AB38" i="1" a="1"/>
  <c r="AE62" i="1" a="1"/>
  <c r="AM84" i="1" a="1"/>
  <c r="AL61" i="1" a="1"/>
  <c r="K76" i="1" a="1"/>
  <c r="I57" i="1" a="1"/>
  <c r="K75" i="1" a="1"/>
  <c r="AC30" i="1" a="1"/>
  <c r="AQ22" i="1" a="1"/>
  <c r="P63" i="1" a="1"/>
  <c r="W24" i="1" a="1"/>
  <c r="W30" i="1" a="1"/>
  <c r="AC32" i="1" a="1"/>
  <c r="K17" i="1" a="1"/>
  <c r="J21" i="1" a="1"/>
  <c r="D25" i="1" a="1"/>
  <c r="AQ59" i="1" a="1"/>
  <c r="D33" i="1" a="1"/>
  <c r="W61" i="1" a="1"/>
  <c r="V74" i="1" a="1"/>
  <c r="B74" i="1" a="1"/>
  <c r="C58" i="1" a="1"/>
  <c r="AO17" i="1" a="1"/>
  <c r="AI47" i="1" a="1"/>
  <c r="J35" i="1" a="1"/>
  <c r="AM65" i="1" a="1"/>
  <c r="V76" i="1" a="1"/>
  <c r="AD34" i="1" a="1"/>
  <c r="B66" i="1" a="1"/>
  <c r="H54" i="1" a="1"/>
  <c r="AC54" i="1" a="1"/>
  <c r="C60" i="1" a="1"/>
  <c r="AA82" i="1" a="1"/>
  <c r="AX84" i="1" a="1"/>
  <c r="V12" i="1" a="1"/>
  <c r="AN42" i="1" a="1"/>
  <c r="Y39" i="1" a="1"/>
  <c r="AL82" i="1" a="1"/>
  <c r="AA6" i="1" a="1"/>
  <c r="AL31" i="1" a="1"/>
  <c r="W56" i="1" a="1"/>
  <c r="E65" i="1" a="1"/>
  <c r="Q58" i="1" a="1"/>
  <c r="B46" i="1" a="1"/>
  <c r="E54" i="1" a="1"/>
  <c r="P57" i="1" a="1"/>
  <c r="AC59" i="1" a="1"/>
  <c r="AG15" i="1" a="1"/>
  <c r="AI45" i="1" a="1"/>
  <c r="P67" i="1" a="1"/>
  <c r="I72" i="1" a="1"/>
  <c r="P11" i="1" a="1"/>
  <c r="W82" i="1" a="1"/>
  <c r="U47" i="1" a="1"/>
  <c r="AE15" i="1" a="1"/>
  <c r="AM42" i="1" a="1"/>
  <c r="AJ35" i="1" a="1"/>
  <c r="AT11" i="1" a="1"/>
  <c r="AQ84" i="1" a="1"/>
  <c r="Q83" i="1" a="1"/>
  <c r="J39" i="1" a="1"/>
  <c r="P25" i="1" a="1"/>
  <c r="AC56" i="1" a="1"/>
  <c r="AE38" i="1" a="1"/>
  <c r="AT56" i="1" a="1"/>
  <c r="AH64" i="1" a="1"/>
  <c r="AL42" i="1" a="1"/>
  <c r="K80" i="1" a="1"/>
  <c r="J40" i="1" a="1"/>
  <c r="AI11" i="1" a="1"/>
  <c r="X17" i="1" a="1"/>
  <c r="U52" i="1" a="1"/>
  <c r="AB61" i="1" a="1"/>
  <c r="R37" i="1" a="1"/>
  <c r="V19" i="1" a="1"/>
  <c r="AQ77" i="1" a="1"/>
  <c r="F47" i="1" a="1"/>
  <c r="I76" i="1" a="1"/>
  <c r="AC39" i="1" a="1"/>
  <c r="AL56" i="1" a="1"/>
  <c r="AC72" i="1" a="1"/>
  <c r="H45" i="1" a="1"/>
  <c r="P66" i="1" a="1"/>
  <c r="U35" i="1" a="1"/>
  <c r="AI7" i="1" a="1"/>
  <c r="R14" i="1" a="1"/>
  <c r="AI6" i="1" a="1"/>
  <c r="AH52" i="1" a="1"/>
  <c r="AX18" i="1" a="1"/>
  <c r="B16" i="1" a="1"/>
  <c r="AW59" i="1" a="1"/>
  <c r="AK69" i="1" a="1"/>
  <c r="U80" i="1" a="1"/>
  <c r="AM60" i="1" a="1"/>
  <c r="X51" i="1" a="1"/>
  <c r="E29" i="1" a="1"/>
  <c r="X21" i="1" a="1"/>
  <c r="AH71" i="1" a="1"/>
  <c r="J32" i="1" a="1"/>
  <c r="R47" i="1" a="1"/>
  <c r="AV54" i="1" a="1"/>
  <c r="AT15" i="1" a="1"/>
  <c r="AW32" i="1" a="1"/>
  <c r="AI43" i="1" a="1"/>
  <c r="AJ16" i="1" a="1"/>
  <c r="AE45" i="1" a="1"/>
  <c r="K81" i="1" a="1"/>
  <c r="U32" i="1" a="1"/>
  <c r="AU51" i="1" a="1"/>
  <c r="AL58" i="1" a="1"/>
  <c r="AN80" i="1" a="1"/>
  <c r="Y38" i="1" a="1"/>
  <c r="Z35" i="1" a="1"/>
  <c r="G22" i="1" a="1"/>
  <c r="AB69" i="1" a="1"/>
  <c r="AU16" i="1" a="1"/>
  <c r="L25" i="1" a="1"/>
  <c r="I25" i="1" a="1"/>
  <c r="Z78" i="1" a="1"/>
  <c r="D8" i="1" a="1"/>
  <c r="AJ83" i="1" a="1"/>
  <c r="AN38" i="1" a="1"/>
  <c r="AC60" i="1" a="1"/>
  <c r="C12" i="1" a="1"/>
  <c r="L61" i="1" a="1"/>
  <c r="Y41" i="1" a="1"/>
  <c r="R71" i="1" a="1"/>
  <c r="AD67" i="1" a="1"/>
  <c r="AT42" i="1" a="1"/>
  <c r="Q25" i="1" a="1"/>
  <c r="B29" i="1" a="1"/>
  <c r="AD46" i="1" a="1"/>
  <c r="AC6" i="1" a="1"/>
  <c r="H75" i="1" a="1"/>
  <c r="J54" i="1" a="1"/>
  <c r="AR72" i="1" a="1"/>
  <c r="E49" i="1" a="1"/>
  <c r="AQ31" i="1" a="1"/>
  <c r="P55" i="1" a="1"/>
  <c r="AL32" i="1" a="1"/>
  <c r="V69" i="1" a="1"/>
  <c r="AA72" i="1" a="1"/>
  <c r="AB37" i="1" a="1"/>
  <c r="X70" i="1" a="1"/>
  <c r="AG30" i="1" a="1"/>
  <c r="AL75" i="1" a="1"/>
  <c r="F60" i="1" a="1"/>
  <c r="F50" i="1" a="1"/>
  <c r="H64" i="1" a="1"/>
  <c r="AI68" i="1" a="1"/>
  <c r="I50" i="1" a="1"/>
  <c r="B67" i="1" a="1"/>
  <c r="AL14" i="1" a="1"/>
  <c r="H10" i="1" a="1"/>
  <c r="AA55" i="1" a="1"/>
  <c r="AM27" i="1" a="1"/>
  <c r="S41" i="1" a="1"/>
  <c r="AT14" i="1" a="1"/>
  <c r="V63" i="1" a="1"/>
  <c r="C7" i="1" a="1"/>
  <c r="D71" i="1" a="1"/>
  <c r="H61" i="1" a="1"/>
  <c r="AG53" i="1" a="1"/>
  <c r="P62" i="1" a="1"/>
  <c r="AH67" i="1" a="1"/>
  <c r="AP45" i="1" a="1"/>
  <c r="AG20" i="1" a="1"/>
  <c r="X32" i="1" a="1"/>
  <c r="J47" i="1" a="1"/>
  <c r="AG74" i="1" a="1"/>
  <c r="D31" i="1" a="1"/>
  <c r="J34" i="1" a="1"/>
  <c r="AI66" i="1" a="1"/>
  <c r="AB74" i="1" a="1"/>
  <c r="H44" i="1" a="1"/>
  <c r="E51" i="1" a="1"/>
  <c r="C17" i="1" a="1"/>
  <c r="C70" i="1" a="1"/>
  <c r="J11" i="1" a="1"/>
  <c r="AW8" i="1" a="1"/>
  <c r="AB32" i="1" a="1"/>
  <c r="C41" i="1" a="1"/>
  <c r="W66" i="1" a="1"/>
  <c r="AB30" i="1" a="1"/>
  <c r="AL10" i="1" a="1"/>
  <c r="E35" i="1" a="1"/>
  <c r="AP78" i="1" a="1"/>
  <c r="Q57" i="1" a="1"/>
  <c r="AH6" i="1" a="1"/>
  <c r="P72" i="1" a="1"/>
  <c r="B83" i="1" a="1"/>
  <c r="AG36" i="1" a="1"/>
  <c r="AG6" i="1" a="1"/>
  <c r="Y57" i="1" a="1"/>
  <c r="AH62" i="1" a="1"/>
  <c r="W8" i="1" a="1"/>
  <c r="H9" i="1" a="1"/>
  <c r="AC62" i="1" a="1"/>
  <c r="AF8" i="1" a="1"/>
  <c r="AU47" i="1" a="1"/>
  <c r="AT35" i="1" a="1"/>
  <c r="AK30" i="1" a="1"/>
  <c r="AX55" i="1" a="1"/>
  <c r="AE71" i="1" a="1"/>
  <c r="Z61" i="1" a="1"/>
  <c r="AR63" i="1" a="1"/>
  <c r="B7" i="1" a="1"/>
  <c r="K51" i="1" a="1"/>
  <c r="I6" i="1" a="1"/>
  <c r="Y36" i="1" a="1"/>
  <c r="AV50" i="1" a="1"/>
  <c r="AJ21" i="1" a="1"/>
  <c r="I80" i="1" a="1"/>
  <c r="AM19" i="1" a="1"/>
  <c r="AI57" i="1" a="1"/>
  <c r="P83" i="1" a="1"/>
  <c r="W52" i="1" a="1"/>
  <c r="AC69" i="1" a="1"/>
  <c r="AR68" i="1" a="1"/>
  <c r="AX17" i="1" a="1"/>
  <c r="U19" i="1" a="1"/>
  <c r="C78" i="1" a="1"/>
  <c r="J77" i="1" a="1"/>
  <c r="C45" i="1" a="1"/>
  <c r="V71" i="1" a="1"/>
  <c r="P20" i="1" a="1"/>
  <c r="AN25" i="1" a="1"/>
  <c r="AA42" i="1" a="1"/>
  <c r="L14" i="1" a="1"/>
  <c r="F45" i="1" a="1"/>
  <c r="AJ12" i="1" a="1"/>
  <c r="U73" i="1" a="1"/>
  <c r="AJ26" i="1" a="1"/>
  <c r="X12" i="1" a="1"/>
  <c r="F15" i="1" a="1"/>
  <c r="B32" i="1" a="1"/>
  <c r="AM63" i="1" a="1"/>
  <c r="AO62" i="1" a="1"/>
  <c r="AA71" i="1" a="1"/>
  <c r="U30" i="1" a="1"/>
  <c r="F21" i="1" a="1"/>
  <c r="AN18" i="1" a="1"/>
  <c r="AK8" i="1" a="1"/>
  <c r="AF48" i="1" a="1"/>
  <c r="D55" i="1" a="1"/>
  <c r="AG59" i="1" a="1"/>
  <c r="K11" i="1" a="1"/>
  <c r="J23" i="1" a="1"/>
  <c r="AT40" i="1" a="1"/>
  <c r="AH66" i="1" a="1"/>
  <c r="AG66" i="1" a="1"/>
  <c r="R56" i="1" a="1"/>
  <c r="Q67" i="1" a="1"/>
  <c r="AK66" i="1" a="1"/>
  <c r="AL74" i="1" a="1"/>
  <c r="L22" i="1" a="1"/>
  <c r="AB52" i="1" a="1"/>
  <c r="G39" i="1" a="1"/>
  <c r="AG65" i="1" a="1"/>
  <c r="AM24" i="1" a="1"/>
  <c r="X23" i="1" a="1"/>
  <c r="Y43" i="1" a="1"/>
  <c r="AU72" i="1" a="1"/>
  <c r="Y71" i="1" a="1"/>
  <c r="AW57" i="1" a="1"/>
  <c r="B8" i="1" a="1"/>
  <c r="AB54" i="1" a="1"/>
  <c r="AH31" i="1" a="1"/>
  <c r="AQ21" i="1" a="1"/>
  <c r="AF43" i="1" a="1"/>
  <c r="H40" i="1" a="1"/>
  <c r="AQ23" i="1" a="1"/>
  <c r="I36" i="1" a="1"/>
  <c r="AK50" i="1" a="1"/>
  <c r="AF82" i="1" a="1"/>
  <c r="AH22" i="1" a="1"/>
  <c r="AL36" i="1" a="1"/>
  <c r="G59" i="1" a="1"/>
  <c r="I66" i="1" a="1"/>
  <c r="AT21" i="1" a="1"/>
  <c r="AF18" i="1" a="1"/>
  <c r="L72" i="1" a="1"/>
  <c r="L84" i="1" a="1"/>
  <c r="AD14" i="1" a="1"/>
  <c r="K23" i="1" a="1"/>
  <c r="P53" i="1" a="1"/>
  <c r="K55" i="1" a="1"/>
  <c r="AP67" i="1" a="1"/>
  <c r="AE58" i="1" a="1"/>
  <c r="B63" i="1" a="1"/>
  <c r="Y13" i="1" a="1"/>
  <c r="AJ48" i="1" a="1"/>
  <c r="C11" i="1" a="1"/>
  <c r="AD58" i="1" a="1"/>
  <c r="Y30" i="1" a="1"/>
  <c r="H11" i="1" a="1"/>
  <c r="AN8" i="1" a="1"/>
  <c r="AC61" i="1" a="1"/>
  <c r="C23" i="1" a="1"/>
  <c r="J80" i="1" a="1"/>
  <c r="G81" i="1" a="1"/>
  <c r="G30" i="1" a="1"/>
  <c r="AO74" i="1" a="1"/>
  <c r="P51" i="1" a="1"/>
  <c r="E17" i="1" a="1"/>
  <c r="V30" i="1" a="1"/>
  <c r="J76" i="1" a="1"/>
  <c r="C47" i="1" a="1"/>
  <c r="F65" i="1" a="1"/>
  <c r="R61" i="1" a="1"/>
  <c r="P28" i="1" a="1"/>
  <c r="AA64" i="1" a="1"/>
  <c r="J81" i="1" a="1"/>
  <c r="J75" i="1" a="1"/>
  <c r="H27" i="1" a="1"/>
  <c r="G40" i="1" a="1"/>
  <c r="AL53" i="1" a="1"/>
  <c r="G75" i="1" a="1"/>
  <c r="AI20" i="1" a="1"/>
  <c r="I78" i="1" a="1"/>
  <c r="Q41" i="1" a="1"/>
  <c r="Q69" i="1" a="1"/>
  <c r="W69" i="1" a="1"/>
  <c r="Q27" i="1" a="1"/>
  <c r="F53" i="1" a="1"/>
  <c r="K65" i="1" a="1"/>
  <c r="C32" i="1" a="1"/>
  <c r="AB20" i="1" a="1"/>
  <c r="AB34" i="1" a="1"/>
  <c r="AG8" i="1" a="1"/>
  <c r="AD40" i="1" a="1"/>
  <c r="D66" i="1" a="1"/>
  <c r="J56" i="1" a="1"/>
  <c r="H8" i="1" a="1"/>
  <c r="AK83" i="1" a="1"/>
  <c r="V79" i="1" a="1"/>
  <c r="AQ82" i="1" a="1"/>
  <c r="AX30" i="1" a="1"/>
  <c r="AD73" i="1" a="1"/>
  <c r="AF80" i="1" a="1"/>
  <c r="AN78" i="1" a="1"/>
  <c r="U76" i="1" a="1"/>
  <c r="U84" i="1" a="1"/>
  <c r="Y7" i="1" a="1"/>
  <c r="AO8" i="1" a="1"/>
  <c r="K25" i="1" a="1"/>
  <c r="AK27" i="1" a="1"/>
  <c r="I64" i="1" a="1"/>
  <c r="F22" i="1" a="1"/>
  <c r="K19" i="1" a="1"/>
  <c r="AH33" i="1" a="1"/>
  <c r="P42" i="1" a="1"/>
  <c r="B49" i="1" a="1"/>
  <c r="K68" i="1" a="1"/>
  <c r="AF35" i="1" a="1"/>
  <c r="AB14" i="1" a="1"/>
  <c r="C25" i="1" a="1"/>
  <c r="D9" i="1" a="1"/>
  <c r="B31" i="1" a="1"/>
  <c r="Q24" i="1" a="1"/>
  <c r="G21" i="1" a="1"/>
  <c r="G42" i="1" a="1"/>
  <c r="AI44" i="1" a="1"/>
  <c r="C61" i="1" a="1"/>
  <c r="AQ19" i="1" a="1"/>
  <c r="AO80" i="1" a="1"/>
  <c r="H13" i="1" a="1"/>
  <c r="AK28" i="1" a="1"/>
  <c r="AE35" i="1" a="1"/>
  <c r="AO44" i="1" a="1"/>
  <c r="C42" i="1" a="1"/>
  <c r="E32" i="1" a="1"/>
  <c r="AI24" i="1" a="1"/>
  <c r="V24" i="1" a="1"/>
  <c r="AR57" i="1" a="1"/>
  <c r="J55" i="1" a="1"/>
  <c r="P75" i="1" a="1"/>
  <c r="AN12" i="1" a="1"/>
  <c r="J65" i="1" a="1"/>
  <c r="X38" i="1" a="1"/>
  <c r="Q62" i="1" a="1"/>
  <c r="J52" i="1" a="1"/>
  <c r="F36" i="1" a="1"/>
  <c r="I69" i="1" a="1"/>
  <c r="AN52" i="1" a="1"/>
  <c r="D18" i="1" a="1"/>
  <c r="AJ39" i="1" a="1"/>
  <c r="D40" i="1" a="1"/>
  <c r="AU67" i="1" a="1"/>
  <c r="U50" i="1" a="1"/>
  <c r="AX11" i="1" a="1"/>
  <c r="AX9" i="1" a="1"/>
  <c r="E22" i="1" a="1"/>
  <c r="P35" i="1" a="1"/>
  <c r="AV39" i="1" a="1"/>
  <c r="AK58" i="1" a="1"/>
  <c r="S70" i="1" a="1"/>
  <c r="Y74" i="1" a="1"/>
  <c r="AN48" i="1" a="1"/>
  <c r="AX28" i="1" a="1"/>
  <c r="Z43" i="1" a="1"/>
  <c r="E79" i="1" a="1"/>
  <c r="W47" i="1" a="1"/>
  <c r="J66" i="1" a="1"/>
  <c r="Q29" i="1" a="1"/>
  <c r="D58" i="1" a="1"/>
  <c r="AC78" i="1" a="1"/>
  <c r="AT58" i="1" a="1"/>
  <c r="V14" i="1" a="1"/>
  <c r="AM40" i="1" a="1"/>
  <c r="AG82" i="1" a="1"/>
  <c r="G52" i="1" a="1"/>
  <c r="J67" i="1" a="1"/>
  <c r="S65" i="1" a="1"/>
  <c r="W42" i="1" a="1"/>
  <c r="X31" i="1" a="1"/>
  <c r="V46" i="1" a="1"/>
  <c r="E70" i="1" a="1"/>
  <c r="B68" i="1" a="1"/>
  <c r="AW10" i="1" a="1"/>
  <c r="AB26" i="1" a="1"/>
  <c r="Q72" i="1" a="1"/>
  <c r="Q60" i="1" a="1"/>
  <c r="I7" i="1" a="1"/>
  <c r="AB49" i="1" a="1"/>
  <c r="AB58" i="1" a="1"/>
  <c r="AD84" i="1" a="1"/>
  <c r="L32" i="1" a="1"/>
  <c r="AI36" i="1" a="1"/>
  <c r="I73" i="1" a="1"/>
  <c r="J6" i="1" a="1"/>
  <c r="C19" i="1" a="1"/>
  <c r="AM74" i="1" a="1"/>
  <c r="C28" i="1" a="1"/>
  <c r="AL47" i="1" a="1"/>
  <c r="AK71" i="1" a="1"/>
  <c r="K77" i="1" a="1"/>
  <c r="AD19" i="1" a="1"/>
  <c r="AP7" i="1" a="1"/>
  <c r="F23" i="1" a="1"/>
  <c r="AL80" i="1" a="1"/>
  <c r="AQ41" i="1" a="1"/>
  <c r="V54" i="1" a="1"/>
  <c r="Y12" i="1" a="1"/>
  <c r="Y76" i="1" a="1"/>
  <c r="Q40" i="1" a="1"/>
  <c r="AJ58" i="1" a="1"/>
  <c r="AD49" i="1" a="1"/>
  <c r="AA27" i="1" a="1"/>
  <c r="G68" i="1" a="1"/>
  <c r="F14" i="1" a="1"/>
  <c r="Z21" i="1" a="1"/>
  <c r="AX74" i="1" a="1"/>
  <c r="E18" i="1" a="1"/>
  <c r="AF60" i="1" a="1"/>
  <c r="AM81" i="1" a="1"/>
  <c r="AC46" i="1" a="1"/>
  <c r="F18" i="1" a="1"/>
  <c r="R62" i="1" a="1"/>
  <c r="U77" i="1" a="1"/>
  <c r="B77" i="1" a="1"/>
  <c r="P79" i="1" a="1"/>
  <c r="AF25" i="1" a="1"/>
  <c r="J60" i="1" a="1"/>
  <c r="AD74" i="1" a="1"/>
  <c r="E56" i="1" a="1"/>
  <c r="E41" i="1" a="1"/>
  <c r="Z51" i="1" a="1"/>
  <c r="I45" i="1" a="1"/>
  <c r="AI55" i="1" a="1"/>
  <c r="J27" i="1" a="1"/>
  <c r="AE74" i="1" a="1"/>
  <c r="H32" i="1" a="1"/>
  <c r="AF38" i="1" a="1"/>
  <c r="AB9" i="1" a="1"/>
  <c r="AL26" i="1" a="1"/>
  <c r="AA73" i="1" a="1"/>
  <c r="F30" i="1" a="1"/>
  <c r="U78" i="1" a="1"/>
  <c r="AB73" i="1" a="1"/>
  <c r="H79" i="1" a="1"/>
  <c r="AU28" i="1" a="1"/>
  <c r="AB81" i="1" a="1"/>
  <c r="AF73" i="1" a="1"/>
  <c r="Q20" i="1" a="1"/>
  <c r="E64" i="1" a="1"/>
  <c r="AF14" i="1" a="1"/>
  <c r="L29" i="1" a="1"/>
  <c r="AH7" i="1" a="1"/>
  <c r="AH63" i="1" a="1"/>
  <c r="AV22" i="1" a="1"/>
  <c r="AP43" i="1" a="1"/>
  <c r="X48" i="1" a="1"/>
  <c r="L52" i="1" a="1"/>
  <c r="H43" i="1" a="1"/>
  <c r="AX10" i="1" a="1"/>
  <c r="F66" i="1" a="1"/>
  <c r="Q64" i="1" a="1"/>
  <c r="AG43" i="1" a="1"/>
  <c r="AU58" i="1" a="1"/>
  <c r="AQ66" i="1" a="1"/>
  <c r="H68" i="1" a="1"/>
  <c r="I29" i="1" a="1"/>
  <c r="P76" i="1" a="1"/>
  <c r="AT13" i="1" a="1"/>
  <c r="Z64" i="1" a="1"/>
  <c r="AH53" i="1" a="1"/>
  <c r="U68" i="1" a="1"/>
  <c r="Q50" i="1" a="1"/>
  <c r="AG24" i="1" a="1"/>
  <c r="K34" i="1" a="1"/>
  <c r="AP62" i="1" a="1"/>
  <c r="E43" i="1" a="1"/>
  <c r="B11" i="1" a="1"/>
  <c r="AX24" i="1" a="1"/>
  <c r="AG25" i="1" a="1"/>
  <c r="I35" i="1" a="1"/>
  <c r="AJ51" i="1" a="1"/>
  <c r="P33" i="1" a="1"/>
  <c r="F48" i="1" a="1"/>
  <c r="L42" i="1" a="1"/>
  <c r="AX34" i="1" a="1"/>
  <c r="AL9" i="1" a="1"/>
  <c r="P61" i="1" a="1"/>
  <c r="AP55" i="1" a="1"/>
  <c r="AT22" i="1" a="1"/>
  <c r="AK10" i="1" a="1"/>
  <c r="AC25" i="1" a="1"/>
  <c r="X58" i="1" a="1"/>
  <c r="X18" i="1" a="1"/>
  <c r="G49" i="1" a="1"/>
  <c r="AI33" i="1" a="1"/>
  <c r="AX6" i="1" a="1"/>
  <c r="Z54" i="1" a="1"/>
  <c r="H55" i="1" a="1"/>
  <c r="AJ41" i="1" a="1"/>
  <c r="AQ11" i="1" a="1"/>
  <c r="G10" i="1" a="1"/>
  <c r="W75" i="1" a="1"/>
  <c r="AA18" i="1" a="1"/>
  <c r="W65" i="1" a="1"/>
  <c r="AT71" i="1" a="1"/>
  <c r="AR31" i="1" a="1"/>
  <c r="Q30" i="1" a="1"/>
  <c r="AG41" i="1" a="1"/>
  <c r="L71" i="1" a="1"/>
  <c r="AR47" i="1" a="1"/>
  <c r="AB78" i="1" a="1"/>
  <c r="AR49" i="1" a="1"/>
  <c r="B56" i="1" a="1"/>
  <c r="AK64" i="1" a="1"/>
  <c r="F56" i="1" a="1"/>
  <c r="AA60" i="1" a="1"/>
  <c r="V61" i="1" a="1"/>
  <c r="AF46" i="1" a="1"/>
  <c r="K54" i="1" a="1"/>
  <c r="Z50" i="1" a="1"/>
  <c r="G74" i="1" a="1"/>
  <c r="AK77" i="1" a="1"/>
  <c r="AJ61" i="1" a="1"/>
  <c r="I39" i="1" a="1"/>
  <c r="Y18" i="1" a="1"/>
  <c r="I67" i="1" a="1"/>
  <c r="D46" i="1" a="1"/>
  <c r="AD8" i="1" a="1"/>
  <c r="S79" i="1" a="1"/>
  <c r="G43" i="1" a="1"/>
  <c r="AW33" i="1" a="1"/>
  <c r="AR82" i="1" a="1"/>
  <c r="L33" i="1" a="1"/>
  <c r="AK17" i="1" a="1"/>
  <c r="AU84" i="1" a="1"/>
  <c r="AA19" i="1" a="1"/>
  <c r="I43" i="1" a="1"/>
  <c r="AL12" i="1" a="1"/>
  <c r="V11" i="1" a="1"/>
  <c r="AG19" i="1" a="1"/>
  <c r="AE9" i="1" a="1"/>
  <c r="U62" i="1" a="1"/>
  <c r="AM56" i="1" a="1"/>
  <c r="G46" i="1" a="1"/>
  <c r="AB43" i="1" a="1"/>
  <c r="AU13" i="1" a="1"/>
  <c r="AR18" i="1" a="1"/>
  <c r="AD82" i="1" a="1"/>
  <c r="AF26" i="1" a="1"/>
  <c r="G11" i="1" a="1"/>
  <c r="AJ31" i="1" a="1"/>
  <c r="Z41" i="1" a="1"/>
  <c r="AD12" i="1" a="1"/>
  <c r="AW42" i="1" a="1"/>
  <c r="AI25" i="1" a="1"/>
  <c r="Z30" i="1" a="1"/>
  <c r="S59" i="1" a="1"/>
  <c r="AA35" i="1" a="1"/>
  <c r="AH81" i="1" a="1"/>
  <c r="D30" i="1" a="1"/>
  <c r="U16" i="1" a="1"/>
  <c r="AJ56" i="1" a="1"/>
  <c r="C80" i="1" a="1"/>
  <c r="AC51" i="1" a="1"/>
  <c r="AK11" i="1" a="1"/>
  <c r="AP83" i="1" a="1"/>
  <c r="AI50" i="1" a="1"/>
  <c r="P12" i="1" a="1"/>
  <c r="X77" i="1" a="1"/>
  <c r="E7" i="1" a="1"/>
  <c r="W16" i="1" a="1"/>
  <c r="AC47" i="1" a="1"/>
  <c r="Z83" i="1" a="1"/>
  <c r="L31" i="1" a="1"/>
  <c r="AC48" i="1" a="1"/>
  <c r="AU78" i="1" a="1"/>
  <c r="P60" i="1" a="1"/>
  <c r="Q6" i="1" a="1"/>
  <c r="AD33" i="1" a="1"/>
  <c r="X82" i="1" a="1"/>
  <c r="W64" i="1" a="1"/>
  <c r="W43" i="1" a="1"/>
  <c r="V55" i="1" a="1"/>
  <c r="AF32" i="1" a="1"/>
  <c r="Y25" i="1" a="1"/>
  <c r="AX60" i="1" a="1"/>
  <c r="AF57" i="1" a="1"/>
  <c r="AI9" i="1" a="1"/>
  <c r="L13" i="1" a="1"/>
  <c r="AW80" i="1" a="1"/>
  <c r="AD22" i="1" a="1"/>
  <c r="H19" i="1" a="1"/>
  <c r="AD13" i="1" a="1"/>
  <c r="X53" i="1" a="1"/>
  <c r="AE81" i="1" a="1"/>
  <c r="Z68" i="1" a="1"/>
  <c r="AK57" i="1" a="1"/>
  <c r="H38" i="1" a="1"/>
  <c r="U23" i="1" a="1"/>
  <c r="AC71" i="1" a="1"/>
  <c r="AD71" i="1" a="1"/>
  <c r="AV20" i="1" a="1"/>
  <c r="X13" i="1" a="1"/>
  <c r="Y54" i="1" a="1"/>
  <c r="V75" i="1" a="1"/>
  <c r="J64" i="1" a="1"/>
  <c r="E76" i="1" a="1"/>
  <c r="Y47" i="1" a="1"/>
  <c r="AL11" i="1" a="1"/>
  <c r="AI79" i="1" a="1"/>
  <c r="AG54" i="1" a="1"/>
  <c r="AQ30" i="1" a="1"/>
  <c r="L17" i="1" a="1"/>
  <c r="AF36" i="1" a="1"/>
  <c r="L49" i="1" a="1"/>
  <c r="L24" i="1" a="1"/>
  <c r="AB28" i="1" a="1"/>
  <c r="V37" i="1" a="1"/>
  <c r="Z14" i="1" a="1"/>
  <c r="K32" i="1" a="1"/>
  <c r="AJ43" i="1" a="1"/>
  <c r="U54" i="1" a="1"/>
  <c r="V22" i="1" a="1"/>
  <c r="I77" i="1" a="1"/>
  <c r="H36" i="1" a="1"/>
  <c r="AF15" i="1" a="1"/>
  <c r="AF63" i="1" a="1"/>
  <c r="AR62" i="1" a="1"/>
  <c r="AL27" i="1" a="1"/>
  <c r="AH51" i="1" a="1"/>
  <c r="C34" i="1" a="1"/>
  <c r="D62" i="1" a="1"/>
  <c r="I22" i="1" a="1"/>
  <c r="AI46" i="1" a="1"/>
  <c r="AO58" i="1" a="1"/>
  <c r="AO50" i="1" a="1"/>
  <c r="AC50" i="1" a="1"/>
  <c r="I51" i="1" a="1"/>
  <c r="AK39" i="1" a="1"/>
  <c r="AR30" i="1" a="1"/>
  <c r="K24" i="1" a="1"/>
  <c r="Y62" i="1" a="1"/>
  <c r="G84" i="1" a="1"/>
  <c r="G64" i="1" a="1"/>
  <c r="Z25" i="1" a="1"/>
  <c r="U39" i="1" a="1"/>
  <c r="AF10" i="1" a="1"/>
  <c r="AV44" i="1" a="1"/>
  <c r="B73" i="1" a="1"/>
  <c r="F38" i="1" a="1"/>
  <c r="AJ30" i="1" a="1"/>
  <c r="K7" i="1" a="1"/>
  <c r="AV51" i="1" a="1"/>
  <c r="AC24" i="1" a="1"/>
  <c r="AA28" i="1" a="1"/>
  <c r="K56" i="1" a="1"/>
  <c r="S48" i="1" a="1"/>
  <c r="D10" i="1" a="1"/>
  <c r="AJ76" i="1" a="1"/>
  <c r="AC57" i="1" a="1"/>
  <c r="H34" i="1" a="1"/>
  <c r="K66" i="1" a="1"/>
  <c r="U70" i="1" a="1"/>
  <c r="AF55" i="1" a="1"/>
  <c r="AD31" i="1" a="1"/>
  <c r="AP16" i="1" a="1"/>
  <c r="F25" i="1" a="1"/>
  <c r="AA16" i="1" a="1"/>
  <c r="P16" i="1" a="1"/>
  <c r="AK37" i="1" a="1"/>
  <c r="I16" i="1" a="1"/>
  <c r="AH26" i="1" a="1"/>
  <c r="AT53" i="1" a="1"/>
  <c r="AK32" i="1" a="1"/>
  <c r="AQ79" i="1" a="1"/>
  <c r="Y35" i="1" a="1"/>
  <c r="AD20" i="1" a="1"/>
  <c r="G19" i="1" a="1"/>
  <c r="X10" i="1" a="1"/>
  <c r="J63" i="1" a="1"/>
  <c r="W72" i="1" a="1"/>
  <c r="U28" i="1" a="1"/>
  <c r="B34" i="1" a="1"/>
  <c r="X6" i="1" a="1"/>
  <c r="U25" i="1" a="1"/>
  <c r="W15" i="1" a="1"/>
  <c r="K82" i="1" a="1"/>
  <c r="AM50" i="1" a="1"/>
  <c r="AF19" i="1" a="1"/>
  <c r="W48" i="1" a="1"/>
  <c r="AH82" i="1" a="1"/>
  <c r="S11" i="1" a="1"/>
  <c r="P47" i="1" a="1"/>
  <c r="S36" i="1" a="1"/>
  <c r="B75" i="1" a="1"/>
  <c r="AL29" i="1" a="1"/>
  <c r="X71" i="1" a="1"/>
  <c r="G38" i="1" a="1"/>
  <c r="F80" i="1" a="1"/>
  <c r="I44" i="1" a="1"/>
  <c r="AD56" i="1" a="1"/>
  <c r="AD70" i="1" a="1"/>
  <c r="AQ46" i="1" a="1"/>
  <c r="Q21" i="1" a="1"/>
  <c r="P52" i="1" a="1"/>
  <c r="AG49" i="1" a="1"/>
  <c r="D78" i="1" a="1"/>
  <c r="G33" i="1" a="1"/>
  <c r="Z46" i="1" a="1"/>
  <c r="Q75" i="1" a="1"/>
  <c r="AH65" i="1" a="1"/>
  <c r="AQ51" i="1" a="1"/>
  <c r="AG58" i="1" a="1"/>
  <c r="AE50" i="1" a="1"/>
  <c r="D48" i="1" a="1"/>
  <c r="C66" i="1" a="1"/>
  <c r="C36" i="1" a="1"/>
  <c r="H58" i="1" a="1"/>
  <c r="K42" i="1" a="1"/>
  <c r="V15" i="1" a="1"/>
  <c r="AL39" i="1" a="1"/>
  <c r="AP75" i="1" a="1"/>
  <c r="AR10" i="1" a="1"/>
  <c r="W29" i="1" a="1"/>
  <c r="Z74" i="1" a="1"/>
  <c r="I34" i="1" a="1"/>
  <c r="D75" i="1" a="1"/>
  <c r="X37" i="1" a="1"/>
  <c r="B54" i="1" a="1"/>
  <c r="V47" i="1" a="1"/>
  <c r="AE44" i="1" a="1"/>
  <c r="AE23" i="1" a="1"/>
  <c r="F31" i="1" a="1"/>
  <c r="H41" i="1" a="1"/>
  <c r="AJ82" i="1" a="1"/>
  <c r="D24" i="1" a="1"/>
  <c r="AL24" i="1" a="1"/>
  <c r="AD80" i="1" a="1"/>
  <c r="I15" i="1" a="1"/>
  <c r="AB68" i="1" a="1"/>
  <c r="AC43" i="1" a="1"/>
  <c r="AD16" i="1" a="1"/>
  <c r="Q22" i="1" a="1"/>
  <c r="AD79" i="1" a="1"/>
  <c r="H35" i="1" a="1"/>
  <c r="AW81" i="1" a="1"/>
  <c r="P56" i="1" a="1"/>
  <c r="AT49" i="1" a="1"/>
  <c r="G32" i="1" a="1"/>
  <c r="D22" i="1" a="1"/>
  <c r="H30" i="1" a="1"/>
  <c r="AK40" i="1" a="1"/>
  <c r="Y19" i="1" a="1"/>
  <c r="AL54" i="1" a="1"/>
  <c r="AW45" i="1" a="1"/>
  <c r="AK54" i="1" a="1"/>
  <c r="I37" i="1" a="1"/>
  <c r="P9" i="1" a="1"/>
  <c r="AL44" i="1" a="1"/>
  <c r="AA66" i="1" a="1"/>
  <c r="L58" i="1" a="1"/>
  <c r="L43" i="1" a="1"/>
  <c r="Q9" i="1" a="1"/>
  <c r="C55" i="1" a="1"/>
  <c r="U74" i="1" a="1"/>
  <c r="V48" i="1" a="1"/>
  <c r="W21" i="1" a="1"/>
  <c r="AC20" i="1" a="1"/>
  <c r="AG22" i="1" a="1"/>
  <c r="AU30" i="1" a="1"/>
  <c r="AB33" i="1" a="1"/>
  <c r="AE39" i="1" a="1"/>
  <c r="Y53" i="1" a="1"/>
  <c r="AA75" i="1" a="1"/>
  <c r="AA37" i="1" a="1"/>
  <c r="AC70" i="1" a="1"/>
  <c r="AA78" i="1" a="1"/>
  <c r="B17" i="1" a="1"/>
  <c r="Q52" i="1" a="1"/>
  <c r="X54" i="1" a="1"/>
  <c r="P58" i="1" a="1"/>
  <c r="AL33" i="1" a="1"/>
  <c r="Z75" i="1" a="1"/>
  <c r="G8" i="1" a="1"/>
  <c r="AG27" i="1" a="1"/>
  <c r="AV24" i="1" a="1"/>
  <c r="C20" i="1" a="1"/>
  <c r="AG46" i="1" a="1"/>
  <c r="F12" i="1" a="1"/>
  <c r="AI53" i="1" a="1"/>
  <c r="S61" i="1" a="1"/>
  <c r="K31" i="1" a="1"/>
  <c r="Q43" i="1" a="1"/>
  <c r="H7" i="1" a="1"/>
  <c r="AK18" i="1" a="1"/>
  <c r="AA57" i="1" a="1"/>
  <c r="L53" i="1" a="1"/>
  <c r="P10" i="1" a="1"/>
  <c r="AM15" i="1" a="1"/>
  <c r="V7" i="1" a="1"/>
  <c r="AB79" i="1" a="1"/>
  <c r="AG42" i="1" a="1"/>
  <c r="AI58" i="1" a="1"/>
  <c r="R83" i="1" a="1"/>
  <c r="AW56" i="1" a="1"/>
  <c r="AO39" i="1" a="1"/>
  <c r="AE6" i="1" a="1"/>
  <c r="U31" i="1" a="1"/>
  <c r="AM8" i="1" a="1"/>
  <c r="AM32" i="1" a="1"/>
  <c r="AM83" i="1" a="1"/>
  <c r="C6" i="1" a="1"/>
  <c r="AF49" i="1" a="1"/>
  <c r="H31" i="1" a="1"/>
  <c r="AI26" i="1" a="1"/>
  <c r="G50" i="1" a="1"/>
  <c r="W22" i="1" a="1"/>
  <c r="F34" i="1" a="1"/>
  <c r="AH50" i="1" a="1"/>
  <c r="Y63" i="1" a="1"/>
  <c r="V33" i="1" a="1"/>
  <c r="AW84" i="1" a="1"/>
  <c r="AG28" i="1" a="1"/>
  <c r="E6" i="1" a="1"/>
  <c r="AG14" i="1" a="1"/>
  <c r="U67" i="1" a="1"/>
  <c r="AI56" i="1" a="1"/>
  <c r="H16" i="1" a="1"/>
  <c r="X24" i="1" a="1"/>
  <c r="AJ19" i="1" a="1"/>
  <c r="Q76" i="1" a="1"/>
  <c r="Y11" i="1" a="1"/>
  <c r="S30" i="1" a="1"/>
  <c r="X83" i="1" a="1"/>
  <c r="AH11" i="1" a="1"/>
  <c r="AJ46" i="1" a="1"/>
  <c r="J36" i="1" a="1"/>
  <c r="Z79" i="1" a="1"/>
  <c r="Y24" i="1" a="1"/>
  <c r="AJ45" i="1" a="1"/>
  <c r="AD64" i="1" a="1"/>
  <c r="S23" i="1" a="1"/>
  <c r="L8" i="1" a="1"/>
  <c r="K74" i="1" a="1"/>
  <c r="AN84" i="1" a="1"/>
  <c r="AN70" i="1" a="1"/>
  <c r="AC12" i="1" a="1"/>
  <c r="Y52" i="1" a="1"/>
  <c r="W78" i="1" a="1"/>
  <c r="E47" i="1" a="1"/>
  <c r="AL79" i="1" a="1"/>
  <c r="H15" i="1" a="1"/>
  <c r="AD23" i="1" a="1"/>
  <c r="AE11" i="1" a="1"/>
  <c r="AT82" i="1" a="1"/>
  <c r="AT39" i="1" a="1"/>
  <c r="AU83" i="1" a="1"/>
  <c r="AC41" i="1" a="1"/>
  <c r="Q36" i="1" a="1"/>
  <c r="AD60" i="1" a="1"/>
  <c r="AG50" i="1" a="1"/>
  <c r="AL13" i="1" a="1"/>
  <c r="AF64" i="1" a="1"/>
  <c r="Y27" i="1" a="1"/>
  <c r="G41" i="1" a="1"/>
  <c r="G28" i="1" a="1"/>
  <c r="I30" i="1" a="1"/>
  <c r="L37" i="1" a="1"/>
  <c r="AU26" i="1" a="1"/>
  <c r="Y61" i="1" a="1"/>
  <c r="Z69" i="1" a="1"/>
  <c r="AB66" i="1" a="1"/>
  <c r="AF76" i="1" a="1"/>
  <c r="S83" i="1" a="1"/>
  <c r="M58" i="1" l="1"/>
  <c r="T8" i="1"/>
  <c r="M77" i="1"/>
  <c r="T75" i="1"/>
  <c r="O37" i="1"/>
  <c r="T79" i="1"/>
  <c r="M46" i="1"/>
  <c r="N43" i="1"/>
  <c r="M61" i="1"/>
  <c r="N72" i="1"/>
  <c r="N45" i="1"/>
  <c r="M72" i="1"/>
  <c r="N78" i="1"/>
  <c r="T66" i="1"/>
  <c r="M17" i="1"/>
  <c r="T46" i="1"/>
  <c r="O64" i="1"/>
  <c r="N77" i="1"/>
  <c r="O68" i="1"/>
  <c r="O66" i="1"/>
  <c r="N31" i="1"/>
  <c r="M23" i="1"/>
  <c r="O32" i="1"/>
  <c r="M67" i="1"/>
  <c r="O55" i="1"/>
  <c r="N81" i="1"/>
  <c r="O76" i="1"/>
  <c r="O56" i="1"/>
  <c r="O62" i="1"/>
  <c r="N82" i="1"/>
  <c r="O20" i="1"/>
  <c r="O40" i="1"/>
  <c r="M66" i="1"/>
  <c r="T30" i="1"/>
  <c r="O51" i="1"/>
  <c r="M75" i="1"/>
  <c r="N57" i="1"/>
  <c r="N14" i="1"/>
  <c r="N51" i="1"/>
  <c r="N21" i="1"/>
  <c r="O33" i="1"/>
  <c r="M13" i="1"/>
  <c r="M57" i="1"/>
  <c r="O72" i="1"/>
  <c r="M49" i="1"/>
  <c r="N6" i="1"/>
  <c r="N13" i="1"/>
  <c r="M19" i="1"/>
  <c r="N68" i="1"/>
  <c r="O12" i="1"/>
  <c r="O29" i="1"/>
  <c r="M81" i="1"/>
  <c r="O52" i="1"/>
  <c r="M64" i="1"/>
  <c r="M28" i="1"/>
  <c r="O53" i="1"/>
  <c r="M45" i="1"/>
  <c r="M20" i="1"/>
  <c r="M59" i="1"/>
  <c r="N35" i="1"/>
  <c r="N27" i="1"/>
  <c r="T39" i="1"/>
  <c r="N50" i="1"/>
  <c r="M60" i="1"/>
  <c r="O25" i="1"/>
  <c r="N63" i="1"/>
  <c r="N25" i="1"/>
  <c r="O41" i="1"/>
  <c r="M42" i="1"/>
  <c r="M55" i="1"/>
  <c r="O22" i="1"/>
  <c r="M71" i="1"/>
  <c r="M79" i="1"/>
  <c r="N42" i="1"/>
  <c r="O38" i="1"/>
  <c r="N36" i="1"/>
  <c r="M10" i="1"/>
  <c r="O45" i="1"/>
  <c r="M16" i="1"/>
  <c r="O60" i="1"/>
  <c r="T20" i="1"/>
  <c r="N28" i="1"/>
  <c r="T11" i="1"/>
  <c r="T59" i="1"/>
  <c r="M50" i="1"/>
  <c r="M40" i="1"/>
  <c r="N15" i="1"/>
  <c r="O44" i="1"/>
  <c r="M53" i="1"/>
  <c r="N73" i="1"/>
  <c r="N84" i="1"/>
  <c r="T34" i="1"/>
  <c r="T74" i="1"/>
  <c r="M76" i="1"/>
  <c r="O81" i="1"/>
  <c r="N53" i="1"/>
  <c r="M33" i="1"/>
  <c r="M35" i="1"/>
  <c r="M70" i="1"/>
  <c r="O75" i="1"/>
  <c r="M41" i="1"/>
  <c r="O59" i="1"/>
  <c r="O13" i="1"/>
  <c r="T61" i="1"/>
  <c r="M27" i="1"/>
  <c r="O48" i="1"/>
  <c r="T10" i="1"/>
  <c r="O80" i="1"/>
  <c r="O26" i="1"/>
  <c r="M78" i="1"/>
  <c r="M83" i="1"/>
  <c r="N59" i="1"/>
  <c r="O34" i="1"/>
  <c r="N60" i="1"/>
  <c r="M29" i="1"/>
  <c r="T22" i="1"/>
  <c r="N76" i="1"/>
  <c r="N33" i="1"/>
  <c r="M69" i="1"/>
  <c r="O63" i="1"/>
  <c r="N44" i="1"/>
  <c r="M44" i="1"/>
  <c r="O23" i="1"/>
  <c r="N54" i="1"/>
  <c r="N19" i="1"/>
  <c r="M62" i="1"/>
  <c r="O17" i="1"/>
  <c r="T81" i="1"/>
  <c r="N34" i="1"/>
  <c r="O31" i="1"/>
  <c r="M54" i="1"/>
  <c r="O79" i="1"/>
  <c r="O6" i="1"/>
  <c r="O7" i="1"/>
  <c r="O54" i="1"/>
  <c r="N70" i="1"/>
  <c r="T24" i="1"/>
  <c r="O30" i="1"/>
  <c r="N30" i="1"/>
  <c r="O73" i="1"/>
  <c r="O8" i="1"/>
  <c r="M73" i="1"/>
  <c r="N38" i="1"/>
  <c r="O78" i="1"/>
  <c r="O16" i="1"/>
  <c r="O77" i="1"/>
  <c r="N9" i="1"/>
  <c r="M52" i="1"/>
  <c r="N39" i="1"/>
  <c r="T13" i="1"/>
  <c r="N16" i="1"/>
  <c r="M18" i="1"/>
  <c r="O74" i="1"/>
  <c r="M32" i="1"/>
  <c r="M34" i="1"/>
  <c r="T80" i="1"/>
  <c r="M84" i="1"/>
  <c r="O61" i="1"/>
  <c r="T71" i="1"/>
  <c r="O27" i="1"/>
  <c r="T72" i="1"/>
  <c r="O84" i="1"/>
  <c r="T53" i="1"/>
  <c r="N67" i="1"/>
  <c r="O43" i="1"/>
  <c r="N37" i="1"/>
  <c r="O69" i="1"/>
  <c r="N8" i="1"/>
  <c r="M65" i="1"/>
  <c r="N71" i="1"/>
  <c r="N46" i="1"/>
  <c r="N48" i="1"/>
  <c r="T37" i="1"/>
  <c r="N29" i="1"/>
  <c r="O28" i="1"/>
  <c r="O65" i="1"/>
  <c r="T41" i="1"/>
  <c r="T83" i="1"/>
  <c r="M39" i="1"/>
  <c r="T63" i="1"/>
  <c r="T31" i="1"/>
  <c r="T68" i="1"/>
  <c r="O50" i="1"/>
  <c r="T27" i="1"/>
  <c r="O9" i="1"/>
  <c r="M14" i="1"/>
  <c r="M74" i="1"/>
  <c r="N58" i="1"/>
  <c r="N66" i="1"/>
  <c r="T6" i="1"/>
  <c r="M26" i="1"/>
  <c r="N55" i="1"/>
  <c r="N69" i="1"/>
  <c r="T62" i="1"/>
  <c r="O47" i="1"/>
  <c r="N52" i="1"/>
  <c r="O57" i="1"/>
  <c r="N22" i="1"/>
  <c r="T42" i="1"/>
  <c r="M30" i="1"/>
  <c r="N65" i="1"/>
  <c r="T48" i="1"/>
  <c r="T38" i="1"/>
  <c r="M6" i="1"/>
  <c r="T70" i="1"/>
  <c r="O21" i="1"/>
  <c r="N64" i="1"/>
  <c r="O35" i="1"/>
  <c r="O39" i="1"/>
  <c r="N61" i="1"/>
  <c r="M8" i="1"/>
  <c r="M56" i="1"/>
  <c r="O18" i="1"/>
  <c r="M24" i="1"/>
  <c r="T32" i="1"/>
  <c r="N23" i="1"/>
  <c r="T76" i="1"/>
  <c r="O46" i="1"/>
  <c r="O49" i="1"/>
  <c r="T82" i="1"/>
  <c r="O58" i="1"/>
  <c r="O24" i="1"/>
  <c r="T44" i="1"/>
  <c r="T18" i="1"/>
  <c r="O15" i="1"/>
  <c r="T65" i="1"/>
  <c r="N41" i="1"/>
  <c r="M37" i="1"/>
  <c r="N11" i="1"/>
  <c r="T78" i="1"/>
  <c r="T64" i="1"/>
  <c r="N20" i="1"/>
  <c r="N32" i="1"/>
  <c r="T84" i="1"/>
  <c r="N26" i="1"/>
  <c r="T12" i="1"/>
  <c r="M47" i="1"/>
  <c r="T23" i="1"/>
  <c r="T54" i="1"/>
  <c r="N83" i="1"/>
  <c r="T7" i="1"/>
  <c r="M51" i="1"/>
  <c r="N24" i="1"/>
  <c r="T51" i="1"/>
  <c r="T33" i="1"/>
  <c r="O19" i="1"/>
  <c r="T14" i="1"/>
  <c r="M25" i="1"/>
  <c r="T58" i="1"/>
  <c r="N18" i="1"/>
  <c r="T40" i="1"/>
  <c r="T60" i="1"/>
  <c r="M82" i="1"/>
  <c r="M9" i="1"/>
  <c r="T69" i="1"/>
  <c r="T29" i="1"/>
  <c r="T19" i="1"/>
  <c r="T9" i="1"/>
  <c r="N7" i="1"/>
  <c r="T43" i="1"/>
  <c r="O10" i="1"/>
  <c r="T47" i="1"/>
  <c r="O11" i="1"/>
  <c r="N12" i="1"/>
  <c r="T57" i="1"/>
  <c r="O71" i="1"/>
  <c r="N62" i="1"/>
  <c r="N56" i="1"/>
  <c r="M21" i="1"/>
  <c r="T77" i="1"/>
  <c r="N40" i="1"/>
  <c r="T36" i="1"/>
  <c r="T45" i="1"/>
  <c r="M43" i="1"/>
  <c r="M63" i="1"/>
  <c r="O14" i="1"/>
  <c r="T49" i="1"/>
  <c r="T50" i="1"/>
  <c r="M7" i="1"/>
  <c r="T56" i="1"/>
  <c r="M48" i="1"/>
  <c r="T55" i="1"/>
  <c r="M68" i="1"/>
  <c r="O42" i="1"/>
  <c r="N17" i="1"/>
  <c r="O82" i="1"/>
  <c r="M11" i="1"/>
  <c r="M38" i="1"/>
  <c r="M31" i="1"/>
  <c r="T67" i="1"/>
  <c r="O67" i="1"/>
  <c r="T16" i="1"/>
  <c r="M36" i="1"/>
  <c r="T35" i="1"/>
  <c r="T15" i="1"/>
  <c r="M22" i="1"/>
  <c r="O83" i="1"/>
  <c r="M80" i="1"/>
  <c r="T21" i="1"/>
  <c r="M15" i="1"/>
  <c r="T52" i="1"/>
  <c r="M12" i="1"/>
  <c r="T73" i="1"/>
  <c r="N80" i="1"/>
  <c r="N49" i="1"/>
  <c r="N47" i="1"/>
  <c r="N10" i="1"/>
  <c r="O70" i="1"/>
  <c r="N74" i="1"/>
  <c r="N79" i="1"/>
  <c r="T26" i="1"/>
  <c r="N75" i="1"/>
  <c r="T28" i="1"/>
  <c r="O36" i="1"/>
  <c r="T25" i="1"/>
  <c r="T17" i="1"/>
  <c r="S83" i="1"/>
  <c r="AF76" i="1"/>
  <c r="AB66" i="1"/>
  <c r="Z69" i="1"/>
  <c r="Y61" i="1"/>
  <c r="AU26" i="1"/>
  <c r="L37" i="1"/>
  <c r="I30" i="1"/>
  <c r="G28" i="1"/>
  <c r="G41" i="1"/>
  <c r="Y27" i="1"/>
  <c r="AF64" i="1"/>
  <c r="AL13" i="1"/>
  <c r="AG50" i="1"/>
  <c r="AD60" i="1"/>
  <c r="Q36" i="1"/>
  <c r="AC41" i="1"/>
  <c r="AU83" i="1"/>
  <c r="AT39" i="1"/>
  <c r="AT82" i="1"/>
  <c r="AE11" i="1"/>
  <c r="AD23" i="1"/>
  <c r="H15" i="1"/>
  <c r="AL79" i="1"/>
  <c r="E47" i="1"/>
  <c r="W78" i="1"/>
  <c r="Y52" i="1"/>
  <c r="AC12" i="1"/>
  <c r="AN70" i="1"/>
  <c r="AN84" i="1"/>
  <c r="K74" i="1"/>
  <c r="L8" i="1"/>
  <c r="S23" i="1"/>
  <c r="AD64" i="1"/>
  <c r="AJ45" i="1"/>
  <c r="Y24" i="1"/>
  <c r="Z79" i="1"/>
  <c r="J36" i="1"/>
  <c r="AJ46" i="1"/>
  <c r="AH11" i="1"/>
  <c r="X83" i="1"/>
  <c r="S30" i="1"/>
  <c r="Y11" i="1"/>
  <c r="Q76" i="1"/>
  <c r="AJ19" i="1"/>
  <c r="X24" i="1"/>
  <c r="H16" i="1"/>
  <c r="AI56" i="1"/>
  <c r="U67" i="1"/>
  <c r="AG14" i="1"/>
  <c r="E6" i="1"/>
  <c r="AG28" i="1"/>
  <c r="AW84" i="1"/>
  <c r="V33" i="1"/>
  <c r="Y63" i="1"/>
  <c r="AH50" i="1"/>
  <c r="F34" i="1"/>
  <c r="W22" i="1"/>
  <c r="G50" i="1"/>
  <c r="AI26" i="1"/>
  <c r="H31" i="1"/>
  <c r="AF49" i="1"/>
  <c r="C6" i="1"/>
  <c r="AM83" i="1"/>
  <c r="AM32" i="1"/>
  <c r="AM8" i="1"/>
  <c r="U31" i="1"/>
  <c r="AE6" i="1"/>
  <c r="AO39" i="1"/>
  <c r="AW56" i="1"/>
  <c r="R83" i="1"/>
  <c r="AI58" i="1"/>
  <c r="AG42" i="1"/>
  <c r="AB79" i="1"/>
  <c r="V7" i="1"/>
  <c r="AM15" i="1"/>
  <c r="P10" i="1"/>
  <c r="L53" i="1"/>
  <c r="AA57" i="1"/>
  <c r="AK18" i="1"/>
  <c r="H7" i="1"/>
  <c r="Q43" i="1"/>
  <c r="K31" i="1"/>
  <c r="S61" i="1"/>
  <c r="AI53" i="1"/>
  <c r="F12" i="1"/>
  <c r="AG46" i="1"/>
  <c r="C20" i="1"/>
  <c r="AV24" i="1"/>
  <c r="AG27" i="1"/>
  <c r="G8" i="1"/>
  <c r="Z75" i="1"/>
  <c r="AL33" i="1"/>
  <c r="P58" i="1"/>
  <c r="X54" i="1"/>
  <c r="Q52" i="1"/>
  <c r="B17" i="1"/>
  <c r="AA78" i="1"/>
  <c r="AC70" i="1"/>
  <c r="AA37" i="1"/>
  <c r="AA75" i="1"/>
  <c r="Y53" i="1"/>
  <c r="AE39" i="1"/>
  <c r="AB33" i="1"/>
  <c r="AU30" i="1"/>
  <c r="AG22" i="1"/>
  <c r="AC20" i="1"/>
  <c r="W21" i="1"/>
  <c r="V48" i="1"/>
  <c r="U74" i="1"/>
  <c r="C55" i="1"/>
  <c r="Q9" i="1"/>
  <c r="L43" i="1"/>
  <c r="L58" i="1"/>
  <c r="AA66" i="1"/>
  <c r="AL44" i="1"/>
  <c r="P9" i="1"/>
  <c r="I37" i="1"/>
  <c r="AK54" i="1"/>
  <c r="AW45" i="1"/>
  <c r="AL54" i="1"/>
  <c r="Y19" i="1"/>
  <c r="AK40" i="1"/>
  <c r="H30" i="1"/>
  <c r="D22" i="1"/>
  <c r="G32" i="1"/>
  <c r="AT49" i="1"/>
  <c r="P56" i="1"/>
  <c r="AW81" i="1"/>
  <c r="H35" i="1"/>
  <c r="AD79" i="1"/>
  <c r="Q22" i="1"/>
  <c r="AD16" i="1"/>
  <c r="AC43" i="1"/>
  <c r="AB68" i="1"/>
  <c r="I15" i="1"/>
  <c r="AD80" i="1"/>
  <c r="AL24" i="1"/>
  <c r="D24" i="1"/>
  <c r="AJ82" i="1"/>
  <c r="H41" i="1"/>
  <c r="F31" i="1"/>
  <c r="AE23" i="1"/>
  <c r="AE44" i="1"/>
  <c r="V47" i="1"/>
  <c r="B54" i="1"/>
  <c r="X37" i="1"/>
  <c r="D75" i="1"/>
  <c r="I34" i="1"/>
  <c r="Z74" i="1"/>
  <c r="W29" i="1"/>
  <c r="AR10" i="1"/>
  <c r="AP75" i="1"/>
  <c r="AL39" i="1"/>
  <c r="V15" i="1"/>
  <c r="K42" i="1"/>
  <c r="H58" i="1"/>
  <c r="C36" i="1"/>
  <c r="C66" i="1"/>
  <c r="D48" i="1"/>
  <c r="AE50" i="1"/>
  <c r="AG58" i="1"/>
  <c r="AQ51" i="1"/>
  <c r="AH65" i="1"/>
  <c r="Q75" i="1"/>
  <c r="Z46" i="1"/>
  <c r="G33" i="1"/>
  <c r="D78" i="1"/>
  <c r="AG49" i="1"/>
  <c r="P52" i="1"/>
  <c r="Q21" i="1"/>
  <c r="AQ46" i="1"/>
  <c r="AD70" i="1"/>
  <c r="AD56" i="1"/>
  <c r="I44" i="1"/>
  <c r="F80" i="1"/>
  <c r="G38" i="1"/>
  <c r="X71" i="1"/>
  <c r="AL29" i="1"/>
  <c r="B75" i="1"/>
  <c r="S36" i="1"/>
  <c r="P47" i="1"/>
  <c r="S11" i="1"/>
  <c r="AH82" i="1"/>
  <c r="W48" i="1"/>
  <c r="AF19" i="1"/>
  <c r="AM50" i="1"/>
  <c r="K82" i="1"/>
  <c r="W15" i="1"/>
  <c r="U25" i="1"/>
  <c r="X6" i="1"/>
  <c r="B34" i="1"/>
  <c r="U28" i="1"/>
  <c r="W72" i="1"/>
  <c r="J63" i="1"/>
  <c r="X10" i="1"/>
  <c r="G19" i="1"/>
  <c r="AD20" i="1"/>
  <c r="Y35" i="1"/>
  <c r="AQ79" i="1"/>
  <c r="AK32" i="1"/>
  <c r="AT53" i="1"/>
  <c r="AH26" i="1"/>
  <c r="I16" i="1"/>
  <c r="AK37" i="1"/>
  <c r="P16" i="1"/>
  <c r="AA16" i="1"/>
  <c r="F25" i="1"/>
  <c r="AP16" i="1"/>
  <c r="AD31" i="1"/>
  <c r="AF55" i="1"/>
  <c r="U70" i="1"/>
  <c r="K66" i="1"/>
  <c r="H34" i="1"/>
  <c r="AC57" i="1"/>
  <c r="AJ76" i="1"/>
  <c r="D10" i="1"/>
  <c r="S48" i="1"/>
  <c r="K56" i="1"/>
  <c r="AA28" i="1"/>
  <c r="AC24" i="1"/>
  <c r="AV51" i="1"/>
  <c r="K7" i="1"/>
  <c r="AJ30" i="1"/>
  <c r="F38" i="1"/>
  <c r="B73" i="1"/>
  <c r="AV44" i="1"/>
  <c r="AF10" i="1"/>
  <c r="U39" i="1"/>
  <c r="Z25" i="1"/>
  <c r="G64" i="1"/>
  <c r="G84" i="1"/>
  <c r="Y62" i="1"/>
  <c r="K24" i="1"/>
  <c r="AR30" i="1"/>
  <c r="AK39" i="1"/>
  <c r="I51" i="1"/>
  <c r="AC50" i="1"/>
  <c r="AO50" i="1"/>
  <c r="AO58" i="1"/>
  <c r="AI46" i="1"/>
  <c r="I22" i="1"/>
  <c r="D62" i="1"/>
  <c r="C34" i="1"/>
  <c r="AH51" i="1"/>
  <c r="AL27" i="1"/>
  <c r="AR62" i="1"/>
  <c r="AF63" i="1"/>
  <c r="AF15" i="1"/>
  <c r="H36" i="1"/>
  <c r="I77" i="1"/>
  <c r="V22" i="1"/>
  <c r="U54" i="1"/>
  <c r="AJ43" i="1"/>
  <c r="K32" i="1"/>
  <c r="Z14" i="1"/>
  <c r="V37" i="1"/>
  <c r="AB28" i="1"/>
  <c r="L24" i="1"/>
  <c r="L49" i="1"/>
  <c r="AF36" i="1"/>
  <c r="L17" i="1"/>
  <c r="AQ30" i="1"/>
  <c r="AG54" i="1"/>
  <c r="AI79" i="1"/>
  <c r="AL11" i="1"/>
  <c r="Y47" i="1"/>
  <c r="E76" i="1"/>
  <c r="J64" i="1"/>
  <c r="V75" i="1"/>
  <c r="Y54" i="1"/>
  <c r="X13" i="1"/>
  <c r="AV20" i="1"/>
  <c r="AD71" i="1"/>
  <c r="AC71" i="1"/>
  <c r="U23" i="1"/>
  <c r="H38" i="1"/>
  <c r="AK57" i="1"/>
  <c r="Z68" i="1"/>
  <c r="AE81" i="1"/>
  <c r="X53" i="1"/>
  <c r="AD13" i="1"/>
  <c r="H19" i="1"/>
  <c r="AD22" i="1"/>
  <c r="AW80" i="1"/>
  <c r="L13" i="1"/>
  <c r="AI9" i="1"/>
  <c r="AF57" i="1"/>
  <c r="AX60" i="1"/>
  <c r="Y25" i="1"/>
  <c r="AF32" i="1"/>
  <c r="V55" i="1"/>
  <c r="W43" i="1"/>
  <c r="W64" i="1"/>
  <c r="X82" i="1"/>
  <c r="AD33" i="1"/>
  <c r="Q6" i="1"/>
  <c r="P60" i="1"/>
  <c r="AU78" i="1"/>
  <c r="AC48" i="1"/>
  <c r="L31" i="1"/>
  <c r="Z83" i="1"/>
  <c r="AC47" i="1"/>
  <c r="W16" i="1"/>
  <c r="E7" i="1"/>
  <c r="X77" i="1"/>
  <c r="P12" i="1"/>
  <c r="AI50" i="1"/>
  <c r="AP83" i="1"/>
  <c r="AK11" i="1"/>
  <c r="AC51" i="1"/>
  <c r="C80" i="1"/>
  <c r="AJ56" i="1"/>
  <c r="U16" i="1"/>
  <c r="D30" i="1"/>
  <c r="AH81" i="1"/>
  <c r="AA35" i="1"/>
  <c r="S59" i="1"/>
  <c r="Z30" i="1"/>
  <c r="AI25" i="1"/>
  <c r="AW42" i="1"/>
  <c r="AD12" i="1"/>
  <c r="Z41" i="1"/>
  <c r="AJ31" i="1"/>
  <c r="G11" i="1"/>
  <c r="AF26" i="1"/>
  <c r="AD82" i="1"/>
  <c r="AR18" i="1"/>
  <c r="AU13" i="1"/>
  <c r="AB43" i="1"/>
  <c r="G46" i="1"/>
  <c r="AM56" i="1"/>
  <c r="U62" i="1"/>
  <c r="AE9" i="1"/>
  <c r="AG19" i="1"/>
  <c r="V11" i="1"/>
  <c r="AL12" i="1"/>
  <c r="I43" i="1"/>
  <c r="AA19" i="1"/>
  <c r="AU84" i="1"/>
  <c r="AK17" i="1"/>
  <c r="L33" i="1"/>
  <c r="AR82" i="1"/>
  <c r="AW33" i="1"/>
  <c r="G43" i="1"/>
  <c r="S79" i="1"/>
  <c r="AD8" i="1"/>
  <c r="D46" i="1"/>
  <c r="I67" i="1"/>
  <c r="Y18" i="1"/>
  <c r="I39" i="1"/>
  <c r="AJ61" i="1"/>
  <c r="AK77" i="1"/>
  <c r="G74" i="1"/>
  <c r="Z50" i="1"/>
  <c r="K54" i="1"/>
  <c r="AF46" i="1"/>
  <c r="V61" i="1"/>
  <c r="AA60" i="1"/>
  <c r="F56" i="1"/>
  <c r="AK64" i="1"/>
  <c r="B56" i="1"/>
  <c r="AR49" i="1"/>
  <c r="AB78" i="1"/>
  <c r="AR47" i="1"/>
  <c r="L71" i="1"/>
  <c r="AG41" i="1"/>
  <c r="Q30" i="1"/>
  <c r="AR31" i="1"/>
  <c r="AT71" i="1"/>
  <c r="W65" i="1"/>
  <c r="AA18" i="1"/>
  <c r="W75" i="1"/>
  <c r="G10" i="1"/>
  <c r="AQ11" i="1"/>
  <c r="AJ41" i="1"/>
  <c r="H55" i="1"/>
  <c r="Z54" i="1"/>
  <c r="AX6" i="1"/>
  <c r="AI33" i="1"/>
  <c r="G49" i="1"/>
  <c r="X18" i="1"/>
  <c r="X58" i="1"/>
  <c r="AC25" i="1"/>
  <c r="AK10" i="1"/>
  <c r="AT22" i="1"/>
  <c r="AP55" i="1"/>
  <c r="P61" i="1"/>
  <c r="AL9" i="1"/>
  <c r="AX34" i="1"/>
  <c r="L42" i="1"/>
  <c r="F48" i="1"/>
  <c r="P33" i="1"/>
  <c r="AJ51" i="1"/>
  <c r="I35" i="1"/>
  <c r="AG25" i="1"/>
  <c r="AX24" i="1"/>
  <c r="B11" i="1"/>
  <c r="E43" i="1"/>
  <c r="AP62" i="1"/>
  <c r="K34" i="1"/>
  <c r="AG24" i="1"/>
  <c r="Q50" i="1"/>
  <c r="U68" i="1"/>
  <c r="AH53" i="1"/>
  <c r="Z64" i="1"/>
  <c r="AT13" i="1"/>
  <c r="P76" i="1"/>
  <c r="I29" i="1"/>
  <c r="H68" i="1"/>
  <c r="AQ66" i="1"/>
  <c r="AU58" i="1"/>
  <c r="AG43" i="1"/>
  <c r="Q64" i="1"/>
  <c r="F66" i="1"/>
  <c r="AX10" i="1"/>
  <c r="H43" i="1"/>
  <c r="L52" i="1"/>
  <c r="X48" i="1"/>
  <c r="AP43" i="1"/>
  <c r="AV22" i="1"/>
  <c r="AH63" i="1"/>
  <c r="AH7" i="1"/>
  <c r="L29" i="1"/>
  <c r="AF14" i="1"/>
  <c r="E64" i="1"/>
  <c r="Q20" i="1"/>
  <c r="AF73" i="1"/>
  <c r="AB81" i="1"/>
  <c r="AU28" i="1"/>
  <c r="H79" i="1"/>
  <c r="AB73" i="1"/>
  <c r="U78" i="1"/>
  <c r="F30" i="1"/>
  <c r="AA73" i="1"/>
  <c r="AL26" i="1"/>
  <c r="AB9" i="1"/>
  <c r="AF38" i="1"/>
  <c r="H32" i="1"/>
  <c r="AE74" i="1"/>
  <c r="J27" i="1"/>
  <c r="AI55" i="1"/>
  <c r="I45" i="1"/>
  <c r="Z51" i="1"/>
  <c r="E41" i="1"/>
  <c r="E56" i="1"/>
  <c r="AD74" i="1"/>
  <c r="J60" i="1"/>
  <c r="AF25" i="1"/>
  <c r="P79" i="1"/>
  <c r="B77" i="1"/>
  <c r="U77" i="1"/>
  <c r="R62" i="1"/>
  <c r="F18" i="1"/>
  <c r="AC46" i="1"/>
  <c r="AM81" i="1"/>
  <c r="AF60" i="1"/>
  <c r="E18" i="1"/>
  <c r="AX74" i="1"/>
  <c r="Z21" i="1"/>
  <c r="F14" i="1"/>
  <c r="G68" i="1"/>
  <c r="AA27" i="1"/>
  <c r="AD49" i="1"/>
  <c r="AJ58" i="1"/>
  <c r="Q40" i="1"/>
  <c r="Y76" i="1"/>
  <c r="Y12" i="1"/>
  <c r="V54" i="1"/>
  <c r="AQ41" i="1"/>
  <c r="AL80" i="1"/>
  <c r="F23" i="1"/>
  <c r="AP7" i="1"/>
  <c r="AD19" i="1"/>
  <c r="K77" i="1"/>
  <c r="AK71" i="1"/>
  <c r="AL47" i="1"/>
  <c r="C28" i="1"/>
  <c r="AM74" i="1"/>
  <c r="C19" i="1"/>
  <c r="J6" i="1"/>
  <c r="I73" i="1"/>
  <c r="AI36" i="1"/>
  <c r="L32" i="1"/>
  <c r="AD84" i="1"/>
  <c r="AB58" i="1"/>
  <c r="AB49" i="1"/>
  <c r="I7" i="1"/>
  <c r="Q60" i="1"/>
  <c r="Q72" i="1"/>
  <c r="AB26" i="1"/>
  <c r="AW10" i="1"/>
  <c r="B68" i="1"/>
  <c r="E70" i="1"/>
  <c r="V46" i="1"/>
  <c r="X31" i="1"/>
  <c r="W42" i="1"/>
  <c r="S65" i="1"/>
  <c r="J67" i="1"/>
  <c r="G52" i="1"/>
  <c r="AG82" i="1"/>
  <c r="AM40" i="1"/>
  <c r="V14" i="1"/>
  <c r="AT58" i="1"/>
  <c r="AC78" i="1"/>
  <c r="D58" i="1"/>
  <c r="Q29" i="1"/>
  <c r="J66" i="1"/>
  <c r="W47" i="1"/>
  <c r="E79" i="1"/>
  <c r="Z43" i="1"/>
  <c r="AX28" i="1"/>
  <c r="AN48" i="1"/>
  <c r="Y74" i="1"/>
  <c r="S70" i="1"/>
  <c r="AK58" i="1"/>
  <c r="AV39" i="1"/>
  <c r="P35" i="1"/>
  <c r="E22" i="1"/>
  <c r="AX9" i="1"/>
  <c r="AX11" i="1"/>
  <c r="U50" i="1"/>
  <c r="AU67" i="1"/>
  <c r="D40" i="1"/>
  <c r="AJ39" i="1"/>
  <c r="D18" i="1"/>
  <c r="AN52" i="1"/>
  <c r="I69" i="1"/>
  <c r="F36" i="1"/>
  <c r="J52" i="1"/>
  <c r="Q62" i="1"/>
  <c r="X38" i="1"/>
  <c r="J65" i="1"/>
  <c r="AN12" i="1"/>
  <c r="P75" i="1"/>
  <c r="J55" i="1"/>
  <c r="AR57" i="1"/>
  <c r="V24" i="1"/>
  <c r="AI24" i="1"/>
  <c r="E32" i="1"/>
  <c r="C42" i="1"/>
  <c r="AO44" i="1"/>
  <c r="AE35" i="1"/>
  <c r="AK28" i="1"/>
  <c r="H13" i="1"/>
  <c r="AO80" i="1"/>
  <c r="AQ19" i="1"/>
  <c r="C61" i="1"/>
  <c r="AI44" i="1"/>
  <c r="G42" i="1"/>
  <c r="G21" i="1"/>
  <c r="Q24" i="1"/>
  <c r="B31" i="1"/>
  <c r="D9" i="1"/>
  <c r="C25" i="1"/>
  <c r="AB14" i="1"/>
  <c r="AF35" i="1"/>
  <c r="K68" i="1"/>
  <c r="B49" i="1"/>
  <c r="P42" i="1"/>
  <c r="AH33" i="1"/>
  <c r="K19" i="1"/>
  <c r="F22" i="1"/>
  <c r="I64" i="1"/>
  <c r="AK27" i="1"/>
  <c r="K25" i="1"/>
  <c r="AO8" i="1"/>
  <c r="Y7" i="1"/>
  <c r="U84" i="1"/>
  <c r="U76" i="1"/>
  <c r="AN78" i="1"/>
  <c r="AF80" i="1"/>
  <c r="AD73" i="1"/>
  <c r="AX30" i="1"/>
  <c r="AQ82" i="1"/>
  <c r="V79" i="1"/>
  <c r="AK83" i="1"/>
  <c r="H8" i="1"/>
  <c r="J56" i="1"/>
  <c r="D66" i="1"/>
  <c r="AD40" i="1"/>
  <c r="AG8" i="1"/>
  <c r="AB34" i="1"/>
  <c r="AB20" i="1"/>
  <c r="C32" i="1"/>
  <c r="K65" i="1"/>
  <c r="F53" i="1"/>
  <c r="Q27" i="1"/>
  <c r="W69" i="1"/>
  <c r="Q69" i="1"/>
  <c r="Q41" i="1"/>
  <c r="I78" i="1"/>
  <c r="AI20" i="1"/>
  <c r="G75" i="1"/>
  <c r="AL53" i="1"/>
  <c r="G40" i="1"/>
  <c r="H27" i="1"/>
  <c r="J75" i="1"/>
  <c r="J81" i="1"/>
  <c r="AA64" i="1"/>
  <c r="P28" i="1"/>
  <c r="R61" i="1"/>
  <c r="F65" i="1"/>
  <c r="C47" i="1"/>
  <c r="J76" i="1"/>
  <c r="V30" i="1"/>
  <c r="E17" i="1"/>
  <c r="P51" i="1"/>
  <c r="AO74" i="1"/>
  <c r="G30" i="1"/>
  <c r="G81" i="1"/>
  <c r="J80" i="1"/>
  <c r="C23" i="1"/>
  <c r="AC61" i="1"/>
  <c r="AN8" i="1"/>
  <c r="H11" i="1"/>
  <c r="Y30" i="1"/>
  <c r="AD58" i="1"/>
  <c r="C11" i="1"/>
  <c r="AJ48" i="1"/>
  <c r="Y13" i="1"/>
  <c r="B63" i="1"/>
  <c r="AE58" i="1"/>
  <c r="AP67" i="1"/>
  <c r="K55" i="1"/>
  <c r="P53" i="1"/>
  <c r="K23" i="1"/>
  <c r="AD14" i="1"/>
  <c r="L84" i="1"/>
  <c r="L72" i="1"/>
  <c r="AF18" i="1"/>
  <c r="AT21" i="1"/>
  <c r="I66" i="1"/>
  <c r="G59" i="1"/>
  <c r="AL36" i="1"/>
  <c r="AH22" i="1"/>
  <c r="AF82" i="1"/>
  <c r="AK50" i="1"/>
  <c r="I36" i="1"/>
  <c r="AQ23" i="1"/>
  <c r="H40" i="1"/>
  <c r="AF43" i="1"/>
  <c r="AQ21" i="1"/>
  <c r="AH31" i="1"/>
  <c r="AB54" i="1"/>
  <c r="B8" i="1"/>
  <c r="AW57" i="1"/>
  <c r="Y71" i="1"/>
  <c r="AU72" i="1"/>
  <c r="Y43" i="1"/>
  <c r="X23" i="1"/>
  <c r="AM24" i="1"/>
  <c r="AG65" i="1"/>
  <c r="G39" i="1"/>
  <c r="AB52" i="1"/>
  <c r="L22" i="1"/>
  <c r="AL74" i="1"/>
  <c r="AK66" i="1"/>
  <c r="Q67" i="1"/>
  <c r="R56" i="1"/>
  <c r="AG66" i="1"/>
  <c r="AH66" i="1"/>
  <c r="AT40" i="1"/>
  <c r="J23" i="1"/>
  <c r="K11" i="1"/>
  <c r="AG59" i="1"/>
  <c r="D55" i="1"/>
  <c r="AF48" i="1"/>
  <c r="AK8" i="1"/>
  <c r="AN18" i="1"/>
  <c r="F21" i="1"/>
  <c r="U30" i="1"/>
  <c r="AA71" i="1"/>
  <c r="AO62" i="1"/>
  <c r="AM63" i="1"/>
  <c r="B32" i="1"/>
  <c r="F15" i="1"/>
  <c r="X12" i="1"/>
  <c r="AJ26" i="1"/>
  <c r="U73" i="1"/>
  <c r="AJ12" i="1"/>
  <c r="F45" i="1"/>
  <c r="L14" i="1"/>
  <c r="AA42" i="1"/>
  <c r="AN25" i="1"/>
  <c r="P20" i="1"/>
  <c r="V71" i="1"/>
  <c r="C45" i="1"/>
  <c r="J77" i="1"/>
  <c r="C78" i="1"/>
  <c r="U19" i="1"/>
  <c r="AX17" i="1"/>
  <c r="AR68" i="1"/>
  <c r="AC69" i="1"/>
  <c r="W52" i="1"/>
  <c r="P83" i="1"/>
  <c r="AI57" i="1"/>
  <c r="AM19" i="1"/>
  <c r="I80" i="1"/>
  <c r="AJ21" i="1"/>
  <c r="AV50" i="1"/>
  <c r="Y36" i="1"/>
  <c r="I6" i="1"/>
  <c r="K51" i="1"/>
  <c r="B7" i="1"/>
  <c r="AR63" i="1"/>
  <c r="Z61" i="1"/>
  <c r="AE71" i="1"/>
  <c r="AX55" i="1"/>
  <c r="AK30" i="1"/>
  <c r="AT35" i="1"/>
  <c r="AU47" i="1"/>
  <c r="AF8" i="1"/>
  <c r="AC62" i="1"/>
  <c r="H9" i="1"/>
  <c r="W8" i="1"/>
  <c r="AH62" i="1"/>
  <c r="Y57" i="1"/>
  <c r="AG6" i="1"/>
  <c r="AG36" i="1"/>
  <c r="B83" i="1"/>
  <c r="P72" i="1"/>
  <c r="AH6" i="1"/>
  <c r="Q57" i="1"/>
  <c r="AP78" i="1"/>
  <c r="E35" i="1"/>
  <c r="AL10" i="1"/>
  <c r="AB30" i="1"/>
  <c r="W66" i="1"/>
  <c r="C41" i="1"/>
  <c r="AB32" i="1"/>
  <c r="AW8" i="1"/>
  <c r="J11" i="1"/>
  <c r="C70" i="1"/>
  <c r="C17" i="1"/>
  <c r="E51" i="1"/>
  <c r="H44" i="1"/>
  <c r="AB74" i="1"/>
  <c r="AI66" i="1"/>
  <c r="J34" i="1"/>
  <c r="D31" i="1"/>
  <c r="AG74" i="1"/>
  <c r="J47" i="1"/>
  <c r="X32" i="1"/>
  <c r="AG20" i="1"/>
  <c r="AP45" i="1"/>
  <c r="AH67" i="1"/>
  <c r="P62" i="1"/>
  <c r="AG53" i="1"/>
  <c r="H61" i="1"/>
  <c r="D71" i="1"/>
  <c r="C7" i="1"/>
  <c r="V63" i="1"/>
  <c r="AT14" i="1"/>
  <c r="S41" i="1"/>
  <c r="AM27" i="1"/>
  <c r="AA55" i="1"/>
  <c r="H10" i="1"/>
  <c r="AL14" i="1"/>
  <c r="B67" i="1"/>
  <c r="I50" i="1"/>
  <c r="AI68" i="1"/>
  <c r="H64" i="1"/>
  <c r="F50" i="1"/>
  <c r="F60" i="1"/>
  <c r="AL75" i="1"/>
  <c r="AG30" i="1"/>
  <c r="X70" i="1"/>
  <c r="AB37" i="1"/>
  <c r="AA72" i="1"/>
  <c r="V69" i="1"/>
  <c r="AL32" i="1"/>
  <c r="P55" i="1"/>
  <c r="AQ31" i="1"/>
  <c r="E49" i="1"/>
  <c r="AR72" i="1"/>
  <c r="J54" i="1"/>
  <c r="H75" i="1"/>
  <c r="AC6" i="1"/>
  <c r="AD46" i="1"/>
  <c r="B29" i="1"/>
  <c r="Q25" i="1"/>
  <c r="AT42" i="1"/>
  <c r="AD67" i="1"/>
  <c r="R71" i="1"/>
  <c r="Y41" i="1"/>
  <c r="L61" i="1"/>
  <c r="C12" i="1"/>
  <c r="AC60" i="1"/>
  <c r="AN38" i="1"/>
  <c r="AJ83" i="1"/>
  <c r="D8" i="1"/>
  <c r="Z78" i="1"/>
  <c r="I25" i="1"/>
  <c r="L25" i="1"/>
  <c r="AU16" i="1"/>
  <c r="AB69" i="1"/>
  <c r="G22" i="1"/>
  <c r="Z35" i="1"/>
  <c r="Y38" i="1"/>
  <c r="AN80" i="1"/>
  <c r="AL58" i="1"/>
  <c r="AU51" i="1"/>
  <c r="U32" i="1"/>
  <c r="K81" i="1"/>
  <c r="AE45" i="1"/>
  <c r="AJ16" i="1"/>
  <c r="AI43" i="1"/>
  <c r="AW32" i="1"/>
  <c r="AT15" i="1"/>
  <c r="AV54" i="1"/>
  <c r="R47" i="1"/>
  <c r="J32" i="1"/>
  <c r="AH71" i="1"/>
  <c r="X21" i="1"/>
  <c r="E29" i="1"/>
  <c r="X51" i="1"/>
  <c r="AM60" i="1"/>
  <c r="U80" i="1"/>
  <c r="AK69" i="1"/>
  <c r="AW59" i="1"/>
  <c r="B16" i="1"/>
  <c r="AX18" i="1"/>
  <c r="AH52" i="1"/>
  <c r="AI6" i="1"/>
  <c r="R14" i="1"/>
  <c r="AI7" i="1"/>
  <c r="U35" i="1"/>
  <c r="P66" i="1"/>
  <c r="H45" i="1"/>
  <c r="AC72" i="1"/>
  <c r="AL56" i="1"/>
  <c r="AC39" i="1"/>
  <c r="I76" i="1"/>
  <c r="F47" i="1"/>
  <c r="AQ77" i="1"/>
  <c r="V19" i="1"/>
  <c r="R37" i="1"/>
  <c r="AB61" i="1"/>
  <c r="U52" i="1"/>
  <c r="X17" i="1"/>
  <c r="AI11" i="1"/>
  <c r="J40" i="1"/>
  <c r="K80" i="1"/>
  <c r="AL42" i="1"/>
  <c r="AH64" i="1"/>
  <c r="AT56" i="1"/>
  <c r="AE38" i="1"/>
  <c r="AC56" i="1"/>
  <c r="P25" i="1"/>
  <c r="J39" i="1"/>
  <c r="Q83" i="1"/>
  <c r="AQ84" i="1"/>
  <c r="AT11" i="1"/>
  <c r="AJ35" i="1"/>
  <c r="AM42" i="1"/>
  <c r="AE15" i="1"/>
  <c r="U47" i="1"/>
  <c r="W82" i="1"/>
  <c r="P11" i="1"/>
  <c r="I72" i="1"/>
  <c r="P67" i="1"/>
  <c r="AI45" i="1"/>
  <c r="AG15" i="1"/>
  <c r="AC59" i="1"/>
  <c r="P57" i="1"/>
  <c r="E54" i="1"/>
  <c r="B46" i="1"/>
  <c r="Q58" i="1"/>
  <c r="E65" i="1"/>
  <c r="W56" i="1"/>
  <c r="AL31" i="1"/>
  <c r="AA6" i="1"/>
  <c r="AL82" i="1"/>
  <c r="Y39" i="1"/>
  <c r="AN42" i="1"/>
  <c r="V12" i="1"/>
  <c r="AX84" i="1"/>
  <c r="AA82" i="1"/>
  <c r="C60" i="1"/>
  <c r="AC54" i="1"/>
  <c r="H54" i="1"/>
  <c r="B66" i="1"/>
  <c r="AD34" i="1"/>
  <c r="V76" i="1"/>
  <c r="AM65" i="1"/>
  <c r="J35" i="1"/>
  <c r="AI47" i="1"/>
  <c r="AO17" i="1"/>
  <c r="C58" i="1"/>
  <c r="B74" i="1"/>
  <c r="V74" i="1"/>
  <c r="W61" i="1"/>
  <c r="D33" i="1"/>
  <c r="AQ59" i="1"/>
  <c r="D25" i="1"/>
  <c r="J21" i="1"/>
  <c r="K17" i="1"/>
  <c r="AC32" i="1"/>
  <c r="W30" i="1"/>
  <c r="W24" i="1"/>
  <c r="P63" i="1"/>
  <c r="AQ22" i="1"/>
  <c r="AC30" i="1"/>
  <c r="K75" i="1"/>
  <c r="I57" i="1"/>
  <c r="K76" i="1"/>
  <c r="AL61" i="1"/>
  <c r="AM84" i="1"/>
  <c r="AE62" i="1"/>
  <c r="AB38" i="1"/>
  <c r="Y78" i="1"/>
  <c r="R57" i="1"/>
  <c r="B57" i="1"/>
  <c r="W23" i="1"/>
  <c r="AI21" i="1"/>
  <c r="J16" i="1"/>
  <c r="AT43" i="1"/>
  <c r="X9" i="1"/>
  <c r="D77" i="1"/>
  <c r="F41" i="1"/>
  <c r="AT9" i="1"/>
  <c r="AN57" i="1"/>
  <c r="AK81" i="1"/>
  <c r="W37" i="1"/>
  <c r="AD45" i="1"/>
  <c r="AM17" i="1"/>
  <c r="AD81" i="1"/>
  <c r="AF12" i="1"/>
  <c r="D20" i="1"/>
  <c r="H25" i="1"/>
  <c r="AT81" i="1"/>
  <c r="AQ67" i="1"/>
  <c r="AO19" i="1"/>
  <c r="AK42" i="1"/>
  <c r="U29" i="1"/>
  <c r="B37" i="1"/>
  <c r="H42" i="1"/>
  <c r="Z16" i="1"/>
  <c r="AI31" i="1"/>
  <c r="AK48" i="1"/>
  <c r="AF45" i="1"/>
  <c r="H24" i="1"/>
  <c r="D63" i="1"/>
  <c r="C83" i="1"/>
  <c r="AD35" i="1"/>
  <c r="E25" i="1"/>
  <c r="AT65" i="1"/>
  <c r="AG80" i="1"/>
  <c r="V66" i="1"/>
  <c r="Q31" i="1"/>
  <c r="W11" i="1"/>
  <c r="AV63" i="1"/>
  <c r="AI82" i="1"/>
  <c r="AV32" i="1"/>
  <c r="AW67" i="1"/>
  <c r="F75" i="1"/>
  <c r="AG77" i="1"/>
  <c r="R43" i="1"/>
  <c r="AT32" i="1"/>
  <c r="W55" i="1"/>
  <c r="F79" i="1"/>
  <c r="AJ49" i="1"/>
  <c r="X49" i="1"/>
  <c r="AM72" i="1"/>
  <c r="V25" i="1"/>
  <c r="AD42" i="1"/>
  <c r="AT77" i="1"/>
  <c r="J53" i="1"/>
  <c r="V20" i="1"/>
  <c r="AB11" i="1"/>
  <c r="H48" i="1"/>
  <c r="AM23" i="1"/>
  <c r="AL70" i="1"/>
  <c r="E45" i="1"/>
  <c r="AX81" i="1"/>
  <c r="AH80" i="1"/>
  <c r="B47" i="1"/>
  <c r="B70" i="1"/>
  <c r="AF70" i="1"/>
  <c r="AP9" i="1"/>
  <c r="AL52" i="1"/>
  <c r="AC38" i="1"/>
  <c r="AV12" i="1"/>
  <c r="AD54" i="1"/>
  <c r="AN7" i="1"/>
  <c r="AG44" i="1"/>
  <c r="J73" i="1"/>
  <c r="AU61" i="1"/>
  <c r="S24" i="1"/>
  <c r="S34" i="1"/>
  <c r="AQ7" i="1"/>
  <c r="L65" i="1"/>
  <c r="AT34" i="1"/>
  <c r="AN24" i="1"/>
  <c r="AE69" i="1"/>
  <c r="AH69" i="1"/>
  <c r="R10" i="1"/>
  <c r="J26" i="1"/>
  <c r="W76" i="1"/>
  <c r="AG9" i="1"/>
  <c r="AC22" i="1"/>
  <c r="R44" i="1"/>
  <c r="AV62" i="1"/>
  <c r="S49" i="1"/>
  <c r="AJ24" i="1"/>
  <c r="AI48" i="1"/>
  <c r="G12" i="1"/>
  <c r="U34" i="1"/>
  <c r="L20" i="1"/>
  <c r="AJ18" i="1"/>
  <c r="AL8" i="1"/>
  <c r="E60" i="1"/>
  <c r="AU41" i="1"/>
  <c r="F81" i="1"/>
  <c r="H62" i="1"/>
  <c r="W84" i="1"/>
  <c r="AO72" i="1"/>
  <c r="AR36" i="1"/>
  <c r="H84" i="1"/>
  <c r="I61" i="1"/>
  <c r="AP8" i="1"/>
  <c r="AT66" i="1"/>
  <c r="AK35" i="1"/>
  <c r="Z6" i="1"/>
  <c r="V45" i="1"/>
  <c r="AE36" i="1"/>
  <c r="S14" i="1"/>
  <c r="AH19" i="1"/>
  <c r="AI74" i="1"/>
  <c r="AN79" i="1"/>
  <c r="AI76" i="1"/>
  <c r="AE70" i="1"/>
  <c r="AP68" i="1"/>
  <c r="AT25" i="1"/>
  <c r="K26" i="1"/>
  <c r="U72" i="1"/>
  <c r="AQ18" i="1"/>
  <c r="E21" i="1"/>
  <c r="AN82" i="1"/>
  <c r="AQ17" i="1"/>
  <c r="AO73" i="1"/>
  <c r="P19" i="1"/>
  <c r="AU76" i="1"/>
  <c r="AE80" i="1"/>
  <c r="P14" i="1"/>
  <c r="AF53" i="1"/>
  <c r="AH42" i="1"/>
  <c r="H60" i="1"/>
  <c r="L70" i="1"/>
  <c r="G36" i="1"/>
  <c r="AU9" i="1"/>
  <c r="AM46" i="1"/>
  <c r="F7" i="1"/>
  <c r="U14" i="1"/>
  <c r="V84" i="1"/>
  <c r="Q7" i="1"/>
  <c r="Z77" i="1"/>
  <c r="AI28" i="1"/>
  <c r="AA43" i="1"/>
  <c r="Y37" i="1"/>
  <c r="AQ63" i="1"/>
  <c r="AE84" i="1"/>
  <c r="C18" i="1"/>
  <c r="J24" i="1"/>
  <c r="AU45" i="1"/>
  <c r="Z56" i="1"/>
  <c r="L55" i="1"/>
  <c r="AA76" i="1"/>
  <c r="AL25" i="1"/>
  <c r="H37" i="1"/>
  <c r="AW47" i="1"/>
  <c r="AG23" i="1"/>
  <c r="Z40" i="1"/>
  <c r="E23" i="1"/>
  <c r="D60" i="1"/>
  <c r="AP82" i="1"/>
  <c r="F8" i="1"/>
  <c r="F10" i="1"/>
  <c r="R73" i="1"/>
  <c r="Q11" i="1"/>
  <c r="AL63" i="1"/>
  <c r="W79" i="1"/>
  <c r="AD62" i="1"/>
  <c r="AW24" i="1"/>
  <c r="AL22" i="1"/>
  <c r="AP25" i="1"/>
  <c r="E82" i="1"/>
  <c r="AI15" i="1"/>
  <c r="G65" i="1"/>
  <c r="AA45" i="1"/>
  <c r="Q80" i="1"/>
  <c r="B6" i="1"/>
  <c r="AX53" i="1"/>
  <c r="V32" i="1"/>
  <c r="AI83" i="1"/>
  <c r="AD43" i="1"/>
  <c r="Q8" i="1"/>
  <c r="B51" i="1"/>
  <c r="AB60" i="1"/>
  <c r="AM12" i="1"/>
  <c r="W62" i="1"/>
  <c r="L30" i="1"/>
  <c r="E20" i="1"/>
  <c r="B71" i="1"/>
  <c r="K57" i="1"/>
  <c r="AM73" i="1"/>
  <c r="AJ79" i="1"/>
  <c r="V50" i="1"/>
  <c r="F59" i="1"/>
  <c r="W13" i="1"/>
  <c r="G31" i="1"/>
  <c r="Q42" i="1"/>
  <c r="W83" i="1"/>
  <c r="B42" i="1"/>
  <c r="K13" i="1"/>
  <c r="Q74" i="1"/>
  <c r="P82" i="1"/>
  <c r="I49" i="1"/>
  <c r="S46" i="1"/>
  <c r="K35" i="1"/>
  <c r="X40" i="1"/>
  <c r="AB45" i="1"/>
  <c r="AL72" i="1"/>
  <c r="G62" i="1"/>
  <c r="P70" i="1"/>
  <c r="AA38" i="1"/>
  <c r="AG39" i="1"/>
  <c r="G17" i="1"/>
  <c r="Q55" i="1"/>
  <c r="J41" i="1"/>
  <c r="K14" i="1"/>
  <c r="AM14" i="1"/>
  <c r="P21" i="1"/>
  <c r="AB16" i="1"/>
  <c r="AA11" i="1"/>
  <c r="AK13" i="1"/>
  <c r="AK59" i="1"/>
  <c r="AK60" i="1"/>
  <c r="K33" i="1"/>
  <c r="AJ15" i="1"/>
  <c r="AE43" i="1"/>
  <c r="AP13" i="1"/>
  <c r="C56" i="1"/>
  <c r="AQ69" i="1"/>
  <c r="AA29" i="1"/>
  <c r="X76" i="1"/>
  <c r="AE16" i="1"/>
  <c r="E46" i="1"/>
  <c r="E27" i="1"/>
  <c r="X27" i="1"/>
  <c r="R48" i="1"/>
  <c r="AG84" i="1"/>
  <c r="AG62" i="1"/>
  <c r="AF72" i="1"/>
  <c r="AW35" i="1"/>
  <c r="H6" i="1"/>
  <c r="F64" i="1"/>
  <c r="Y69" i="1"/>
  <c r="K18" i="1"/>
  <c r="AN37" i="1"/>
  <c r="B81" i="1"/>
  <c r="X14" i="1"/>
  <c r="Q79" i="1"/>
  <c r="AP6" i="1"/>
  <c r="G9" i="1"/>
  <c r="Z60" i="1"/>
  <c r="AU82" i="1"/>
  <c r="P50" i="1"/>
  <c r="H23" i="1"/>
  <c r="AO20" i="1"/>
  <c r="AX70" i="1"/>
  <c r="AN39" i="1"/>
  <c r="AG40" i="1"/>
  <c r="J82" i="1"/>
  <c r="C75" i="1"/>
  <c r="AG33" i="1"/>
  <c r="AP48" i="1"/>
  <c r="I20" i="1"/>
  <c r="AU77" i="1"/>
  <c r="D13" i="1"/>
  <c r="AO34" i="1"/>
  <c r="AB36" i="1"/>
  <c r="AG83" i="1"/>
  <c r="AO76" i="1"/>
  <c r="AF28" i="1"/>
  <c r="C82" i="1"/>
  <c r="D72" i="1"/>
  <c r="AI40" i="1"/>
  <c r="AI63" i="1"/>
  <c r="G45" i="1"/>
  <c r="AJ44" i="1"/>
  <c r="AM47" i="1"/>
  <c r="AN65" i="1"/>
  <c r="I33" i="1"/>
  <c r="Z10" i="1"/>
  <c r="V81" i="1"/>
  <c r="AO13" i="1"/>
  <c r="L77" i="1"/>
  <c r="Z45" i="1"/>
  <c r="AV41" i="1"/>
  <c r="Z49" i="1"/>
  <c r="V51" i="1"/>
  <c r="AU54" i="1"/>
  <c r="AV64" i="1"/>
  <c r="AK82" i="1"/>
  <c r="Q84" i="1"/>
  <c r="R55" i="1"/>
  <c r="AO81" i="1"/>
  <c r="R82" i="1"/>
  <c r="E63" i="1"/>
  <c r="AO79" i="1"/>
  <c r="AQ49" i="1"/>
  <c r="AP24" i="1"/>
  <c r="X80" i="1"/>
  <c r="J42" i="1"/>
  <c r="S20" i="1"/>
  <c r="AJ7" i="1"/>
  <c r="U45" i="1"/>
  <c r="H71" i="1"/>
  <c r="AE75" i="1"/>
  <c r="AP65" i="1"/>
  <c r="Q15" i="1"/>
  <c r="AE22" i="1"/>
  <c r="AB17" i="1"/>
  <c r="AA51" i="1"/>
  <c r="B35" i="1"/>
  <c r="AE83" i="1"/>
  <c r="P27" i="1"/>
  <c r="AH20" i="1"/>
  <c r="D38" i="1"/>
  <c r="AF65" i="1"/>
  <c r="I28" i="1"/>
  <c r="AW63" i="1"/>
  <c r="B76" i="1"/>
  <c r="U48" i="1"/>
  <c r="V8" i="1"/>
  <c r="P59" i="1"/>
  <c r="AK49" i="1"/>
  <c r="AM68" i="1"/>
  <c r="AL38" i="1"/>
  <c r="AL73" i="1"/>
  <c r="R9" i="1"/>
  <c r="AK55" i="1"/>
  <c r="V17" i="1"/>
  <c r="Q35" i="1"/>
  <c r="AO71" i="1"/>
  <c r="AA12" i="1"/>
  <c r="E73" i="1"/>
  <c r="AH15" i="1"/>
  <c r="I24" i="1"/>
  <c r="AP61" i="1"/>
  <c r="F67" i="1"/>
  <c r="AI75" i="1"/>
  <c r="L16" i="1"/>
  <c r="C63" i="1"/>
  <c r="AA70" i="1"/>
  <c r="AG16" i="1"/>
  <c r="AR6" i="1"/>
  <c r="Y6" i="1"/>
  <c r="F27" i="1"/>
  <c r="F9" i="1"/>
  <c r="AC33" i="1"/>
  <c r="Y70" i="1"/>
  <c r="Z29" i="1"/>
  <c r="Y65" i="1"/>
  <c r="G54" i="1"/>
  <c r="AJ74" i="1"/>
  <c r="Q47" i="1"/>
  <c r="Z39" i="1"/>
  <c r="U71" i="1"/>
  <c r="AF7" i="1"/>
  <c r="X33" i="1"/>
  <c r="AC23" i="1"/>
  <c r="E36" i="1"/>
  <c r="Q71" i="1"/>
  <c r="V21" i="1"/>
  <c r="Q81" i="1"/>
  <c r="F35" i="1"/>
  <c r="Q46" i="1"/>
  <c r="U24" i="1"/>
  <c r="AN81" i="1"/>
  <c r="K36" i="1"/>
  <c r="AR22" i="1"/>
  <c r="AA80" i="1"/>
  <c r="Q38" i="1"/>
  <c r="D47" i="1"/>
  <c r="P8" i="1"/>
  <c r="AK43" i="1"/>
  <c r="V65" i="1"/>
  <c r="P45" i="1"/>
  <c r="L74" i="1"/>
  <c r="C15" i="1"/>
  <c r="AU6" i="1"/>
  <c r="AE17" i="1"/>
  <c r="AE32" i="1"/>
  <c r="AI12" i="1"/>
  <c r="X59" i="1"/>
  <c r="K20" i="1"/>
  <c r="AJ59" i="1"/>
  <c r="AW78" i="1"/>
  <c r="AP37" i="1"/>
  <c r="AE49" i="1"/>
  <c r="L28" i="1"/>
  <c r="AL35" i="1"/>
  <c r="P30" i="1"/>
  <c r="AJ63" i="1"/>
  <c r="AW9" i="1"/>
  <c r="U13" i="1"/>
  <c r="H82" i="1"/>
  <c r="AG37" i="1"/>
  <c r="AJ8" i="1"/>
  <c r="AC8" i="1"/>
  <c r="AF29" i="1"/>
  <c r="AM26" i="1"/>
  <c r="P7" i="1"/>
  <c r="AP46" i="1"/>
  <c r="AN71" i="1"/>
  <c r="Q63" i="1"/>
  <c r="AQ72" i="1"/>
  <c r="AQ58" i="1"/>
  <c r="C39" i="1"/>
  <c r="E72" i="1"/>
  <c r="D7" i="1"/>
  <c r="AH78" i="1"/>
  <c r="Q26" i="1"/>
  <c r="AG34" i="1"/>
  <c r="Y64" i="1"/>
  <c r="S16" i="1"/>
  <c r="AC63" i="1"/>
  <c r="B39" i="1"/>
  <c r="AX7" i="1"/>
  <c r="AE19" i="1"/>
  <c r="P44" i="1"/>
  <c r="AR75" i="1"/>
  <c r="AD32" i="1"/>
  <c r="K63" i="1"/>
  <c r="I13" i="1"/>
  <c r="AM20" i="1"/>
  <c r="W70" i="1"/>
  <c r="AV53" i="1"/>
  <c r="AM34" i="1"/>
  <c r="AT55" i="1"/>
  <c r="AC18" i="1"/>
  <c r="R46" i="1"/>
  <c r="U56" i="1"/>
  <c r="AM10" i="1"/>
  <c r="G25" i="1"/>
  <c r="L46" i="1"/>
  <c r="Q23" i="1"/>
  <c r="E68" i="1"/>
  <c r="J7" i="1"/>
  <c r="C24" i="1"/>
  <c r="AW71" i="1"/>
  <c r="AK70" i="1"/>
  <c r="AC80" i="1"/>
  <c r="AD51" i="1"/>
  <c r="AF33" i="1"/>
  <c r="F70" i="1"/>
  <c r="C16" i="1"/>
  <c r="AL7" i="1"/>
  <c r="Y22" i="1"/>
  <c r="C79" i="1"/>
  <c r="E75" i="1"/>
  <c r="AE46" i="1"/>
  <c r="AF27" i="1"/>
  <c r="I27" i="1"/>
  <c r="AL41" i="1"/>
  <c r="I56" i="1"/>
  <c r="L64" i="1"/>
  <c r="AC19" i="1"/>
  <c r="AK46" i="1"/>
  <c r="C9" i="1"/>
  <c r="AJ6" i="1"/>
  <c r="J8" i="1"/>
  <c r="AE31" i="1"/>
  <c r="Y73" i="1"/>
  <c r="G6" i="1"/>
  <c r="V78" i="1"/>
  <c r="AB63" i="1"/>
  <c r="G63" i="1"/>
  <c r="G35" i="1"/>
  <c r="C30" i="1"/>
  <c r="L60" i="1"/>
  <c r="AB76" i="1"/>
  <c r="AF30" i="1"/>
  <c r="I19" i="1"/>
  <c r="L73" i="1"/>
  <c r="AG63" i="1"/>
  <c r="AB80" i="1"/>
  <c r="AL62" i="1"/>
  <c r="L45" i="1"/>
  <c r="AX80" i="1"/>
  <c r="C38" i="1"/>
  <c r="AW58" i="1"/>
  <c r="C49" i="1"/>
  <c r="AM35" i="1"/>
  <c r="AH37" i="1"/>
  <c r="P71" i="1"/>
  <c r="AJ28" i="1"/>
  <c r="Z84" i="1"/>
  <c r="Z55" i="1"/>
  <c r="AU80" i="1"/>
  <c r="AQ27" i="1"/>
  <c r="V56" i="1"/>
  <c r="AA44" i="1"/>
  <c r="AV31" i="1"/>
  <c r="G57" i="1"/>
  <c r="AD68" i="1"/>
  <c r="AL49" i="1"/>
  <c r="AV83" i="1"/>
  <c r="AM31" i="1"/>
  <c r="AH24" i="1"/>
  <c r="Q66" i="1"/>
  <c r="F42" i="1"/>
  <c r="K45" i="1"/>
  <c r="AA14" i="1"/>
  <c r="AB24" i="1"/>
  <c r="AH16" i="1"/>
  <c r="AD10" i="1"/>
  <c r="R32" i="1"/>
  <c r="AC42" i="1"/>
  <c r="V29" i="1"/>
  <c r="AG11" i="1"/>
  <c r="C52" i="1"/>
  <c r="W49" i="1"/>
  <c r="AN17" i="1"/>
  <c r="AF66" i="1"/>
  <c r="W53" i="1"/>
  <c r="AL45" i="1"/>
  <c r="AF79" i="1"/>
  <c r="AK76" i="1"/>
  <c r="Y15" i="1"/>
  <c r="AF69" i="1"/>
  <c r="AI51" i="1"/>
  <c r="AV26" i="1"/>
  <c r="H56" i="1"/>
  <c r="X35" i="1"/>
  <c r="W57" i="1"/>
  <c r="AP59" i="1"/>
  <c r="AB46" i="1"/>
  <c r="X50" i="1"/>
  <c r="Q19" i="1"/>
  <c r="X36" i="1"/>
  <c r="Z33" i="1"/>
  <c r="AL57" i="1"/>
  <c r="AT69" i="1"/>
  <c r="Y59" i="1"/>
  <c r="AE48" i="1"/>
  <c r="AG12" i="1"/>
  <c r="AP47" i="1"/>
  <c r="AV47" i="1"/>
  <c r="E8" i="1"/>
  <c r="AF23" i="1"/>
  <c r="AL71" i="1"/>
  <c r="L34" i="1"/>
  <c r="AC79" i="1"/>
  <c r="R45" i="1"/>
  <c r="AP29" i="1"/>
  <c r="AP22" i="1"/>
  <c r="J44" i="1"/>
  <c r="E28" i="1"/>
  <c r="AK14" i="1"/>
  <c r="AN13" i="1"/>
  <c r="J29" i="1"/>
  <c r="AD38" i="1"/>
  <c r="L36" i="1"/>
  <c r="AU33" i="1"/>
  <c r="AL48" i="1"/>
  <c r="AP44" i="1"/>
  <c r="X68" i="1"/>
  <c r="J57" i="1"/>
  <c r="P40" i="1"/>
  <c r="AP54" i="1"/>
  <c r="AJ84" i="1"/>
  <c r="AK20" i="1"/>
  <c r="AV76" i="1"/>
  <c r="V44" i="1"/>
  <c r="AE61" i="1"/>
  <c r="AO52" i="1"/>
  <c r="W31" i="1"/>
  <c r="R28" i="1"/>
  <c r="V43" i="1"/>
  <c r="J25" i="1"/>
  <c r="F69" i="1"/>
  <c r="AB65" i="1"/>
  <c r="AE60" i="1"/>
  <c r="Q77" i="1"/>
  <c r="AA8" i="1"/>
  <c r="E62" i="1"/>
  <c r="U41" i="1"/>
  <c r="D68" i="1"/>
  <c r="U9" i="1"/>
  <c r="Y50" i="1"/>
  <c r="X56" i="1"/>
  <c r="D41" i="1"/>
  <c r="Z22" i="1"/>
  <c r="AI52" i="1"/>
  <c r="AR44" i="1"/>
  <c r="G37" i="1"/>
  <c r="E58" i="1"/>
  <c r="AD44" i="1"/>
  <c r="AC76" i="1"/>
  <c r="W10" i="1"/>
  <c r="AC13" i="1"/>
  <c r="U17" i="1"/>
  <c r="V67" i="1"/>
  <c r="G82" i="1"/>
  <c r="K43" i="1"/>
  <c r="AG52" i="1"/>
  <c r="AL40" i="1"/>
  <c r="AW13" i="1"/>
  <c r="I60" i="1"/>
  <c r="J14" i="1"/>
  <c r="AD28" i="1"/>
  <c r="AB71" i="1"/>
  <c r="Q49" i="1"/>
  <c r="D76" i="1"/>
  <c r="AF74" i="1"/>
  <c r="AH18" i="1"/>
  <c r="X52" i="1"/>
  <c r="AP81" i="1"/>
  <c r="AR39" i="1"/>
  <c r="X41" i="1"/>
  <c r="R21" i="1"/>
  <c r="I46" i="1"/>
  <c r="AM67" i="1"/>
  <c r="I23" i="1"/>
  <c r="AI71" i="1"/>
  <c r="Y44" i="1"/>
  <c r="C21" i="1"/>
  <c r="C81" i="1"/>
  <c r="L10" i="1"/>
  <c r="Y16" i="1"/>
  <c r="AJ71" i="1"/>
  <c r="AP27" i="1"/>
  <c r="AB10" i="1"/>
  <c r="X44" i="1"/>
  <c r="U57" i="1"/>
  <c r="L27" i="1"/>
  <c r="Z17" i="1"/>
  <c r="AE37" i="1"/>
  <c r="F55" i="1"/>
  <c r="D16" i="1"/>
  <c r="AK73" i="1"/>
  <c r="G18" i="1"/>
  <c r="K15" i="1"/>
  <c r="W20" i="1"/>
  <c r="W59" i="1"/>
  <c r="Z27" i="1"/>
  <c r="AC17" i="1"/>
  <c r="L81" i="1"/>
  <c r="AM11" i="1"/>
  <c r="F28" i="1"/>
  <c r="Q37" i="1"/>
  <c r="D59" i="1"/>
  <c r="S52" i="1"/>
  <c r="F39" i="1"/>
  <c r="AA83" i="1"/>
  <c r="AV48" i="1"/>
  <c r="W63" i="1"/>
  <c r="AG31" i="1"/>
  <c r="AO65" i="1"/>
  <c r="U42" i="1"/>
  <c r="AR20" i="1"/>
  <c r="F20" i="1"/>
  <c r="AD21" i="1"/>
  <c r="AI42" i="1"/>
  <c r="G44" i="1"/>
  <c r="AO63" i="1"/>
  <c r="S57" i="1"/>
  <c r="Q34" i="1"/>
  <c r="AJ50" i="1"/>
  <c r="AA36" i="1"/>
  <c r="AO40" i="1"/>
  <c r="C35" i="1"/>
  <c r="AX77" i="1"/>
  <c r="AM13" i="1"/>
  <c r="F72" i="1"/>
  <c r="R63" i="1"/>
  <c r="Y21" i="1"/>
  <c r="AT63" i="1"/>
  <c r="AG70" i="1"/>
  <c r="AR61" i="1"/>
  <c r="S39" i="1"/>
  <c r="AF81" i="1"/>
  <c r="C50" i="1"/>
  <c r="C53" i="1"/>
  <c r="V62" i="1"/>
  <c r="AI72" i="1"/>
  <c r="G27" i="1"/>
  <c r="AG79" i="1"/>
  <c r="AT74" i="1"/>
  <c r="AU15" i="1"/>
  <c r="U6" i="1"/>
  <c r="R54" i="1"/>
  <c r="U44" i="1"/>
  <c r="K73" i="1"/>
  <c r="AX35" i="1"/>
  <c r="Y40" i="1"/>
  <c r="D6" i="1"/>
  <c r="I48" i="1"/>
  <c r="F33" i="1"/>
  <c r="AA47" i="1"/>
  <c r="H26" i="1"/>
  <c r="E10" i="1"/>
  <c r="AI23" i="1"/>
  <c r="S38" i="1"/>
  <c r="AH27" i="1"/>
  <c r="AC55" i="1"/>
  <c r="AB8" i="1"/>
  <c r="AA21" i="1"/>
  <c r="AF21" i="1"/>
  <c r="AU68" i="1"/>
  <c r="P38" i="1"/>
  <c r="AM71" i="1"/>
  <c r="AQ75" i="1"/>
  <c r="K49" i="1"/>
  <c r="B62" i="1"/>
  <c r="AJ13" i="1"/>
  <c r="AL21" i="1"/>
  <c r="AF54" i="1"/>
  <c r="U79" i="1"/>
  <c r="AM61" i="1"/>
  <c r="F11" i="1"/>
  <c r="AM21" i="1"/>
  <c r="U20" i="1"/>
  <c r="AK53" i="1"/>
  <c r="AD9" i="1"/>
  <c r="F77" i="1"/>
  <c r="AB41" i="1"/>
  <c r="AA65" i="1"/>
  <c r="L66" i="1"/>
  <c r="C62" i="1"/>
  <c r="AG73" i="1"/>
  <c r="B38" i="1"/>
  <c r="D50" i="1"/>
  <c r="C33" i="1"/>
  <c r="AG64" i="1"/>
  <c r="AW39" i="1"/>
  <c r="P26" i="1"/>
  <c r="V42" i="1"/>
  <c r="K38" i="1"/>
  <c r="X55" i="1"/>
  <c r="F68" i="1"/>
  <c r="AJ68" i="1"/>
  <c r="I26" i="1"/>
  <c r="AV17" i="1"/>
  <c r="AC84" i="1"/>
  <c r="B40" i="1"/>
  <c r="AX22" i="1"/>
  <c r="Z37" i="1"/>
  <c r="AW66" i="1"/>
  <c r="V40" i="1"/>
  <c r="AB83" i="1"/>
  <c r="AF22" i="1"/>
  <c r="H83" i="1"/>
  <c r="F24" i="1"/>
  <c r="AF37" i="1"/>
  <c r="AD37" i="1"/>
  <c r="AI64" i="1"/>
  <c r="AD48" i="1"/>
  <c r="AE25" i="1"/>
  <c r="Q33" i="1"/>
  <c r="W77" i="1"/>
  <c r="W74" i="1"/>
  <c r="Z42" i="1"/>
  <c r="AG48" i="1"/>
  <c r="J51" i="1"/>
  <c r="W45" i="1"/>
  <c r="AH75" i="1"/>
  <c r="AC26" i="1"/>
  <c r="B82" i="1"/>
  <c r="AD61" i="1"/>
  <c r="D36" i="1"/>
  <c r="AB72" i="1"/>
  <c r="AF41" i="1"/>
  <c r="AL84" i="1"/>
  <c r="W38" i="1"/>
  <c r="AF56" i="1"/>
  <c r="AP26" i="1"/>
  <c r="E34" i="1"/>
  <c r="E14" i="1"/>
  <c r="AE20" i="1"/>
  <c r="I11" i="1"/>
  <c r="E81" i="1"/>
  <c r="B59" i="1"/>
  <c r="AA31" i="1"/>
  <c r="AV70" i="1"/>
  <c r="G26" i="1"/>
  <c r="Z24" i="1"/>
  <c r="AH25" i="1"/>
  <c r="AR56" i="1"/>
  <c r="AQ52" i="1"/>
  <c r="AW11" i="1"/>
  <c r="X15" i="1"/>
  <c r="AG71" i="1"/>
  <c r="D14" i="1"/>
  <c r="B36" i="1"/>
  <c r="AQ74" i="1"/>
  <c r="AW27" i="1"/>
  <c r="U81" i="1"/>
  <c r="AB31" i="1"/>
  <c r="R52" i="1"/>
  <c r="AH36" i="1"/>
  <c r="AB21" i="1"/>
  <c r="Y75" i="1"/>
  <c r="AF83" i="1"/>
  <c r="AJ9" i="1"/>
  <c r="AT78" i="1"/>
  <c r="AE33" i="1"/>
  <c r="K59" i="1"/>
  <c r="AJ42" i="1"/>
  <c r="AG51" i="1"/>
  <c r="AK67" i="1"/>
  <c r="G72" i="1"/>
  <c r="AC21" i="1"/>
  <c r="AK74" i="1"/>
  <c r="AM18" i="1"/>
  <c r="V6" i="1"/>
  <c r="C31" i="1"/>
  <c r="AE34" i="1"/>
  <c r="E26" i="1"/>
  <c r="P29" i="1"/>
  <c r="AE27" i="1"/>
  <c r="Z38" i="1"/>
  <c r="AL77" i="1"/>
  <c r="U59" i="1"/>
  <c r="B13" i="1"/>
  <c r="AW75" i="1"/>
  <c r="Y9" i="1"/>
  <c r="W17" i="1"/>
  <c r="S7" i="1"/>
  <c r="AC27" i="1"/>
  <c r="D35" i="1"/>
  <c r="C68" i="1"/>
  <c r="C8" i="1"/>
  <c r="K28" i="1"/>
  <c r="W14" i="1"/>
  <c r="W33" i="1"/>
  <c r="Y14" i="1"/>
  <c r="AB18" i="1"/>
  <c r="F74" i="1"/>
  <c r="AT47" i="1"/>
  <c r="V64" i="1"/>
  <c r="AV10" i="1"/>
  <c r="S54" i="1"/>
  <c r="AO23" i="1"/>
  <c r="S66" i="1"/>
  <c r="AA24" i="1"/>
  <c r="I84" i="1"/>
  <c r="Q73" i="1"/>
  <c r="W50" i="1"/>
  <c r="G80" i="1"/>
  <c r="AF78" i="1"/>
  <c r="AQ76" i="1"/>
  <c r="AH29" i="1"/>
  <c r="Y79" i="1"/>
  <c r="I65" i="1"/>
  <c r="AL50" i="1"/>
  <c r="AI61" i="1"/>
  <c r="AF39" i="1"/>
  <c r="AN21" i="1"/>
  <c r="V13" i="1"/>
  <c r="AT8" i="1"/>
  <c r="I74" i="1"/>
  <c r="E57" i="1"/>
  <c r="P68" i="1"/>
  <c r="K12" i="1"/>
  <c r="AR8" i="1"/>
  <c r="AD52" i="1"/>
  <c r="H21" i="1"/>
  <c r="G47" i="1"/>
  <c r="AE54" i="1"/>
  <c r="K84" i="1"/>
  <c r="AI60" i="1"/>
  <c r="AA50" i="1"/>
  <c r="AO69" i="1"/>
  <c r="AW77" i="1"/>
  <c r="K9" i="1"/>
  <c r="AF31" i="1"/>
  <c r="R78" i="1"/>
  <c r="S6" i="1"/>
  <c r="AP77" i="1"/>
  <c r="AG57" i="1"/>
  <c r="AX8" i="1"/>
  <c r="Z81" i="1"/>
  <c r="AH39" i="1"/>
  <c r="AH49" i="1"/>
  <c r="AN49" i="1"/>
  <c r="S22" i="1"/>
  <c r="AX72" i="1"/>
  <c r="AN66" i="1"/>
  <c r="U40" i="1"/>
  <c r="L39" i="1"/>
  <c r="AU48" i="1"/>
  <c r="Z7" i="1"/>
  <c r="AD41" i="1"/>
  <c r="AC75" i="1"/>
  <c r="C59" i="1"/>
  <c r="J43" i="1"/>
  <c r="AK15" i="1"/>
  <c r="AN68" i="1"/>
  <c r="AH76" i="1"/>
  <c r="AK79" i="1"/>
  <c r="K50" i="1"/>
  <c r="AD75" i="1"/>
  <c r="AV67" i="1"/>
  <c r="I21" i="1"/>
  <c r="AW73" i="1"/>
  <c r="V31" i="1"/>
  <c r="K47" i="1"/>
  <c r="AF17" i="1"/>
  <c r="AE10" i="1"/>
  <c r="X79" i="1"/>
  <c r="AV7" i="1"/>
  <c r="AX42" i="1"/>
  <c r="AB23" i="1"/>
  <c r="AQ54" i="1"/>
  <c r="AX66" i="1"/>
  <c r="AA10" i="1"/>
  <c r="AO78" i="1"/>
  <c r="X34" i="1"/>
  <c r="AM70" i="1"/>
  <c r="V34" i="1"/>
  <c r="AK12" i="1"/>
  <c r="J45" i="1"/>
  <c r="D19" i="1"/>
  <c r="AT44" i="1"/>
  <c r="AK84" i="1"/>
  <c r="AA33" i="1"/>
  <c r="AL76" i="1"/>
  <c r="AT73" i="1"/>
  <c r="L9" i="1"/>
  <c r="AC52" i="1"/>
  <c r="J83" i="1"/>
  <c r="AT26" i="1"/>
  <c r="AP35" i="1"/>
  <c r="AE77" i="1"/>
  <c r="AL68" i="1"/>
  <c r="D74" i="1"/>
  <c r="AU63" i="1"/>
  <c r="Y77" i="1"/>
  <c r="AF11" i="1"/>
  <c r="AD50" i="1"/>
  <c r="AO82" i="1"/>
  <c r="AE24" i="1"/>
  <c r="K22" i="1"/>
  <c r="G55" i="1"/>
  <c r="AH74" i="1"/>
  <c r="F32" i="1"/>
  <c r="E71" i="1"/>
  <c r="AH35" i="1"/>
  <c r="G51" i="1"/>
  <c r="J20" i="1"/>
  <c r="AI13" i="1"/>
  <c r="AX14" i="1"/>
  <c r="V59" i="1"/>
  <c r="P34" i="1"/>
  <c r="AD76" i="1"/>
  <c r="G73" i="1"/>
  <c r="AC73" i="1"/>
  <c r="AL30" i="1"/>
  <c r="AF58" i="1"/>
  <c r="AI32" i="1"/>
  <c r="I42" i="1"/>
  <c r="AC81" i="1"/>
  <c r="J22" i="1"/>
  <c r="AE13" i="1"/>
  <c r="AQ32" i="1"/>
  <c r="AP76" i="1"/>
  <c r="AL66" i="1"/>
  <c r="Y8" i="1"/>
  <c r="AL23" i="1"/>
  <c r="AB57" i="1"/>
  <c r="AN19" i="1"/>
  <c r="J10" i="1"/>
  <c r="Q14" i="1"/>
  <c r="Z26" i="1"/>
  <c r="AC40" i="1"/>
  <c r="K10" i="1"/>
  <c r="AK52" i="1"/>
  <c r="D64" i="1"/>
  <c r="AF20" i="1"/>
  <c r="AX75" i="1"/>
  <c r="AE42" i="1"/>
  <c r="L51" i="1"/>
  <c r="D45" i="1"/>
  <c r="E44" i="1"/>
  <c r="U27" i="1"/>
  <c r="AF24" i="1"/>
  <c r="F6" i="1"/>
  <c r="E42" i="1"/>
  <c r="AO77" i="1"/>
  <c r="Q48" i="1"/>
  <c r="B27" i="1"/>
  <c r="L18" i="1"/>
  <c r="H67" i="1"/>
  <c r="Q28" i="1"/>
  <c r="AH21" i="1"/>
  <c r="AF6" i="1"/>
  <c r="B55" i="1"/>
  <c r="E12" i="1"/>
  <c r="F37" i="1"/>
  <c r="Q32" i="1"/>
  <c r="E40" i="1"/>
  <c r="AB84" i="1"/>
  <c r="D32" i="1"/>
  <c r="AE53" i="1"/>
  <c r="E13" i="1"/>
  <c r="AL69" i="1"/>
  <c r="AG7" i="1"/>
  <c r="G66" i="1"/>
  <c r="J38" i="1"/>
  <c r="AF42" i="1"/>
  <c r="P74" i="1"/>
  <c r="X60" i="1"/>
  <c r="AG61" i="1"/>
  <c r="L12" i="1"/>
  <c r="AA32" i="1"/>
  <c r="AD65" i="1"/>
  <c r="W18" i="1"/>
  <c r="J59" i="1"/>
  <c r="G70" i="1"/>
  <c r="U53" i="1"/>
  <c r="AE73" i="1"/>
  <c r="W36" i="1"/>
  <c r="AX83" i="1"/>
  <c r="AB19" i="1"/>
  <c r="AT28" i="1"/>
  <c r="D49" i="1"/>
  <c r="AH54" i="1"/>
  <c r="L15" i="1"/>
  <c r="L67" i="1"/>
  <c r="AU7" i="1"/>
  <c r="AW74" i="1"/>
  <c r="H81" i="1"/>
  <c r="AH41" i="1"/>
  <c r="J18" i="1"/>
  <c r="AM38" i="1"/>
  <c r="P69" i="1"/>
  <c r="P73" i="1"/>
  <c r="AF62" i="1"/>
  <c r="D37" i="1"/>
  <c r="AG47" i="1"/>
  <c r="AJ22" i="1"/>
  <c r="AK36" i="1"/>
  <c r="AI81" i="1"/>
  <c r="AH32" i="1"/>
  <c r="AV43" i="1"/>
  <c r="Z65" i="1"/>
  <c r="AE64" i="1"/>
  <c r="W67" i="1"/>
  <c r="W40" i="1"/>
  <c r="W6" i="1"/>
  <c r="AR43" i="1"/>
  <c r="AM62" i="1"/>
  <c r="Y34" i="1"/>
  <c r="AM76" i="1"/>
  <c r="K60" i="1"/>
  <c r="AQ13" i="1"/>
  <c r="AU37" i="1"/>
  <c r="AP28" i="1"/>
  <c r="AT72" i="1"/>
  <c r="S27" i="1"/>
  <c r="AV82" i="1"/>
  <c r="S44" i="1"/>
  <c r="R68" i="1"/>
  <c r="X25" i="1"/>
  <c r="J49" i="1"/>
  <c r="AN29" i="1"/>
  <c r="AB7" i="1"/>
  <c r="AI8" i="1"/>
  <c r="AO37" i="1"/>
  <c r="U8" i="1"/>
  <c r="B10" i="1"/>
  <c r="R59" i="1"/>
  <c r="AC36" i="1"/>
  <c r="AQ25" i="1"/>
  <c r="AI37" i="1"/>
  <c r="S75" i="1"/>
  <c r="Z31" i="1"/>
  <c r="AM16" i="1"/>
  <c r="L26" i="1"/>
  <c r="AJ47" i="1"/>
  <c r="C73" i="1"/>
  <c r="H47" i="1"/>
  <c r="B12" i="1"/>
  <c r="AW37" i="1"/>
  <c r="AV72" i="1"/>
  <c r="K48" i="1"/>
  <c r="AI27" i="1"/>
  <c r="X26" i="1"/>
  <c r="AV57" i="1"/>
  <c r="AG38" i="1"/>
  <c r="AB44" i="1"/>
  <c r="Q56" i="1"/>
  <c r="X65" i="1"/>
  <c r="AK51" i="1"/>
  <c r="K41" i="1"/>
  <c r="AM80" i="1"/>
  <c r="I40" i="1"/>
  <c r="J28" i="1"/>
  <c r="Y67" i="1"/>
  <c r="AD72" i="1"/>
  <c r="X46" i="1"/>
  <c r="AN41" i="1"/>
  <c r="J46" i="1"/>
  <c r="AK24" i="1"/>
  <c r="AL18" i="1"/>
  <c r="Q13" i="1"/>
  <c r="R66" i="1"/>
  <c r="AV34" i="1"/>
  <c r="C74" i="1"/>
  <c r="AW53" i="1"/>
  <c r="F49" i="1"/>
  <c r="V27" i="1"/>
  <c r="AA58" i="1"/>
  <c r="Y55" i="1"/>
  <c r="B20" i="1"/>
  <c r="Y60" i="1"/>
  <c r="AQ68" i="1"/>
  <c r="S56" i="1"/>
  <c r="Q78" i="1"/>
  <c r="AU57" i="1"/>
  <c r="G7" i="1"/>
  <c r="AQ83" i="1"/>
  <c r="B15" i="1"/>
  <c r="F19" i="1"/>
  <c r="AB53" i="1"/>
  <c r="F17" i="1"/>
  <c r="S67" i="1"/>
  <c r="C26" i="1"/>
  <c r="AH72" i="1"/>
  <c r="R41" i="1"/>
  <c r="AX56" i="1"/>
  <c r="R31" i="1"/>
  <c r="AP39" i="1"/>
  <c r="Y56" i="1"/>
  <c r="AM58" i="1"/>
  <c r="H65" i="1"/>
  <c r="AH30" i="1"/>
  <c r="AH43" i="1"/>
  <c r="W7" i="1"/>
  <c r="AM69" i="1"/>
  <c r="AP10" i="1"/>
  <c r="AQ56" i="1"/>
  <c r="AN61" i="1"/>
  <c r="AX23" i="1"/>
  <c r="U61" i="1"/>
  <c r="C43" i="1"/>
  <c r="AN43" i="1"/>
  <c r="AV81" i="1"/>
  <c r="AI38" i="1"/>
  <c r="Y81" i="1"/>
  <c r="X19" i="1"/>
  <c r="B44" i="1"/>
  <c r="D23" i="1"/>
  <c r="AV60" i="1"/>
  <c r="AK41" i="1"/>
  <c r="D11" i="1"/>
  <c r="V80" i="1"/>
  <c r="AE21" i="1"/>
  <c r="AH23" i="1"/>
  <c r="AA48" i="1"/>
  <c r="AT27" i="1"/>
  <c r="Q16" i="1"/>
  <c r="AJ25" i="1"/>
  <c r="AB82" i="1"/>
  <c r="W73" i="1"/>
  <c r="D29" i="1"/>
  <c r="AC11" i="1"/>
  <c r="AM64" i="1"/>
  <c r="F83" i="1"/>
  <c r="AM30" i="1"/>
  <c r="R36" i="1"/>
  <c r="Y48" i="1"/>
  <c r="P64" i="1"/>
  <c r="E24" i="1"/>
  <c r="K30" i="1"/>
  <c r="V82" i="1"/>
  <c r="AJ81" i="1"/>
  <c r="AB59" i="1"/>
  <c r="AC44" i="1"/>
  <c r="K64" i="1"/>
  <c r="AK22" i="1"/>
  <c r="AT54" i="1"/>
  <c r="D67" i="1"/>
  <c r="AK29" i="1"/>
  <c r="X75" i="1"/>
  <c r="U18" i="1"/>
  <c r="C13" i="1"/>
  <c r="P84" i="1"/>
  <c r="AA39" i="1"/>
  <c r="AV25" i="1"/>
  <c r="AK61" i="1"/>
  <c r="R6" i="1"/>
  <c r="AD6" i="1"/>
  <c r="E66" i="1"/>
  <c r="P17" i="1"/>
  <c r="Y66" i="1"/>
  <c r="AI34" i="1"/>
  <c r="AO38" i="1"/>
  <c r="V26" i="1"/>
  <c r="D42" i="1"/>
  <c r="W12" i="1"/>
  <c r="H69" i="1"/>
  <c r="R15" i="1"/>
  <c r="AR29" i="1"/>
  <c r="AF67" i="1"/>
  <c r="K37" i="1"/>
  <c r="AI80" i="1"/>
  <c r="AE8" i="1"/>
  <c r="AL19" i="1"/>
  <c r="X45" i="1"/>
  <c r="C29" i="1"/>
  <c r="R24" i="1"/>
  <c r="AH79" i="1"/>
  <c r="Q45" i="1"/>
  <c r="AX19" i="1"/>
  <c r="AD55" i="1"/>
  <c r="G34" i="1"/>
  <c r="D61" i="1"/>
  <c r="J61" i="1"/>
  <c r="AU50" i="1"/>
  <c r="AE68" i="1"/>
  <c r="Z67" i="1"/>
  <c r="AU74" i="1"/>
  <c r="J50" i="1"/>
  <c r="AA61" i="1"/>
  <c r="AJ34" i="1"/>
  <c r="AL37" i="1"/>
  <c r="AR78" i="1"/>
  <c r="AN35" i="1"/>
  <c r="J15" i="1"/>
  <c r="Q39" i="1"/>
  <c r="AC35" i="1"/>
  <c r="AO6" i="1"/>
  <c r="AE52" i="1"/>
  <c r="AG69" i="1"/>
  <c r="AN63" i="1"/>
  <c r="AL60" i="1"/>
  <c r="X62" i="1"/>
  <c r="L83" i="1"/>
  <c r="AX49" i="1"/>
  <c r="G58" i="1"/>
  <c r="AJ67" i="1"/>
  <c r="AE76" i="1"/>
  <c r="AO24" i="1"/>
  <c r="E48" i="1"/>
  <c r="S78" i="1"/>
  <c r="E69" i="1"/>
  <c r="AO61" i="1"/>
  <c r="AA7" i="1"/>
  <c r="AC29" i="1"/>
  <c r="AX79" i="1"/>
  <c r="F40" i="1"/>
  <c r="AQ70" i="1"/>
  <c r="AI67" i="1"/>
  <c r="AM41" i="1"/>
  <c r="AN9" i="1"/>
  <c r="AO18" i="1"/>
  <c r="AV40" i="1"/>
  <c r="H80" i="1"/>
  <c r="AX59" i="1"/>
  <c r="F58" i="1"/>
  <c r="V10" i="1"/>
  <c r="AX29" i="1"/>
  <c r="AA63" i="1"/>
  <c r="AM82" i="1"/>
  <c r="Z34" i="1"/>
  <c r="AU8" i="1"/>
  <c r="AH57" i="1"/>
  <c r="AA81" i="1"/>
  <c r="AU79" i="1"/>
  <c r="H78" i="1"/>
  <c r="AE51" i="1"/>
  <c r="AP36" i="1"/>
  <c r="R18" i="1"/>
  <c r="AR59" i="1"/>
  <c r="Q18" i="1"/>
  <c r="AU35" i="1"/>
  <c r="AV11" i="1"/>
  <c r="AT17" i="1"/>
  <c r="Z44" i="1"/>
  <c r="U66" i="1"/>
  <c r="AR55" i="1"/>
  <c r="W35" i="1"/>
  <c r="AT33" i="1"/>
  <c r="U75" i="1"/>
  <c r="AW29" i="1"/>
  <c r="E83" i="1"/>
  <c r="AW22" i="1"/>
  <c r="AQ38" i="1"/>
  <c r="V16" i="1"/>
  <c r="R16" i="1"/>
  <c r="R74" i="1"/>
  <c r="I82" i="1"/>
  <c r="I55" i="1"/>
  <c r="AT20" i="1"/>
  <c r="AC34" i="1"/>
  <c r="AM29" i="1"/>
  <c r="J9" i="1"/>
  <c r="F52" i="1"/>
  <c r="AW76" i="1"/>
  <c r="AH13" i="1"/>
  <c r="Y17" i="1"/>
  <c r="AV55" i="1"/>
  <c r="V72" i="1"/>
  <c r="AX48" i="1"/>
  <c r="AP31" i="1"/>
  <c r="AF47" i="1"/>
  <c r="I10" i="1"/>
  <c r="G56" i="1"/>
  <c r="G77" i="1"/>
  <c r="AQ71" i="1"/>
  <c r="Q53" i="1"/>
  <c r="AO47" i="1"/>
  <c r="AT7" i="1"/>
  <c r="AX51" i="1"/>
  <c r="Q44" i="1"/>
  <c r="AQ40" i="1"/>
  <c r="AI73" i="1"/>
  <c r="AD24" i="1"/>
  <c r="AN15" i="1"/>
  <c r="AM45" i="1"/>
  <c r="I12" i="1"/>
  <c r="AW82" i="1"/>
  <c r="X22" i="1"/>
  <c r="G76" i="1"/>
  <c r="AN77" i="1"/>
  <c r="AI59" i="1"/>
  <c r="D57" i="1"/>
  <c r="R30" i="1"/>
  <c r="D54" i="1"/>
  <c r="B24" i="1"/>
  <c r="S60" i="1"/>
  <c r="J72" i="1"/>
  <c r="AJ64" i="1"/>
  <c r="AA74" i="1"/>
  <c r="AA25" i="1"/>
  <c r="AR9" i="1"/>
  <c r="AA53" i="1"/>
  <c r="AU39" i="1"/>
  <c r="AH56" i="1"/>
  <c r="E80" i="1"/>
  <c r="AV21" i="1"/>
  <c r="AR26" i="1"/>
  <c r="AV14" i="1"/>
  <c r="AU43" i="1"/>
  <c r="S55" i="1"/>
  <c r="AP15" i="1"/>
  <c r="Z53" i="1"/>
  <c r="AH12" i="1"/>
  <c r="AX39" i="1"/>
  <c r="H76" i="1"/>
  <c r="U12" i="1"/>
  <c r="AJ66" i="1"/>
  <c r="AO33" i="1"/>
  <c r="AU71" i="1"/>
  <c r="AR58" i="1"/>
  <c r="AR33" i="1"/>
  <c r="J58" i="1"/>
  <c r="AN6" i="1"/>
  <c r="Y20" i="1"/>
  <c r="AC31" i="1"/>
  <c r="AU44" i="1"/>
  <c r="S45" i="1"/>
  <c r="AM57" i="1"/>
  <c r="AJ62" i="1"/>
  <c r="AQ44" i="1"/>
  <c r="AW72" i="1"/>
  <c r="AA52" i="1"/>
  <c r="AR83" i="1"/>
  <c r="AD17" i="1"/>
  <c r="AX31" i="1"/>
  <c r="P41" i="1"/>
  <c r="U83" i="1"/>
  <c r="Z52" i="1"/>
  <c r="AA59" i="1"/>
  <c r="AP52" i="1"/>
  <c r="S28" i="1"/>
  <c r="AH61" i="1"/>
  <c r="X74" i="1"/>
  <c r="AV45" i="1"/>
  <c r="Z71" i="1"/>
  <c r="AG75" i="1"/>
  <c r="AH83" i="1"/>
  <c r="AN36" i="1"/>
  <c r="AA49" i="1"/>
  <c r="AH40" i="1"/>
  <c r="AV58" i="1"/>
  <c r="R8" i="1"/>
  <c r="U55" i="1"/>
  <c r="AW20" i="1"/>
  <c r="AP38" i="1"/>
  <c r="E50" i="1"/>
  <c r="AF61" i="1"/>
  <c r="AC9" i="1"/>
  <c r="F43" i="1"/>
  <c r="AP56" i="1"/>
  <c r="D84" i="1"/>
  <c r="C51" i="1"/>
  <c r="AT57" i="1"/>
  <c r="W19" i="1"/>
  <c r="AQ80" i="1"/>
  <c r="AX71" i="1"/>
  <c r="AK23" i="1"/>
  <c r="W54" i="1"/>
  <c r="R77" i="1"/>
  <c r="L75" i="1"/>
  <c r="AE7" i="1"/>
  <c r="AP30" i="1"/>
  <c r="Z66" i="1"/>
  <c r="R42" i="1"/>
  <c r="K27" i="1"/>
  <c r="B84" i="1"/>
  <c r="AU52" i="1"/>
  <c r="V83" i="1"/>
  <c r="K21" i="1"/>
  <c r="AQ20" i="1"/>
  <c r="AQ34" i="1"/>
  <c r="AU25" i="1"/>
  <c r="AX41" i="1"/>
  <c r="I17" i="1"/>
  <c r="AO26" i="1"/>
  <c r="Y42" i="1"/>
  <c r="AM77" i="1"/>
  <c r="B30" i="1"/>
  <c r="AR14" i="1"/>
  <c r="AI78" i="1"/>
  <c r="E78" i="1"/>
  <c r="S69" i="1"/>
  <c r="AT45" i="1"/>
  <c r="AT52" i="1"/>
  <c r="AP21" i="1"/>
  <c r="X29" i="1"/>
  <c r="AP63" i="1"/>
  <c r="R26" i="1"/>
  <c r="AN59" i="1"/>
  <c r="S62" i="1"/>
  <c r="AI65" i="1"/>
  <c r="AN22" i="1"/>
  <c r="AK47" i="1"/>
  <c r="AA54" i="1"/>
  <c r="C69" i="1"/>
  <c r="AW41" i="1"/>
  <c r="R19" i="1"/>
  <c r="AO43" i="1"/>
  <c r="AU40" i="1"/>
  <c r="AQ78" i="1"/>
  <c r="F44" i="1"/>
  <c r="AU29" i="1"/>
  <c r="W27" i="1"/>
  <c r="Q10" i="1"/>
  <c r="AG10" i="1"/>
  <c r="AA23" i="1"/>
  <c r="AX52" i="1"/>
  <c r="AX13" i="1"/>
  <c r="AL28" i="1"/>
  <c r="G20" i="1"/>
  <c r="L11" i="1"/>
  <c r="AM37" i="1"/>
  <c r="AE29" i="1"/>
  <c r="D12" i="1"/>
  <c r="AJ40" i="1"/>
  <c r="Q17" i="1"/>
  <c r="X7" i="1"/>
  <c r="AM51" i="1"/>
  <c r="H46" i="1"/>
  <c r="AR66" i="1"/>
  <c r="G15" i="1"/>
  <c r="S58" i="1"/>
  <c r="L40" i="1"/>
  <c r="AO30" i="1"/>
  <c r="P46" i="1"/>
  <c r="S26" i="1"/>
  <c r="AX58" i="1"/>
  <c r="Y46" i="1"/>
  <c r="E52" i="1"/>
  <c r="AO55" i="1"/>
  <c r="B60" i="1"/>
  <c r="AA67" i="1"/>
  <c r="L21" i="1"/>
  <c r="AW64" i="1"/>
  <c r="S32" i="1"/>
  <c r="F71" i="1"/>
  <c r="AT64" i="1"/>
  <c r="AI18" i="1"/>
  <c r="H70" i="1"/>
  <c r="AV15" i="1"/>
  <c r="L76" i="1"/>
  <c r="AN23" i="1"/>
  <c r="AO68" i="1"/>
  <c r="R72" i="1"/>
  <c r="Y49" i="1"/>
  <c r="AI10" i="1"/>
  <c r="AX82" i="1"/>
  <c r="AU55" i="1"/>
  <c r="R75" i="1"/>
  <c r="AA34" i="1"/>
  <c r="F57" i="1"/>
  <c r="AC74" i="1"/>
  <c r="D26" i="1"/>
  <c r="AO29" i="1"/>
  <c r="F61" i="1"/>
  <c r="K69" i="1"/>
  <c r="AI22" i="1"/>
  <c r="Z70" i="1"/>
  <c r="AV80" i="1"/>
  <c r="Y51" i="1"/>
  <c r="AL34" i="1"/>
  <c r="Y29" i="1"/>
  <c r="AT83" i="1"/>
  <c r="AO84" i="1"/>
  <c r="AE55" i="1"/>
  <c r="S74" i="1"/>
  <c r="AP42" i="1"/>
  <c r="G79" i="1"/>
  <c r="P13" i="1"/>
  <c r="AK19" i="1"/>
  <c r="AK75" i="1"/>
  <c r="AD83" i="1"/>
  <c r="AH47" i="1"/>
  <c r="R69" i="1"/>
  <c r="Q70" i="1"/>
  <c r="H73" i="1"/>
  <c r="AE30" i="1"/>
  <c r="AR13" i="1"/>
  <c r="AR15" i="1"/>
  <c r="AI19" i="1"/>
  <c r="AE47" i="1"/>
  <c r="AB75" i="1"/>
  <c r="AA13" i="1"/>
  <c r="AI77" i="1"/>
  <c r="AF44" i="1"/>
  <c r="AR32" i="1"/>
  <c r="AQ9" i="1"/>
  <c r="H77" i="1"/>
  <c r="AV49" i="1"/>
  <c r="G60" i="1"/>
  <c r="I31" i="1"/>
  <c r="AG56" i="1"/>
  <c r="AF40" i="1"/>
  <c r="Q65" i="1"/>
  <c r="AB6" i="1"/>
  <c r="AR71" i="1"/>
  <c r="AQ39" i="1"/>
  <c r="R38" i="1"/>
  <c r="X8" i="1"/>
  <c r="U37" i="1"/>
  <c r="H63" i="1"/>
  <c r="B43" i="1"/>
  <c r="AQ28" i="1"/>
  <c r="H14" i="1"/>
  <c r="G69" i="1"/>
  <c r="C54" i="1"/>
  <c r="I47" i="1"/>
  <c r="D56" i="1"/>
  <c r="B45" i="1"/>
  <c r="I75" i="1"/>
  <c r="AN69" i="1"/>
  <c r="D83" i="1"/>
  <c r="X11" i="1"/>
  <c r="AV23" i="1"/>
  <c r="AN10" i="1"/>
  <c r="H53" i="1"/>
  <c r="AJ65" i="1"/>
  <c r="AW68" i="1"/>
  <c r="U43" i="1"/>
  <c r="AA62" i="1"/>
  <c r="AD53" i="1"/>
  <c r="C72" i="1"/>
  <c r="V49" i="1"/>
  <c r="AE59" i="1"/>
  <c r="AA84" i="1"/>
  <c r="AW43" i="1"/>
  <c r="L63" i="1"/>
  <c r="AR45" i="1"/>
  <c r="AV79" i="1"/>
  <c r="AO12" i="1"/>
  <c r="AD57" i="1"/>
  <c r="AX47" i="1"/>
  <c r="AV33" i="1"/>
  <c r="AN26" i="1"/>
  <c r="F51" i="1"/>
  <c r="AA30" i="1"/>
  <c r="AW62" i="1"/>
  <c r="AV29" i="1"/>
  <c r="AU34" i="1"/>
  <c r="AM22" i="1"/>
  <c r="E15" i="1"/>
  <c r="K46" i="1"/>
  <c r="Y80" i="1"/>
  <c r="AW16" i="1"/>
  <c r="AR60" i="1"/>
  <c r="S25" i="1"/>
  <c r="AX45" i="1"/>
  <c r="AK6" i="1"/>
  <c r="P39" i="1"/>
  <c r="H18" i="1"/>
  <c r="Y10" i="1"/>
  <c r="B52" i="1"/>
  <c r="D80" i="1"/>
  <c r="AK63" i="1"/>
  <c r="K44" i="1"/>
  <c r="U58" i="1"/>
  <c r="W51" i="1"/>
  <c r="AN51" i="1"/>
  <c r="AP40" i="1"/>
  <c r="AR80" i="1"/>
  <c r="AR35" i="1"/>
  <c r="U63" i="1"/>
  <c r="B28" i="1"/>
  <c r="AE40" i="1"/>
  <c r="L79" i="1"/>
  <c r="F54" i="1"/>
  <c r="H17" i="1"/>
  <c r="AK21" i="1"/>
  <c r="V23" i="1"/>
  <c r="AD36" i="1"/>
  <c r="Q54" i="1"/>
  <c r="X57" i="1"/>
  <c r="AR51" i="1"/>
  <c r="U11" i="1"/>
  <c r="AK62" i="1"/>
  <c r="AR76" i="1"/>
  <c r="AX68" i="1"/>
  <c r="F46" i="1"/>
  <c r="AM25" i="1"/>
  <c r="I83" i="1"/>
  <c r="AJ52" i="1"/>
  <c r="AF71" i="1"/>
  <c r="AF52" i="1"/>
  <c r="AB39" i="1"/>
  <c r="AL51" i="1"/>
  <c r="AC10" i="1"/>
  <c r="AC77" i="1"/>
  <c r="AH55" i="1"/>
  <c r="AJ72" i="1"/>
  <c r="AG26" i="1"/>
  <c r="AJ38" i="1"/>
  <c r="C27" i="1"/>
  <c r="AJ20" i="1"/>
  <c r="P36" i="1"/>
  <c r="AF9" i="1"/>
  <c r="D44" i="1"/>
  <c r="G83" i="1"/>
  <c r="AM39" i="1"/>
  <c r="AB27" i="1"/>
  <c r="V77" i="1"/>
  <c r="E9" i="1"/>
  <c r="V18" i="1"/>
  <c r="AR50" i="1"/>
  <c r="U22" i="1"/>
  <c r="P65" i="1"/>
  <c r="AI14" i="1"/>
  <c r="AX40" i="1"/>
  <c r="AD63" i="1"/>
  <c r="AU64" i="1"/>
  <c r="D82" i="1"/>
  <c r="AV13" i="1"/>
  <c r="Q59" i="1"/>
  <c r="V9" i="1"/>
  <c r="AW69" i="1"/>
  <c r="H52" i="1"/>
  <c r="I18" i="1"/>
  <c r="C76" i="1"/>
  <c r="AN32" i="1"/>
  <c r="E19" i="1"/>
  <c r="B9" i="1"/>
  <c r="B22" i="1"/>
  <c r="E38" i="1"/>
  <c r="AV46" i="1"/>
  <c r="U10" i="1"/>
  <c r="AT61" i="1"/>
  <c r="AJ78" i="1"/>
  <c r="E67" i="1"/>
  <c r="AW48" i="1"/>
  <c r="L62" i="1"/>
  <c r="AG17" i="1"/>
  <c r="S50" i="1"/>
  <c r="Y33" i="1"/>
  <c r="AD66" i="1"/>
  <c r="Y72" i="1"/>
  <c r="L50" i="1"/>
  <c r="Z15" i="1"/>
  <c r="X64" i="1"/>
  <c r="V28" i="1"/>
  <c r="E37" i="1"/>
  <c r="AH60" i="1"/>
  <c r="AB13" i="1"/>
  <c r="AP72" i="1"/>
  <c r="K8" i="1"/>
  <c r="I32" i="1"/>
  <c r="Z58" i="1"/>
  <c r="X61" i="1"/>
  <c r="R20" i="1"/>
  <c r="AH46" i="1"/>
  <c r="F82" i="1"/>
  <c r="AT62" i="1"/>
  <c r="R27" i="1"/>
  <c r="AO83" i="1"/>
  <c r="AX12" i="1"/>
  <c r="AR40" i="1"/>
  <c r="AC28" i="1"/>
  <c r="W39" i="1"/>
  <c r="AR27" i="1"/>
  <c r="AX27" i="1"/>
  <c r="AV30" i="1"/>
  <c r="AA9" i="1"/>
  <c r="B69" i="1"/>
  <c r="AX78" i="1"/>
  <c r="AH38" i="1"/>
  <c r="I70" i="1"/>
  <c r="R67" i="1"/>
  <c r="AJ33" i="1"/>
  <c r="AV38" i="1"/>
  <c r="AP32" i="1"/>
  <c r="AO15" i="1"/>
  <c r="AN55" i="1"/>
  <c r="P15" i="1"/>
  <c r="U65" i="1"/>
  <c r="S37" i="1"/>
  <c r="AM66" i="1"/>
  <c r="AU70" i="1"/>
  <c r="AC67" i="1"/>
  <c r="C37" i="1"/>
  <c r="AW55" i="1"/>
  <c r="U69" i="1"/>
  <c r="V52" i="1"/>
  <c r="X78" i="1"/>
  <c r="W32" i="1"/>
  <c r="AT75" i="1"/>
  <c r="C65" i="1"/>
  <c r="AX44" i="1"/>
  <c r="B48" i="1"/>
  <c r="I71" i="1"/>
  <c r="AC58" i="1"/>
  <c r="B21" i="1"/>
  <c r="AQ10" i="1"/>
  <c r="AU69" i="1"/>
  <c r="AL65" i="1"/>
  <c r="E55" i="1"/>
  <c r="AP53" i="1"/>
  <c r="AV27" i="1"/>
  <c r="AD78" i="1"/>
  <c r="P6" i="1"/>
  <c r="AR19" i="1"/>
  <c r="S29" i="1"/>
  <c r="B19" i="1"/>
  <c r="AB56" i="1"/>
  <c r="AP20" i="1"/>
  <c r="Z73" i="1"/>
  <c r="H29" i="1"/>
  <c r="AP69" i="1"/>
  <c r="AL59" i="1"/>
  <c r="AW52" i="1"/>
  <c r="AJ73" i="1"/>
  <c r="Z18" i="1"/>
  <c r="AA41" i="1"/>
  <c r="AO32" i="1"/>
  <c r="AM33" i="1"/>
  <c r="G29" i="1"/>
  <c r="AD15" i="1"/>
  <c r="AP34" i="1"/>
  <c r="AU53" i="1"/>
  <c r="B61" i="1"/>
  <c r="AX50" i="1"/>
  <c r="R65" i="1"/>
  <c r="AD39" i="1"/>
  <c r="P48" i="1"/>
  <c r="AI39" i="1"/>
  <c r="Y68" i="1"/>
  <c r="Z57" i="1"/>
  <c r="AF75" i="1"/>
  <c r="I9" i="1"/>
  <c r="AQ15" i="1"/>
  <c r="AT10" i="1"/>
  <c r="W25" i="1"/>
  <c r="D43" i="1"/>
  <c r="J70" i="1"/>
  <c r="AK56" i="1"/>
  <c r="L23" i="1"/>
  <c r="J71" i="1"/>
  <c r="AG35" i="1"/>
  <c r="AO60" i="1"/>
  <c r="AC45" i="1"/>
  <c r="E30" i="1"/>
  <c r="W26" i="1"/>
  <c r="AT37" i="1"/>
  <c r="AV68" i="1"/>
  <c r="Z82" i="1"/>
  <c r="AG76" i="1"/>
  <c r="D70" i="1"/>
  <c r="B72" i="1"/>
  <c r="S13" i="1"/>
  <c r="AM75" i="1"/>
  <c r="B80" i="1"/>
  <c r="AV71" i="1"/>
  <c r="AU20" i="1"/>
  <c r="J13" i="1"/>
  <c r="L80" i="1"/>
  <c r="R40" i="1"/>
  <c r="U49" i="1"/>
  <c r="AV35" i="1"/>
  <c r="AW79" i="1"/>
  <c r="AO75" i="1"/>
  <c r="X66" i="1"/>
  <c r="AO21" i="1"/>
  <c r="J33" i="1"/>
  <c r="Y23" i="1"/>
  <c r="AO10" i="1"/>
  <c r="AK16" i="1"/>
  <c r="AU36" i="1"/>
  <c r="AW31" i="1"/>
  <c r="B65" i="1"/>
  <c r="AH59" i="1"/>
  <c r="AX26" i="1"/>
  <c r="K53" i="1"/>
  <c r="AB64" i="1"/>
  <c r="X42" i="1"/>
  <c r="AT59" i="1"/>
  <c r="K61" i="1"/>
  <c r="L7" i="1"/>
  <c r="B18" i="1"/>
  <c r="AR28" i="1"/>
  <c r="Z19" i="1"/>
  <c r="K6" i="1"/>
  <c r="AI29" i="1"/>
  <c r="AN83" i="1"/>
  <c r="AK80" i="1"/>
  <c r="AL20" i="1"/>
  <c r="AU59" i="1"/>
  <c r="C46" i="1"/>
  <c r="AX62" i="1"/>
  <c r="AR64" i="1"/>
  <c r="AW15" i="1"/>
  <c r="W71" i="1"/>
  <c r="AE28" i="1"/>
  <c r="AM52" i="1"/>
  <c r="X16" i="1"/>
  <c r="AQ35" i="1"/>
  <c r="AD30" i="1"/>
  <c r="F29" i="1"/>
  <c r="AJ77" i="1"/>
  <c r="X69" i="1"/>
  <c r="AK65" i="1"/>
  <c r="AV16" i="1"/>
  <c r="P80" i="1"/>
  <c r="AI54" i="1"/>
  <c r="AQ50" i="1"/>
  <c r="AM9" i="1"/>
  <c r="AU38" i="1"/>
  <c r="S47" i="1"/>
  <c r="AW17" i="1"/>
  <c r="AX65" i="1"/>
  <c r="AX43" i="1"/>
  <c r="Z62" i="1"/>
  <c r="AP80" i="1"/>
  <c r="U26" i="1"/>
  <c r="AU14" i="1"/>
  <c r="AC7" i="1"/>
  <c r="AF51" i="1"/>
  <c r="V73" i="1"/>
  <c r="AD69" i="1"/>
  <c r="AT48" i="1"/>
  <c r="AC68" i="1"/>
  <c r="AL16" i="1"/>
  <c r="AJ53" i="1"/>
  <c r="AE18" i="1"/>
  <c r="R80" i="1"/>
  <c r="AA77" i="1"/>
  <c r="AW23" i="1"/>
  <c r="AR84" i="1"/>
  <c r="R35" i="1"/>
  <c r="D28" i="1"/>
  <c r="AV8" i="1"/>
  <c r="C10" i="1"/>
  <c r="J19" i="1"/>
  <c r="AU18" i="1"/>
  <c r="D15" i="1"/>
  <c r="S8" i="1"/>
  <c r="B79" i="1"/>
  <c r="AB55" i="1"/>
  <c r="AJ80" i="1"/>
  <c r="Q61" i="1"/>
  <c r="F26" i="1"/>
  <c r="AQ55" i="1"/>
  <c r="P31" i="1"/>
  <c r="U7" i="1"/>
  <c r="B25" i="1"/>
  <c r="F62" i="1"/>
  <c r="D21" i="1"/>
  <c r="AP19" i="1"/>
  <c r="I38" i="1"/>
  <c r="AD27" i="1"/>
  <c r="L82" i="1"/>
  <c r="AP71" i="1"/>
  <c r="AU65" i="1"/>
  <c r="AV37" i="1"/>
  <c r="AU46" i="1"/>
  <c r="AN20" i="1"/>
  <c r="AJ75" i="1"/>
  <c r="Z9" i="1"/>
  <c r="AU21" i="1"/>
  <c r="AM49" i="1"/>
  <c r="AW54" i="1"/>
  <c r="AA22" i="1"/>
  <c r="R49" i="1"/>
  <c r="AD77" i="1"/>
  <c r="AP17" i="1"/>
  <c r="E59" i="1"/>
  <c r="X63" i="1"/>
  <c r="AN58" i="1"/>
  <c r="AQ47" i="1"/>
  <c r="AW50" i="1"/>
  <c r="B58" i="1"/>
  <c r="AN31" i="1"/>
  <c r="AI69" i="1"/>
  <c r="AO36" i="1"/>
  <c r="AR21" i="1"/>
  <c r="AV6" i="1"/>
  <c r="R12" i="1"/>
  <c r="AG68" i="1"/>
  <c r="C44" i="1"/>
  <c r="AU75" i="1"/>
  <c r="P49" i="1"/>
  <c r="AO16" i="1"/>
  <c r="R64" i="1"/>
  <c r="AE72" i="1"/>
  <c r="AW40" i="1"/>
  <c r="AL81" i="1"/>
  <c r="R25" i="1"/>
  <c r="AN64" i="1"/>
  <c r="AW51" i="1"/>
  <c r="AL64" i="1"/>
  <c r="G14" i="1"/>
  <c r="J62" i="1"/>
  <c r="AI16" i="1"/>
  <c r="AX57" i="1"/>
  <c r="AR73" i="1"/>
  <c r="S15" i="1"/>
  <c r="I62" i="1"/>
  <c r="R84" i="1"/>
  <c r="AO49" i="1"/>
  <c r="AA56" i="1"/>
  <c r="AG78" i="1"/>
  <c r="AJ11" i="1"/>
  <c r="B64" i="1"/>
  <c r="B26" i="1"/>
  <c r="AM55" i="1"/>
  <c r="AU81" i="1"/>
  <c r="AX46" i="1"/>
  <c r="C14" i="1"/>
  <c r="J79" i="1"/>
  <c r="AW44" i="1"/>
  <c r="S12" i="1"/>
  <c r="J69" i="1"/>
  <c r="AQ26" i="1"/>
  <c r="Q68" i="1"/>
  <c r="AV75" i="1"/>
  <c r="AV19" i="1"/>
  <c r="AT36" i="1"/>
  <c r="H39" i="1"/>
  <c r="S51" i="1"/>
  <c r="AB70" i="1"/>
  <c r="AN45" i="1"/>
  <c r="W58" i="1"/>
  <c r="V41" i="1"/>
  <c r="AB67" i="1"/>
  <c r="W9" i="1"/>
  <c r="S80" i="1"/>
  <c r="AH84" i="1"/>
  <c r="AF16" i="1"/>
  <c r="R51" i="1"/>
  <c r="W68" i="1"/>
  <c r="AO28" i="1"/>
  <c r="AN46" i="1"/>
  <c r="AT30" i="1"/>
  <c r="G61" i="1"/>
  <c r="L47" i="1"/>
  <c r="AW36" i="1"/>
  <c r="AN14" i="1"/>
  <c r="Z47" i="1"/>
  <c r="AT50" i="1"/>
  <c r="K16" i="1"/>
  <c r="S68" i="1"/>
  <c r="L44" i="1"/>
  <c r="AN30" i="1"/>
  <c r="D51" i="1"/>
  <c r="Z12" i="1"/>
  <c r="AE63" i="1"/>
  <c r="AD18" i="1"/>
  <c r="AN67" i="1"/>
  <c r="C67" i="1"/>
  <c r="AU11" i="1"/>
  <c r="AO22" i="1"/>
  <c r="L57" i="1"/>
  <c r="AC65" i="1"/>
  <c r="AH48" i="1"/>
  <c r="AN44" i="1"/>
  <c r="AP12" i="1"/>
  <c r="E77" i="1"/>
  <c r="C40" i="1"/>
  <c r="AQ16" i="1"/>
  <c r="L35" i="1"/>
  <c r="AW61" i="1"/>
  <c r="AR38" i="1"/>
  <c r="AT80" i="1"/>
  <c r="AU49" i="1"/>
  <c r="AV9" i="1"/>
  <c r="J78" i="1"/>
  <c r="W81" i="1"/>
  <c r="G67" i="1"/>
  <c r="I41" i="1"/>
  <c r="AR53" i="1"/>
  <c r="AC82" i="1"/>
  <c r="S77" i="1"/>
  <c r="AF59" i="1"/>
  <c r="AO57" i="1"/>
  <c r="AT70" i="1"/>
  <c r="R34" i="1"/>
  <c r="L78" i="1"/>
  <c r="AP41" i="1"/>
  <c r="AW38" i="1"/>
  <c r="AD7" i="1"/>
  <c r="S17" i="1"/>
  <c r="S21" i="1"/>
  <c r="AD29" i="1"/>
  <c r="B53" i="1"/>
  <c r="E16" i="1"/>
  <c r="AW46" i="1"/>
  <c r="AT46" i="1"/>
  <c r="E33" i="1"/>
  <c r="AQ43" i="1"/>
  <c r="C22" i="1"/>
  <c r="AU23" i="1"/>
  <c r="AT31" i="1"/>
  <c r="AU12" i="1"/>
  <c r="E84" i="1"/>
  <c r="AT38" i="1"/>
  <c r="R29" i="1"/>
  <c r="I53" i="1"/>
  <c r="B23" i="1"/>
  <c r="AX38" i="1"/>
  <c r="AW6" i="1"/>
  <c r="AE79" i="1"/>
  <c r="AH45" i="1"/>
  <c r="S71" i="1"/>
  <c r="Y45" i="1"/>
  <c r="AO25" i="1"/>
  <c r="P81" i="1"/>
  <c r="U64" i="1"/>
  <c r="AR52" i="1"/>
  <c r="AG81" i="1"/>
  <c r="AG18" i="1"/>
  <c r="AA17" i="1"/>
  <c r="AJ29" i="1"/>
  <c r="AW34" i="1"/>
  <c r="K78" i="1"/>
  <c r="AE65" i="1"/>
  <c r="AR77" i="1"/>
  <c r="I68" i="1"/>
  <c r="AK7" i="1"/>
  <c r="Z48" i="1"/>
  <c r="K83" i="1"/>
  <c r="I8" i="1"/>
  <c r="AQ33" i="1"/>
  <c r="AQ12" i="1"/>
  <c r="S73" i="1"/>
  <c r="AN33" i="1"/>
  <c r="W28" i="1"/>
  <c r="W41" i="1"/>
  <c r="AC66" i="1"/>
  <c r="AH73" i="1"/>
  <c r="S76" i="1"/>
  <c r="AN27" i="1"/>
  <c r="AU19" i="1"/>
  <c r="AN73" i="1"/>
  <c r="AW65" i="1"/>
  <c r="AQ48" i="1"/>
  <c r="AK33" i="1"/>
  <c r="AV28" i="1"/>
  <c r="P23" i="1"/>
  <c r="AM48" i="1"/>
  <c r="V58" i="1"/>
  <c r="AI41" i="1"/>
  <c r="AT41" i="1"/>
  <c r="R39" i="1"/>
  <c r="H12" i="1"/>
  <c r="AQ36" i="1"/>
  <c r="D39" i="1"/>
  <c r="AK72" i="1"/>
  <c r="S81" i="1"/>
  <c r="L69" i="1"/>
  <c r="P22" i="1"/>
  <c r="AR69" i="1"/>
  <c r="AH10" i="1"/>
  <c r="AJ60" i="1"/>
  <c r="V39" i="1"/>
  <c r="AG45" i="1"/>
  <c r="AI35" i="1"/>
  <c r="AU62" i="1"/>
  <c r="AE57" i="1"/>
  <c r="AR23" i="1"/>
  <c r="B14" i="1"/>
  <c r="AF34" i="1"/>
  <c r="F78" i="1"/>
  <c r="G71" i="1"/>
  <c r="AR7" i="1"/>
  <c r="L59" i="1"/>
  <c r="E39" i="1"/>
  <c r="AC14" i="1"/>
  <c r="E74" i="1"/>
  <c r="AO59" i="1"/>
  <c r="AW18" i="1"/>
  <c r="X28" i="1"/>
  <c r="J68" i="1"/>
  <c r="AO45" i="1"/>
  <c r="AK78" i="1"/>
  <c r="AF50" i="1"/>
  <c r="AP66" i="1"/>
  <c r="AP84" i="1"/>
  <c r="AE41" i="1"/>
  <c r="AR17" i="1"/>
  <c r="AU22" i="1"/>
  <c r="AO14" i="1"/>
  <c r="D65" i="1"/>
  <c r="X47" i="1"/>
  <c r="J74" i="1"/>
  <c r="AL55" i="1"/>
  <c r="AO31" i="1"/>
  <c r="AL17" i="1"/>
  <c r="U15" i="1"/>
  <c r="AW30" i="1"/>
  <c r="AJ17" i="1"/>
  <c r="AT29" i="1"/>
  <c r="AK31" i="1"/>
  <c r="G53" i="1"/>
  <c r="AX69" i="1"/>
  <c r="AK68" i="1"/>
  <c r="AE82" i="1"/>
  <c r="S40" i="1"/>
  <c r="AC64" i="1"/>
  <c r="AL6" i="1"/>
  <c r="AP57" i="1"/>
  <c r="Z32" i="1"/>
  <c r="AR81" i="1"/>
  <c r="AN16" i="1"/>
  <c r="AQ45" i="1"/>
  <c r="S72" i="1"/>
  <c r="S42" i="1"/>
  <c r="AG55" i="1"/>
  <c r="AB42" i="1"/>
  <c r="F16" i="1"/>
  <c r="AP51" i="1"/>
  <c r="J30" i="1"/>
  <c r="AQ6" i="1"/>
  <c r="P18" i="1"/>
  <c r="AQ14" i="1"/>
  <c r="V53" i="1"/>
  <c r="D34" i="1"/>
  <c r="AL83" i="1"/>
  <c r="AU42" i="1"/>
  <c r="AR65" i="1"/>
  <c r="AE26" i="1"/>
  <c r="S33" i="1"/>
  <c r="AR46" i="1"/>
  <c r="U36" i="1"/>
  <c r="U46" i="1"/>
  <c r="AM28" i="1"/>
  <c r="AC37" i="1"/>
  <c r="S31" i="1"/>
  <c r="AX61" i="1"/>
  <c r="AP60" i="1"/>
  <c r="AX67" i="1"/>
  <c r="AV36" i="1"/>
  <c r="S63" i="1"/>
  <c r="AR11" i="1"/>
  <c r="V36" i="1"/>
  <c r="Z72" i="1"/>
  <c r="AK38" i="1"/>
  <c r="AN11" i="1"/>
  <c r="H59" i="1"/>
  <c r="AX37" i="1"/>
  <c r="AX32" i="1"/>
  <c r="AJ69" i="1"/>
  <c r="E31" i="1"/>
  <c r="AV56" i="1"/>
  <c r="I79" i="1"/>
  <c r="K72" i="1"/>
  <c r="R22" i="1"/>
  <c r="D81" i="1"/>
  <c r="W80" i="1"/>
  <c r="AO41" i="1"/>
  <c r="AD11" i="1"/>
  <c r="AW49" i="1"/>
  <c r="AW83" i="1"/>
  <c r="AM44" i="1"/>
  <c r="AR67" i="1"/>
  <c r="Y28" i="1"/>
  <c r="Q12" i="1"/>
  <c r="AP33" i="1"/>
  <c r="P54" i="1"/>
  <c r="I63" i="1"/>
  <c r="F73" i="1"/>
  <c r="I59" i="1"/>
  <c r="AQ57" i="1"/>
  <c r="S19" i="1"/>
  <c r="X72" i="1"/>
  <c r="AT23" i="1"/>
  <c r="AH8" i="1"/>
  <c r="AI30" i="1"/>
  <c r="AN72" i="1"/>
  <c r="K29" i="1"/>
  <c r="AO9" i="1"/>
  <c r="S10" i="1"/>
  <c r="Z28" i="1"/>
  <c r="AN74" i="1"/>
  <c r="AQ62" i="1"/>
  <c r="AA26" i="1"/>
  <c r="AV74" i="1"/>
  <c r="AP58" i="1"/>
  <c r="AM53" i="1"/>
  <c r="AA46" i="1"/>
  <c r="X30" i="1"/>
  <c r="H49" i="1"/>
  <c r="AI84" i="1"/>
  <c r="AA40" i="1"/>
  <c r="AK44" i="1"/>
  <c r="AM78" i="1"/>
  <c r="AT18" i="1"/>
  <c r="AE66" i="1"/>
  <c r="U21" i="1"/>
  <c r="AH58" i="1"/>
  <c r="D52" i="1"/>
  <c r="H50" i="1"/>
  <c r="Y58" i="1"/>
  <c r="AJ37" i="1"/>
  <c r="H28" i="1"/>
  <c r="AN62" i="1"/>
  <c r="AM59" i="1"/>
  <c r="AG67" i="1"/>
  <c r="AW12" i="1"/>
  <c r="X39" i="1"/>
  <c r="AU66" i="1"/>
  <c r="AF84" i="1"/>
  <c r="W60" i="1"/>
  <c r="AN28" i="1"/>
  <c r="AK25" i="1"/>
  <c r="AN50" i="1"/>
  <c r="AI17" i="1"/>
  <c r="AM43" i="1"/>
  <c r="AC53" i="1"/>
  <c r="E11" i="1"/>
  <c r="AO54" i="1"/>
  <c r="AR25" i="1"/>
  <c r="AL43" i="1"/>
  <c r="L38" i="1"/>
  <c r="P77" i="1"/>
  <c r="G16" i="1"/>
  <c r="AP49" i="1"/>
  <c r="P43" i="1"/>
  <c r="AB25" i="1"/>
  <c r="AA20" i="1"/>
  <c r="AJ70" i="1"/>
  <c r="G48" i="1"/>
  <c r="J12" i="1"/>
  <c r="AP79" i="1"/>
  <c r="AJ14" i="1"/>
  <c r="U33" i="1"/>
  <c r="L6" i="1"/>
  <c r="P24" i="1"/>
  <c r="D73" i="1"/>
  <c r="AH9" i="1"/>
  <c r="Z13" i="1"/>
  <c r="AB35" i="1"/>
  <c r="AH44" i="1"/>
  <c r="AR37" i="1"/>
  <c r="X81" i="1"/>
  <c r="AR79" i="1"/>
  <c r="S43" i="1"/>
  <c r="AR74" i="1"/>
  <c r="AA79" i="1"/>
  <c r="I81" i="1"/>
  <c r="AQ42" i="1"/>
  <c r="AQ29" i="1"/>
  <c r="Z63" i="1"/>
  <c r="AC49" i="1"/>
  <c r="AB51" i="1"/>
  <c r="AJ55" i="1"/>
  <c r="AM54" i="1"/>
  <c r="AE67" i="1"/>
  <c r="F76" i="1"/>
  <c r="AJ27" i="1"/>
  <c r="AG21" i="1"/>
  <c r="L54" i="1"/>
  <c r="V38" i="1"/>
  <c r="AN60" i="1"/>
  <c r="AL15" i="1"/>
  <c r="AI70" i="1"/>
  <c r="AT67" i="1"/>
  <c r="AK9" i="1"/>
  <c r="AO35" i="1"/>
  <c r="AP50" i="1"/>
  <c r="AP70" i="1"/>
  <c r="U38" i="1"/>
  <c r="AJ23" i="1"/>
  <c r="AN76" i="1"/>
  <c r="AG13" i="1"/>
  <c r="AB47" i="1"/>
  <c r="AN34" i="1"/>
  <c r="AJ54" i="1"/>
  <c r="C77" i="1"/>
  <c r="AD26" i="1"/>
  <c r="AT19" i="1"/>
  <c r="AK34" i="1"/>
  <c r="AT51" i="1"/>
  <c r="AA68" i="1"/>
  <c r="I14" i="1"/>
  <c r="AW60" i="1"/>
  <c r="H66" i="1"/>
  <c r="E53" i="1"/>
  <c r="D69" i="1"/>
  <c r="R81" i="1"/>
  <c r="AA69" i="1"/>
  <c r="K52" i="1"/>
  <c r="AR24" i="1"/>
  <c r="AL46" i="1"/>
  <c r="V57" i="1"/>
  <c r="AO67" i="1"/>
  <c r="AR16" i="1"/>
  <c r="AE14" i="1"/>
  <c r="AU10" i="1"/>
  <c r="S84" i="1"/>
  <c r="G23" i="1"/>
  <c r="AI49" i="1"/>
  <c r="AM6" i="1"/>
  <c r="AX63" i="1"/>
  <c r="AT16" i="1"/>
  <c r="K67" i="1"/>
  <c r="AX33" i="1"/>
  <c r="R7" i="1"/>
  <c r="AX64" i="1"/>
  <c r="J48" i="1"/>
  <c r="Y31" i="1"/>
  <c r="L48" i="1"/>
  <c r="AG32" i="1"/>
  <c r="AN54" i="1"/>
  <c r="H72" i="1"/>
  <c r="AH14" i="1"/>
  <c r="AE56" i="1"/>
  <c r="R23" i="1"/>
  <c r="B78" i="1"/>
  <c r="Z8" i="1"/>
  <c r="AM79" i="1"/>
  <c r="R53" i="1"/>
  <c r="Y83" i="1"/>
  <c r="AI62" i="1"/>
  <c r="AU56" i="1"/>
  <c r="AC15" i="1"/>
  <c r="AP64" i="1"/>
  <c r="I52" i="1"/>
  <c r="AH77" i="1"/>
  <c r="AR42" i="1"/>
  <c r="H51" i="1"/>
  <c r="AQ81" i="1"/>
  <c r="AM7" i="1"/>
  <c r="AQ8" i="1"/>
  <c r="R17" i="1"/>
  <c r="AH34" i="1"/>
  <c r="AB77" i="1"/>
  <c r="AO64" i="1"/>
  <c r="AV52" i="1"/>
  <c r="AE12" i="1"/>
  <c r="AT76" i="1"/>
  <c r="U60" i="1"/>
  <c r="AB29" i="1"/>
  <c r="AB40" i="1"/>
  <c r="W46" i="1"/>
  <c r="AV65" i="1"/>
  <c r="Z59" i="1"/>
  <c r="AO53" i="1"/>
  <c r="AX16" i="1"/>
  <c r="AC83" i="1"/>
  <c r="R76" i="1"/>
  <c r="AG60" i="1"/>
  <c r="AE78" i="1"/>
  <c r="AW70" i="1"/>
  <c r="AX20" i="1"/>
  <c r="AT60" i="1"/>
  <c r="U51" i="1"/>
  <c r="V60" i="1"/>
  <c r="AP11" i="1"/>
  <c r="Z76" i="1"/>
  <c r="Q51" i="1"/>
  <c r="AV77" i="1"/>
  <c r="K79" i="1"/>
  <c r="AQ61" i="1"/>
  <c r="B50" i="1"/>
  <c r="C57" i="1"/>
  <c r="R50" i="1"/>
  <c r="Y82" i="1"/>
  <c r="AV84" i="1"/>
  <c r="AV18" i="1"/>
  <c r="AD47" i="1"/>
  <c r="AW19" i="1"/>
  <c r="AQ64" i="1"/>
  <c r="AB12" i="1"/>
  <c r="V70" i="1"/>
  <c r="S82" i="1"/>
  <c r="B33" i="1"/>
  <c r="R13" i="1"/>
  <c r="AK45" i="1"/>
  <c r="AU73" i="1"/>
  <c r="AV61" i="1"/>
  <c r="C48" i="1"/>
  <c r="AP14" i="1"/>
  <c r="Z23" i="1"/>
  <c r="H22" i="1"/>
  <c r="H20" i="1"/>
  <c r="AT24" i="1"/>
  <c r="K40" i="1"/>
  <c r="AJ10" i="1"/>
  <c r="AA15" i="1"/>
  <c r="AO42" i="1"/>
  <c r="AV59" i="1"/>
  <c r="AH28" i="1"/>
  <c r="AX76" i="1"/>
  <c r="R60" i="1"/>
  <c r="AQ53" i="1"/>
  <c r="AO27" i="1"/>
  <c r="C84" i="1"/>
  <c r="S35" i="1"/>
  <c r="E61" i="1"/>
  <c r="F13" i="1"/>
  <c r="J31" i="1"/>
  <c r="P78" i="1"/>
  <c r="AX54" i="1"/>
  <c r="C64" i="1"/>
  <c r="AQ24" i="1"/>
  <c r="F63" i="1"/>
  <c r="AW21" i="1"/>
  <c r="W34" i="1"/>
  <c r="Y32" i="1"/>
  <c r="AN56" i="1"/>
  <c r="V68" i="1"/>
  <c r="R11" i="1"/>
  <c r="AN75" i="1"/>
  <c r="AW7" i="1"/>
  <c r="K71" i="1"/>
  <c r="AU24" i="1"/>
  <c r="AU17" i="1"/>
  <c r="Y84" i="1"/>
  <c r="AH70" i="1"/>
  <c r="AB62" i="1"/>
  <c r="AF13" i="1"/>
  <c r="X43" i="1"/>
  <c r="AH17" i="1"/>
  <c r="Y26" i="1"/>
  <c r="D53" i="1"/>
  <c r="AB48" i="1"/>
  <c r="U82" i="1"/>
  <c r="X20" i="1"/>
  <c r="AT12" i="1"/>
  <c r="X84" i="1"/>
  <c r="AO70" i="1"/>
  <c r="AU32" i="1"/>
  <c r="K58" i="1"/>
  <c r="H74" i="1"/>
  <c r="AD59" i="1"/>
  <c r="P32" i="1"/>
  <c r="AU27" i="1"/>
  <c r="AC16" i="1"/>
  <c r="Z20" i="1"/>
  <c r="J37" i="1"/>
  <c r="AM36" i="1"/>
  <c r="AH68" i="1"/>
  <c r="G13" i="1"/>
  <c r="AB15" i="1"/>
  <c r="AO51" i="1"/>
  <c r="AW28" i="1"/>
  <c r="AL67" i="1"/>
  <c r="X73" i="1"/>
  <c r="AR12" i="1"/>
  <c r="I54" i="1"/>
  <c r="X67" i="1"/>
  <c r="AW14" i="1"/>
  <c r="AV78" i="1"/>
  <c r="AQ60" i="1"/>
  <c r="AO48" i="1"/>
  <c r="AO11" i="1"/>
  <c r="AW26" i="1"/>
  <c r="S9" i="1"/>
  <c r="AP73" i="1"/>
  <c r="AN40" i="1"/>
  <c r="Z11" i="1"/>
  <c r="S64" i="1"/>
  <c r="R33" i="1"/>
  <c r="AQ65" i="1"/>
  <c r="AJ32" i="1"/>
  <c r="AN53" i="1"/>
  <c r="S53" i="1"/>
  <c r="AW25" i="1"/>
  <c r="AT84" i="1"/>
  <c r="S18" i="1"/>
  <c r="H33" i="1"/>
  <c r="K39" i="1"/>
  <c r="V35" i="1"/>
  <c r="AQ73" i="1"/>
  <c r="P37" i="1"/>
  <c r="AR48" i="1"/>
  <c r="I58" i="1"/>
  <c r="AF77" i="1"/>
  <c r="AT79" i="1"/>
  <c r="K70" i="1"/>
  <c r="C71" i="1"/>
  <c r="AO66" i="1"/>
  <c r="AR54" i="1"/>
  <c r="AV69" i="1"/>
  <c r="AU60" i="1"/>
  <c r="D17" i="1"/>
  <c r="Z80" i="1"/>
  <c r="F84" i="1"/>
  <c r="L41" i="1"/>
  <c r="AP23" i="1"/>
  <c r="AP18" i="1"/>
  <c r="AO56" i="1"/>
  <c r="AR70" i="1"/>
  <c r="AF68" i="1"/>
  <c r="AB50" i="1"/>
  <c r="G24" i="1"/>
  <c r="AG72" i="1"/>
  <c r="R58" i="1"/>
  <c r="AN47" i="1"/>
  <c r="AJ36" i="1"/>
  <c r="L56" i="1"/>
  <c r="R70" i="1"/>
  <c r="AR41" i="1"/>
  <c r="Q82" i="1"/>
  <c r="AX73" i="1"/>
  <c r="AT68" i="1"/>
  <c r="D27" i="1"/>
  <c r="AB22" i="1"/>
  <c r="AX25" i="1"/>
  <c r="L19" i="1"/>
  <c r="AD25" i="1"/>
  <c r="AG29" i="1"/>
  <c r="AX15" i="1"/>
  <c r="L68" i="1"/>
  <c r="AT6" i="1"/>
  <c r="W44" i="1"/>
  <c r="AK26" i="1"/>
  <c r="Z36" i="1"/>
  <c r="AV66" i="1"/>
  <c r="K62" i="1"/>
  <c r="B41" i="1"/>
  <c r="AQ37" i="1"/>
  <c r="AO46" i="1"/>
  <c r="D79" i="1"/>
  <c r="AR34" i="1"/>
  <c r="AL78" i="1"/>
  <c r="AP74" i="1"/>
  <c r="AJ57" i="1"/>
  <c r="G78" i="1"/>
  <c r="AX21" i="1"/>
  <c r="AV73" i="1"/>
  <c r="R79" i="1"/>
  <c r="J17" i="1"/>
  <c r="AV42" i="1"/>
  <c r="AO7" i="1"/>
  <c r="AU31" i="1"/>
  <c r="J84" i="1"/>
  <c r="H57" i="1"/>
  <c r="AX3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<sst xmlns="http://schemas.openxmlformats.org/spreadsheetml/2006/main" count="6485" uniqueCount="156">
  <si>
    <t/>
    <phoneticPr fontId="1" type="noConversion"/>
  </si>
  <si>
    <t>甘肃省肿瘤医院</t>
    <phoneticPr fontId="1" type="noConversion"/>
  </si>
  <si>
    <t>0投诉（有责任）</t>
    <phoneticPr fontId="1" type="noConversion"/>
  </si>
  <si>
    <t>0纠纷（有责任）</t>
    <phoneticPr fontId="1" type="noConversion"/>
  </si>
  <si>
    <t>0赔付(有责任)</t>
    <phoneticPr fontId="1" type="noConversion"/>
  </si>
  <si>
    <t>危重人次</t>
    <phoneticPr fontId="1" type="noConversion"/>
  </si>
  <si>
    <t>复苏人次</t>
    <phoneticPr fontId="1" type="noConversion"/>
  </si>
  <si>
    <t>床均产值</t>
    <phoneticPr fontId="1" type="noConversion"/>
  </si>
  <si>
    <t>医保农合质量控制</t>
    <phoneticPr fontId="1" type="noConversion"/>
  </si>
  <si>
    <t>传染病死亡病例漏报</t>
    <phoneticPr fontId="1" type="noConversion"/>
  </si>
  <si>
    <t>医疗设备安全使用</t>
    <phoneticPr fontId="1" type="noConversion"/>
  </si>
  <si>
    <t>护均担负床日</t>
    <phoneticPr fontId="1" type="noConversion"/>
  </si>
  <si>
    <t>机房运行成本率</t>
    <phoneticPr fontId="1" type="noConversion"/>
  </si>
  <si>
    <t>临床满意度</t>
    <phoneticPr fontId="1" type="noConversion"/>
  </si>
  <si>
    <t>术前术后访视率</t>
    <phoneticPr fontId="1" type="noConversion"/>
  </si>
  <si>
    <t>麻醉护理记录单质量</t>
    <phoneticPr fontId="1" type="noConversion"/>
  </si>
  <si>
    <t>领用试剂占执行收入比</t>
    <phoneticPr fontId="1" type="noConversion"/>
  </si>
  <si>
    <t>次均门诊费用（低）</t>
    <phoneticPr fontId="1" type="noConversion"/>
  </si>
  <si>
    <t>出院人次</t>
    <phoneticPr fontId="1" type="noConversion"/>
  </si>
  <si>
    <t>门诊人次</t>
    <phoneticPr fontId="1" type="noConversion"/>
  </si>
  <si>
    <t>患者满意度</t>
    <phoneticPr fontId="1" type="noConversion"/>
  </si>
  <si>
    <t>平均住院日</t>
    <phoneticPr fontId="1" type="noConversion"/>
  </si>
  <si>
    <t>床位周转率</t>
    <phoneticPr fontId="1" type="noConversion"/>
  </si>
  <si>
    <t>次均门诊费用</t>
    <phoneticPr fontId="1" type="noConversion"/>
  </si>
  <si>
    <t>次均出院费用</t>
    <phoneticPr fontId="1" type="noConversion"/>
  </si>
  <si>
    <t>医疗质量控制</t>
    <phoneticPr fontId="1" type="noConversion"/>
  </si>
  <si>
    <t>病历质量控制</t>
    <phoneticPr fontId="1" type="noConversion"/>
  </si>
  <si>
    <t>用药质量控制</t>
    <phoneticPr fontId="1" type="noConversion"/>
  </si>
  <si>
    <t>院感质量控制</t>
    <phoneticPr fontId="1" type="noConversion"/>
  </si>
  <si>
    <t>护理质量控制</t>
    <phoneticPr fontId="1" type="noConversion"/>
  </si>
  <si>
    <t>出院人次绩酬率</t>
    <phoneticPr fontId="1" type="noConversion"/>
  </si>
  <si>
    <t>领用耗材占开单收入比</t>
    <phoneticPr fontId="1" type="noConversion"/>
  </si>
  <si>
    <t>住院西成药占比</t>
    <phoneticPr fontId="1" type="noConversion"/>
  </si>
  <si>
    <t>开单收入成本率</t>
    <phoneticPr fontId="1" type="noConversion"/>
  </si>
  <si>
    <t>报告单质量控制</t>
    <phoneticPr fontId="1" type="noConversion"/>
  </si>
  <si>
    <t>服务人次绩酬率</t>
    <phoneticPr fontId="1" type="noConversion"/>
  </si>
  <si>
    <t>新技术掌握及应用</t>
    <phoneticPr fontId="1" type="noConversion"/>
  </si>
  <si>
    <t>领用耗材占执行收入比</t>
    <phoneticPr fontId="1" type="noConversion"/>
  </si>
  <si>
    <t>门诊西成药占比</t>
    <phoneticPr fontId="1" type="noConversion"/>
  </si>
  <si>
    <t>执行收入成本率</t>
    <phoneticPr fontId="1" type="noConversion"/>
  </si>
  <si>
    <t>全院运行成本率</t>
    <phoneticPr fontId="1" type="noConversion"/>
  </si>
  <si>
    <t>全院出院人次</t>
    <phoneticPr fontId="1" type="noConversion"/>
  </si>
  <si>
    <t>全院门诊人次</t>
    <phoneticPr fontId="1" type="noConversion"/>
  </si>
  <si>
    <t>全院门诊人次绩酬率</t>
    <phoneticPr fontId="1" type="noConversion"/>
  </si>
  <si>
    <t>全院出院人次绩酬率</t>
    <phoneticPr fontId="1" type="noConversion"/>
  </si>
  <si>
    <t>《科室工作简报》完成情况</t>
    <phoneticPr fontId="1" type="noConversion"/>
  </si>
  <si>
    <t>工作重大失误</t>
    <phoneticPr fontId="1" type="noConversion"/>
  </si>
  <si>
    <t>工作未完成</t>
    <phoneticPr fontId="1" type="noConversion"/>
  </si>
  <si>
    <t>服务投诉(患者、临床）</t>
    <phoneticPr fontId="1" type="noConversion"/>
  </si>
  <si>
    <t>违纪违规（党风廉政）</t>
    <phoneticPr fontId="1" type="noConversion"/>
  </si>
  <si>
    <t>违反劳动纪律（有记录）</t>
    <phoneticPr fontId="1" type="noConversion"/>
  </si>
  <si>
    <t>行政关联指标</t>
    <phoneticPr fontId="1" type="noConversion"/>
  </si>
  <si>
    <t>质量检查完成情况</t>
    <phoneticPr fontId="1" type="noConversion"/>
  </si>
  <si>
    <t>权重</t>
    <phoneticPr fontId="1" type="noConversion"/>
  </si>
  <si>
    <t>目标值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</si>
  <si>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</si>
  <si>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</si>
  <si>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</si>
  <si>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</si>
  <si>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</si>
  <si>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</si>
  <si>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</si>
  <si>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</si>
  <si>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</si>
  <si>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</si>
  <si>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</si>
  <si>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</si>
  <si>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</si>
  <si>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</si>
  <si>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</si>
  <si>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</si>
  <si>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</si>
  <si>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</si>
  <si>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医疗质量控制科</t>
    <phoneticPr fontId="1" type="noConversion"/>
  </si>
  <si>
    <t>--</t>
    <phoneticPr fontId="1" type="noConversion"/>
  </si>
  <si>
    <t>胃肿瘤外科</t>
    <phoneticPr fontId="1" type="noConversion"/>
  </si>
  <si>
    <t>行政单位系数</t>
    <phoneticPr fontId="1" type="noConversion"/>
  </si>
  <si>
    <t>内窥镜中心</t>
    <phoneticPr fontId="1" type="noConversion"/>
  </si>
  <si>
    <t>医务科</t>
    <phoneticPr fontId="1" type="noConversion"/>
  </si>
  <si>
    <t>采购办公室</t>
    <phoneticPr fontId="1" type="noConversion"/>
  </si>
  <si>
    <t>头颈一科</t>
    <phoneticPr fontId="1" type="noConversion"/>
  </si>
  <si>
    <t>口腔科</t>
    <phoneticPr fontId="1" type="noConversion"/>
  </si>
  <si>
    <t>基建办</t>
    <phoneticPr fontId="1" type="noConversion"/>
  </si>
  <si>
    <t>肝胆胰肿瘤外科</t>
    <phoneticPr fontId="1" type="noConversion"/>
  </si>
  <si>
    <t>行政绩效人员</t>
    <phoneticPr fontId="1" type="noConversion"/>
  </si>
  <si>
    <t>护理部</t>
    <phoneticPr fontId="1" type="noConversion"/>
  </si>
  <si>
    <t>消毒供应中心</t>
    <phoneticPr fontId="1" type="noConversion"/>
  </si>
  <si>
    <t>经济管理办公室</t>
    <phoneticPr fontId="1" type="noConversion"/>
  </si>
  <si>
    <t>头颈二科</t>
    <phoneticPr fontId="1" type="noConversion"/>
  </si>
  <si>
    <t>皮肤科</t>
    <phoneticPr fontId="1" type="noConversion"/>
  </si>
  <si>
    <t>药学部（职能）</t>
    <phoneticPr fontId="1" type="noConversion"/>
  </si>
  <si>
    <t>泌尿外科</t>
    <phoneticPr fontId="1" type="noConversion"/>
  </si>
  <si>
    <t>多学科联合(MDT)门诊</t>
    <phoneticPr fontId="1" type="noConversion"/>
  </si>
  <si>
    <t>感染管理科</t>
    <phoneticPr fontId="1" type="noConversion"/>
  </si>
  <si>
    <t>病理科</t>
    <phoneticPr fontId="1" type="noConversion"/>
  </si>
  <si>
    <t>健康促进科</t>
    <phoneticPr fontId="1" type="noConversion"/>
  </si>
  <si>
    <t>妇瘤一科</t>
    <phoneticPr fontId="1" type="noConversion"/>
  </si>
  <si>
    <t>便民门诊</t>
    <phoneticPr fontId="1" type="noConversion"/>
  </si>
  <si>
    <t>财务部</t>
    <phoneticPr fontId="1" type="noConversion"/>
  </si>
  <si>
    <t>结直肠肿瘤外科</t>
    <phoneticPr fontId="1" type="noConversion"/>
  </si>
  <si>
    <t>名老中医工作室</t>
    <phoneticPr fontId="1" type="noConversion"/>
  </si>
  <si>
    <t>医疗保险办公室</t>
    <phoneticPr fontId="1" type="noConversion"/>
  </si>
  <si>
    <t>功能科</t>
    <phoneticPr fontId="1" type="noConversion"/>
  </si>
  <si>
    <t>对外联络办公室</t>
    <phoneticPr fontId="1" type="noConversion"/>
  </si>
  <si>
    <t>妇瘤二科</t>
    <phoneticPr fontId="1" type="noConversion"/>
  </si>
  <si>
    <t>针灸理疗室</t>
    <phoneticPr fontId="1" type="noConversion"/>
  </si>
  <si>
    <t>医务部</t>
    <phoneticPr fontId="1" type="noConversion"/>
  </si>
  <si>
    <t>乳腺内科</t>
    <phoneticPr fontId="1" type="noConversion"/>
  </si>
  <si>
    <t>特需门诊</t>
    <phoneticPr fontId="1" type="noConversion"/>
  </si>
  <si>
    <t>审计科</t>
    <phoneticPr fontId="1" type="noConversion"/>
  </si>
  <si>
    <t>核医学科</t>
    <phoneticPr fontId="1" type="noConversion"/>
  </si>
  <si>
    <t>公共卫生科</t>
    <phoneticPr fontId="1" type="noConversion"/>
  </si>
  <si>
    <t>骨与软组织一科</t>
    <phoneticPr fontId="1" type="noConversion"/>
  </si>
  <si>
    <t>重症医学科</t>
    <phoneticPr fontId="1" type="noConversion"/>
  </si>
  <si>
    <t>放射治疗科</t>
    <phoneticPr fontId="1" type="noConversion"/>
  </si>
  <si>
    <t>院办公室</t>
    <phoneticPr fontId="1" type="noConversion"/>
  </si>
  <si>
    <t>宣传科</t>
    <phoneticPr fontId="1" type="noConversion"/>
  </si>
  <si>
    <t>检验科</t>
    <phoneticPr fontId="1" type="noConversion"/>
  </si>
  <si>
    <t>临床营养科</t>
    <phoneticPr fontId="1" type="noConversion"/>
  </si>
  <si>
    <t>骨与软组织二科</t>
    <phoneticPr fontId="1" type="noConversion"/>
  </si>
  <si>
    <t>麻醉手术科</t>
    <phoneticPr fontId="1" type="noConversion"/>
  </si>
  <si>
    <t>中西医结合科</t>
    <phoneticPr fontId="1" type="noConversion"/>
  </si>
  <si>
    <t>人事科</t>
    <phoneticPr fontId="1" type="noConversion"/>
  </si>
  <si>
    <t>后勤保障科</t>
    <phoneticPr fontId="1" type="noConversion"/>
  </si>
  <si>
    <t>放射科</t>
    <phoneticPr fontId="1" type="noConversion"/>
  </si>
  <si>
    <t>收费管理科</t>
    <phoneticPr fontId="1" type="noConversion"/>
  </si>
  <si>
    <t>乳腺一科</t>
    <phoneticPr fontId="1" type="noConversion"/>
  </si>
  <si>
    <t>麻醉手术科护士</t>
    <phoneticPr fontId="1" type="noConversion"/>
  </si>
  <si>
    <t>血液病科</t>
    <phoneticPr fontId="1" type="noConversion"/>
  </si>
  <si>
    <t>财务科</t>
    <phoneticPr fontId="1" type="noConversion"/>
  </si>
  <si>
    <t>保卫科</t>
    <phoneticPr fontId="1" type="noConversion"/>
  </si>
  <si>
    <t>门诊收费室</t>
    <phoneticPr fontId="1" type="noConversion"/>
  </si>
  <si>
    <t>工会办公室</t>
    <phoneticPr fontId="1" type="noConversion"/>
  </si>
  <si>
    <t>乳腺二科</t>
    <phoneticPr fontId="1" type="noConversion"/>
  </si>
  <si>
    <t>放疗机房</t>
    <phoneticPr fontId="1" type="noConversion"/>
  </si>
  <si>
    <t>消化肿瘤内一科</t>
    <phoneticPr fontId="1" type="noConversion"/>
  </si>
  <si>
    <t>党委办公室</t>
    <phoneticPr fontId="1" type="noConversion"/>
  </si>
  <si>
    <t>网络中心</t>
    <phoneticPr fontId="1" type="noConversion"/>
  </si>
  <si>
    <t>住院收费室</t>
    <phoneticPr fontId="1" type="noConversion"/>
  </si>
  <si>
    <t>患者维权办公室</t>
    <phoneticPr fontId="1" type="noConversion"/>
  </si>
  <si>
    <t>胸外一科</t>
    <phoneticPr fontId="1" type="noConversion"/>
  </si>
  <si>
    <t>药学部</t>
    <phoneticPr fontId="1" type="noConversion"/>
  </si>
  <si>
    <t>消化肿瘤内二科</t>
    <phoneticPr fontId="1" type="noConversion"/>
  </si>
  <si>
    <t>纪委办公室</t>
    <phoneticPr fontId="1" type="noConversion"/>
  </si>
  <si>
    <t>动力管理科</t>
    <phoneticPr fontId="1" type="noConversion"/>
  </si>
  <si>
    <t>门诊部</t>
    <phoneticPr fontId="1" type="noConversion"/>
  </si>
  <si>
    <t>肿瘤流行病学研究中心</t>
    <phoneticPr fontId="1" type="noConversion"/>
  </si>
  <si>
    <t>胸外二科</t>
    <phoneticPr fontId="1" type="noConversion"/>
  </si>
  <si>
    <t>介入治疗科</t>
    <phoneticPr fontId="1" type="noConversion"/>
  </si>
  <si>
    <t>呼吸肿瘤内科</t>
    <phoneticPr fontId="1" type="noConversion"/>
  </si>
  <si>
    <t>科教科</t>
    <phoneticPr fontId="1" type="noConversion"/>
  </si>
  <si>
    <t>医学工程部</t>
    <phoneticPr fontId="1" type="noConversion"/>
  </si>
  <si>
    <t>眼科</t>
    <phoneticPr fontId="1" type="noConversion"/>
  </si>
  <si>
    <t>绩效科室指标</t>
    <phoneticPr fontId="1" type="noConversion"/>
  </si>
  <si>
    <t>科室名称</t>
    <phoneticPr fontId="1" type="noConversion"/>
  </si>
  <si>
    <t>KPI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</si>
</sst>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 x14ac:knownFonts="1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22"/>
      <color rgb="FFFFFFFF"/>
      <name val="微软雅黑"/>
      <family val="2"/>
      <charset val="134"/>
    </font>
    <font>
      <sz val="14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b/>
      <sz val="18"/>
      <color rgb="FFFFFFFF"/>
      <name val="微软雅黑"/>
      <family val="2"/>
      <charset val="134"/>
    </font>
    <font>
      <sz val="11"/>
      <color theme="1"/>
      <name val="新細明體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64ADC3"/>
        <bgColor indexed="64"/>
      </patternFill>
    </fill>
    <fill>
      <patternFill patternType="solid">
        <fgColor rgb="FF4EADC3"/>
        <bgColor indexed="64"/>
      </patternFill>
    </fill>
    <fill>
      <patternFill patternType="solid">
        <fgColor rgb="FFDDF3F1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FFFFFF"/>
      </bottom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</borders>
  <cellStyleXfs count="2">
    <xf numFmtId="0" fontId="0" fillId="0" borderId="0">
      <alignment vertical="center"/>
    </xf>
    <xf numFmtId="0" fontId="6" fillId="0" borderId="2">
      <alignment vertical="center"/>
    </xf>
  </cellStyleXfs>
  <cellXfs count="17">
    <xf numFmtId="0" fontId="0" fillId="0" borderId="0" xfId="0">
      <alignment vertical="center"/>
    </xf>
    <xf numFmtId="0" fontId="4" fillId="4" borderId="3" xfId="0" applyFont="1" applyFill="1" applyBorder="1" applyAlignment="1" applyProtection="1">
      <alignment horizontal="center" vertical="center" wrapText="1" shrinkToFit="1"/>
      <protection locked="0"/>
    </xf>
    <xf numFmtId="176" fontId="4" fillId="4" borderId="3" xfId="0" applyNumberFormat="1" applyFont="1" applyFill="1" applyBorder="1" applyAlignment="1" applyProtection="1">
      <alignment horizontal="center" vertical="center"/>
      <protection locked="0"/>
    </xf>
    <xf numFmtId="0" fontId="4" fillId="5" borderId="3" xfId="0" applyFont="1" applyFill="1" applyBorder="1" applyAlignment="1" applyProtection="1">
      <alignment horizontal="center" vertical="center" wrapText="1" shrinkToFit="1"/>
      <protection locked="0"/>
    </xf>
    <xf numFmtId="176" fontId="4" fillId="5" borderId="3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176" fontId="4" fillId="4" borderId="3" xfId="0" applyNumberFormat="1" applyFont="1" applyFill="1" applyBorder="1" applyAlignment="1" applyProtection="1">
      <alignment horizontal="center" vertical="center" wrapText="1"/>
      <protection locked="0"/>
    </xf>
    <xf numFmtId="176" fontId="4" fillId="4" borderId="3" xfId="0" quotePrefix="1" applyNumberFormat="1" applyFont="1" applyFill="1" applyBorder="1" applyAlignment="1" applyProtection="1">
      <alignment horizontal="center" vertical="center"/>
      <protection locked="0"/>
    </xf>
    <xf numFmtId="176" fontId="4" fillId="5" borderId="3" xfId="0" quotePrefix="1" applyNumberFormat="1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</cellXfs>
  <cellStyles count="2">
    <cellStyle name="常规" xfId="0" builtinId="0"/>
    <cellStyle name="常规 2" xfId="1" xr:uid="{74FCF4D3-6309-42F2-A00C-4B8568B732A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12500</xdr:rowOff>
    </xdr:from>
    <xdr:to>
      <xdr:col>1</xdr:col>
      <xdr:colOff>0</xdr:colOff>
      <xdr:row>4</xdr:row>
      <xdr:rowOff>306155</xdr:rowOff>
    </xdr:to>
    <xdr:pic>
      <xdr:nvPicPr>
        <xdr:cNvPr id="83" name="图片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9994;&#21153;&#23454;&#38469;&#20540;&#23454;&#38469;&#20540;&#19978;&#20256;&#27169;&#2649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771;&#26680;&#25968;&#25454;&#23384;&#2064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33021;&#23454;&#38469;&#20540;&#23454;&#38469;&#20540;&#19978;&#20256;&#27169;&#26495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iyun\Desktop\work\11&#26376;&#32489;&#25928;\&#34892;&#25919;&#31185;&#23460;&#35780;&#20998;&#34920;.xlsx" TargetMode="External"/><Relationship Id="rId1" Type="http://schemas.openxmlformats.org/officeDocument/2006/relationships/externalLinkPath" Target="&#34892;&#25919;&#31185;&#23460;&#35780;&#20998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业务实际值实际值上传模板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职能实际值实际值上传模板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PI评分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84"/>
  <sheetViews>
    <sheetView tabSelected="1" zoomScale="70" zoomScaleNormal="70" workbookViewId="0">
      <pane xSplit="1" ySplit="5" topLeftCell="B6" activePane="bottomRight" state="frozen"/>
      <selection pane="topRight"/>
      <selection pane="bottomLeft"/>
      <selection pane="bottomRight" activeCell="D10" sqref="D10"/>
    </sheetView>
  </sheetViews>
  <sheetFormatPr defaultRowHeight="13.8" x14ac:dyDescent="0.25"/>
  <cols>
    <col min="1" max="1" width="18.375" customWidth="1"/>
    <col min="2" max="2" width="34.5" bestFit="1" customWidth="1"/>
    <col min="3" max="3" width="27.375" bestFit="1" customWidth="1"/>
    <col min="4" max="4" width="22.625" bestFit="1" customWidth="1"/>
    <col min="5" max="7" width="14.875" bestFit="1" customWidth="1"/>
    <col min="8" max="8" width="28.75" bestFit="1" customWidth="1"/>
    <col min="9" max="9" width="32.125" bestFit="1" customWidth="1"/>
    <col min="10" max="10" width="28.75" bestFit="1" customWidth="1"/>
    <col min="11" max="11" width="21.75" bestFit="1" customWidth="1"/>
    <col min="12" max="12" width="25.125" bestFit="1" customWidth="1"/>
    <col min="13" max="13" width="18.25" bestFit="1" customWidth="1"/>
    <col min="14" max="14" width="25.125" bestFit="1" customWidth="1"/>
    <col min="15" max="15" width="32.125" bestFit="1" customWidth="1"/>
    <col min="16" max="16" width="35.625" bestFit="1" customWidth="1"/>
    <col min="17" max="17" width="32.125" bestFit="1" customWidth="1"/>
    <col min="18" max="19" width="14.875" bestFit="1" customWidth="1"/>
    <col min="20" max="22" width="18.25" bestFit="1" customWidth="1"/>
    <col min="23" max="29" width="21.75" bestFit="1" customWidth="1"/>
    <col min="30" max="30" width="25.125" bestFit="1" customWidth="1"/>
    <col min="31" max="31" width="35.625" bestFit="1" customWidth="1"/>
    <col min="32" max="35" width="25.125" bestFit="1" customWidth="1"/>
    <col min="36" max="36" width="28.75" bestFit="1" customWidth="1"/>
    <col min="37" max="37" width="35.625" bestFit="1" customWidth="1"/>
    <col min="38" max="40" width="25.125" bestFit="1" customWidth="1"/>
    <col min="41" max="42" width="21.75" bestFit="1" customWidth="1"/>
    <col min="43" max="44" width="32.125" bestFit="1" customWidth="1"/>
    <col min="45" max="45" width="42.625" bestFit="1" customWidth="1"/>
    <col min="46" max="46" width="21.75" bestFit="1" customWidth="1"/>
    <col min="47" max="47" width="18.25" bestFit="1" customWidth="1"/>
    <col min="48" max="48" width="36.75" bestFit="1" customWidth="1"/>
    <col min="49" max="49" width="35.625" bestFit="1" customWidth="1"/>
    <col min="50" max="50" width="39.25" bestFit="1" customWidth="1"/>
    <col min="51" max="51" width="21.75" bestFit="1" customWidth="1"/>
    <col min="52" max="52" width="28.75" bestFit="1" customWidth="1"/>
    <col min="53" max="53" width="16.5" customWidth="1"/>
  </cols>
  <sheetData>
    <row r="1" spans="1:53" ht="36.6" customHeight="1" x14ac:dyDescent="0.7">
      <c r="A1" s="14" t="s">
        <v>0</v>
      </c>
      <c r="B1" s="11" t="s">
        <v>1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</row>
    <row r="2" spans="1:53" ht="36.6" customHeight="1" x14ac:dyDescent="0.25">
      <c r="A2" s="14"/>
      <c r="B2" s="12" t="s">
        <v>153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</row>
    <row r="3" spans="1:53" ht="25.65" customHeight="1" x14ac:dyDescent="0.25">
      <c r="A3" s="14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</row>
    <row r="4" spans="1:53" ht="25.65" customHeight="1" x14ac:dyDescent="0.25">
      <c r="A4" s="15"/>
      <c r="B4" s="9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9" t="s">
        <v>10</v>
      </c>
      <c r="K4" s="9" t="s">
        <v>11</v>
      </c>
      <c r="L4" s="9" t="s">
        <v>12</v>
      </c>
      <c r="M4" s="9" t="s">
        <v>13</v>
      </c>
      <c r="N4" s="9" t="s">
        <v>14</v>
      </c>
      <c r="O4" s="9" t="s">
        <v>15</v>
      </c>
      <c r="P4" s="9" t="s">
        <v>16</v>
      </c>
      <c r="Q4" s="9" t="s">
        <v>17</v>
      </c>
      <c r="R4" s="9" t="s">
        <v>18</v>
      </c>
      <c r="S4" s="9" t="s">
        <v>19</v>
      </c>
      <c r="T4" s="9" t="s">
        <v>20</v>
      </c>
      <c r="U4" s="9" t="s">
        <v>21</v>
      </c>
      <c r="V4" s="9" t="s">
        <v>22</v>
      </c>
      <c r="W4" s="9" t="s">
        <v>23</v>
      </c>
      <c r="X4" s="9" t="s">
        <v>24</v>
      </c>
      <c r="Y4" s="9" t="s">
        <v>25</v>
      </c>
      <c r="Z4" s="9" t="s">
        <v>26</v>
      </c>
      <c r="AA4" s="9" t="s">
        <v>27</v>
      </c>
      <c r="AB4" s="9" t="s">
        <v>28</v>
      </c>
      <c r="AC4" s="9" t="s">
        <v>29</v>
      </c>
      <c r="AD4" s="9" t="s">
        <v>30</v>
      </c>
      <c r="AE4" s="9" t="s">
        <v>31</v>
      </c>
      <c r="AF4" s="9" t="s">
        <v>32</v>
      </c>
      <c r="AG4" s="9" t="s">
        <v>33</v>
      </c>
      <c r="AH4" s="9" t="s">
        <v>34</v>
      </c>
      <c r="AI4" s="9" t="s">
        <v>35</v>
      </c>
      <c r="AJ4" s="9" t="s">
        <v>36</v>
      </c>
      <c r="AK4" s="9" t="s">
        <v>37</v>
      </c>
      <c r="AL4" s="9" t="s">
        <v>38</v>
      </c>
      <c r="AM4" s="9" t="s">
        <v>39</v>
      </c>
      <c r="AN4" s="9" t="s">
        <v>40</v>
      </c>
      <c r="AO4" s="9" t="s">
        <v>41</v>
      </c>
      <c r="AP4" s="9" t="s">
        <v>42</v>
      </c>
      <c r="AQ4" s="9" t="s">
        <v>43</v>
      </c>
      <c r="AR4" s="9" t="s">
        <v>44</v>
      </c>
      <c r="AS4" s="9" t="s">
        <v>45</v>
      </c>
      <c r="AT4" s="9" t="s">
        <v>46</v>
      </c>
      <c r="AU4" s="9" t="s">
        <v>47</v>
      </c>
      <c r="AV4" s="9" t="s">
        <v>48</v>
      </c>
      <c r="AW4" s="9" t="s">
        <v>49</v>
      </c>
      <c r="AX4" s="9" t="s">
        <v>50</v>
      </c>
      <c r="AY4" s="9" t="s">
        <v>51</v>
      </c>
      <c r="AZ4" s="9" t="s">
        <v>52</v>
      </c>
      <c r="BA4" s="9" t="s">
        <v>155</v>
      </c>
    </row>
    <row r="5" spans="1:53" ht="25.65" customHeight="1" x14ac:dyDescent="0.25">
      <c r="A5" s="15"/>
      <c r="B5" s="10"/>
      <c r="C5" s="10" t="s">
        <v>55</v>
      </c>
      <c r="D5" s="10" t="s">
        <v>56</v>
      </c>
      <c r="E5" s="10" t="s">
        <v>57</v>
      </c>
      <c r="F5" s="10" t="s">
        <v>53</v>
      </c>
      <c r="G5" s="10" t="s">
        <v>53</v>
      </c>
      <c r="H5" s="10" t="s">
        <v>58</v>
      </c>
      <c r="I5" s="10" t="s">
        <v>53</v>
      </c>
      <c r="J5" s="10" t="s">
        <v>53</v>
      </c>
      <c r="K5" s="10" t="s">
        <v>59</v>
      </c>
      <c r="L5" s="10" t="s">
        <v>53</v>
      </c>
      <c r="M5" s="10" t="s">
        <v>53</v>
      </c>
      <c r="N5" s="10" t="s">
        <v>60</v>
      </c>
      <c r="O5" s="10" t="s">
        <v>53</v>
      </c>
      <c r="P5" s="10" t="s">
        <v>53</v>
      </c>
      <c r="Q5" s="10" t="s">
        <v>61</v>
      </c>
      <c r="R5" s="10" t="s">
        <v>53</v>
      </c>
      <c r="S5" s="10" t="s">
        <v>53</v>
      </c>
      <c r="T5" s="10" t="s">
        <v>62</v>
      </c>
      <c r="U5" s="10" t="s">
        <v>53</v>
      </c>
      <c r="V5" s="10" t="s">
        <v>53</v>
      </c>
      <c r="W5" s="10" t="s">
        <v>63</v>
      </c>
      <c r="X5" s="10" t="s">
        <v>53</v>
      </c>
      <c r="Y5" s="10" t="s">
        <v>53</v>
      </c>
      <c r="Z5" s="10" t="s">
        <v>64</v>
      </c>
      <c r="AA5" s="10" t="s">
        <v>53</v>
      </c>
      <c r="AB5" s="10" t="s">
        <v>53</v>
      </c>
      <c r="AC5" s="10" t="s">
        <v>65</v>
      </c>
      <c r="AD5" s="10" t="s">
        <v>53</v>
      </c>
      <c r="AE5" s="10" t="s">
        <v>53</v>
      </c>
      <c r="AF5" s="10" t="s">
        <v>66</v>
      </c>
      <c r="AG5" s="10" t="s">
        <v>53</v>
      </c>
      <c r="AH5" s="10" t="s">
        <v>53</v>
      </c>
      <c r="AI5" s="10" t="s">
        <v>67</v>
      </c>
      <c r="AJ5" s="10" t="s">
        <v>53</v>
      </c>
      <c r="AK5" s="10" t="s">
        <v>53</v>
      </c>
      <c r="AL5" s="10" t="s">
        <v>68</v>
      </c>
      <c r="AM5" s="10" t="s">
        <v>53</v>
      </c>
      <c r="AN5" s="10" t="s">
        <v>53</v>
      </c>
      <c r="AO5" s="10" t="s">
        <v>69</v>
      </c>
      <c r="AP5" s="10" t="s">
        <v>53</v>
      </c>
      <c r="AQ5" s="10" t="s">
        <v>53</v>
      </c>
      <c r="AR5" s="10" t="s">
        <v>70</v>
      </c>
      <c r="AS5" s="10" t="s">
        <v>53</v>
      </c>
      <c r="AT5" s="10" t="s">
        <v>53</v>
      </c>
      <c r="AU5" s="10" t="s">
        <v>71</v>
      </c>
      <c r="AV5" s="10" t="s">
        <v>53</v>
      </c>
      <c r="AW5" s="10" t="s">
        <v>53</v>
      </c>
      <c r="AX5" s="10" t="s">
        <v>72</v>
      </c>
      <c r="AY5" s="10" t="s">
        <v>53</v>
      </c>
      <c r="AZ5" s="10" t="s">
        <v>53</v>
      </c>
      <c r="BA5" s="10" t="s">
        <v>53</v>
      </c>
    </row>
    <row r="6" spans="1:53" ht="24.75" customHeight="1" x14ac:dyDescent="0.25">
      <c r="A6" s="1" t="s">
        <v>73</v>
      </c>
      <c r="B6" s="2" t="str" cm="1">
        <f t="array" ref="B6">计算得分(INDEX([1]Sheet1!$W:$W, MATCH(A6, [1]Sheet1!$B:$B,0)), 固定数据!B3, 固定数据!C3, 0.5, 0,-10, 0)</f>
        <v>--</v>
      </c>
      <c r="C6" s="2" t="str" cm="1">
        <f t="array" ref="C6">计算得分(INDEX([1]Sheet1!$X:$X, MATCH(A6, [1]Sheet1!$B:$B,0)), 固定数据!D3, 固定数据!E3, 1, 0,-10, 0)</f>
        <v>--</v>
      </c>
      <c r="D6" s="2" t="str" cm="1">
        <f t="array" ref="D6">计算得分(INDEX([1]Sheet1!$Y:$Y, MATCH(A6, [1]Sheet1!$B:$B,0)), 固定数据!F3, 固定数据!G3, 2, 0,-10, 0)</f>
        <v>--</v>
      </c>
      <c r="E6" s="6" t="str" cm="1">
        <f t="array" ref="E6">计算得分(INDEX([1]Sheet1!$C:$C, MATCH(A6, [1]Sheet1!$B:$B,0)), 固定数据!H3, 固定数据!I3, 0.02, 10,0, 1)</f>
        <v>--</v>
      </c>
      <c r="F6" s="2" t="str" cm="1">
        <f t="array" ref="F6">计算得分(INDEX([1]Sheet1!$D:$D, MATCH(A6, [1]Sheet1!$B:$B,0)), 固定数据!J3, 固定数据!K3, 0, 0,0, 0)</f>
        <v>--</v>
      </c>
      <c r="G6" s="2" t="str" cm="1">
        <f t="array" ref="G6">计算得分(INDEX([1]Sheet1!$E:$E, MATCH(A6, [1]Sheet1!$B:$B,0)), 固定数据!L3, 固定数据!M3,  0.3, 3,0, 5)</f>
        <v>--</v>
      </c>
      <c r="H6" s="2" t="str" cm="1">
        <f t="array" ref="H6">计算得分(INDEX([1]Sheet1!$AG:$AG, MATCH(A6, [1]Sheet1!$B:$B,0)), 固定数据!N3, 固定数据!O3, 0.03, 3,0, 3)</f>
        <v>--</v>
      </c>
      <c r="I6" s="2" t="str" cm="1">
        <f t="array" ref="I6">计算得分(INDEX([1]Sheet1!$V:$V, MATCH(A6, [1]Sheet1!$B:$B,0)), 固定数据!P3, 固定数据!Q3, 1, 0,-100, 0)</f>
        <v>--</v>
      </c>
      <c r="J6" s="2" t="str" cm="1">
        <f t="array" ref="J6">计算得分(INDEX([1]Sheet1!$AI:$AI, MATCH(A6, [1]Sheet1!$B:$B,0)), 固定数据!R3, 固定数据!S3, 0.04, 12,0, 3)</f>
        <v>--</v>
      </c>
      <c r="K6" s="2" t="str" cm="1">
        <f t="array" ref="K6">计算得分(INDEX([1]Sheet1!$F:$F, MATCH(A6, [1]Sheet1!$B:$B,0)), 固定数据!T3, 固定数据!U3, 0.02, 3,0, 1)</f>
        <v>--</v>
      </c>
      <c r="L6" s="2" t="str" cm="1">
        <f t="array" ref="L6">计算得分(INDEX([1]Sheet1!$U:$U, MATCH(A6, [1]Sheet1!$B:$B,0)), 固定数据!V3, 固定数据!W3, 0.2, 20,0, 0)</f>
        <v>--</v>
      </c>
      <c r="M6" s="2" t="str" cm="1">
        <f t="array" ref="M6">计算得分(100, 固定数据!X3, 固定数据!Y3, 0, 5,0, 0)</f>
        <v>--</v>
      </c>
      <c r="N6" s="2" t="str" cm="1">
        <f t="array" ref="N6">计算得分(100, 固定数据!Z3, 固定数据!AA3, 0, 5,0, 0)</f>
        <v>--</v>
      </c>
      <c r="O6" s="2" t="str" cm="1">
        <f t="array" ref="O6">计算得分(100, 固定数据!AB3, 固定数据!AC3, 0, 7,0, 0)</f>
        <v>--</v>
      </c>
      <c r="P6" s="2" t="str" cm="1">
        <f t="array" ref="P6">计算得分(INDEX([1]Sheet1!$P:$P, MATCH(A6, [1]Sheet1!$B:$B,0)), 固定数据!AD3, 固定数据!AE3, 0.2, 7,0, 0)</f>
        <v>--</v>
      </c>
      <c r="Q6" s="2" t="str" cm="1">
        <f t="array" ref="Q6">计算得分(INDEX([1]Sheet1!$I:$I, MATCH(A6, [1]Sheet1!$B:$B,0)), 固定数据!AF3, 固定数据!AG3,0.2, IF(固定数据!AF3&lt;&gt;"--",固定数据!AF3,0),2, 5)</f>
        <v>--</v>
      </c>
      <c r="R6" s="2" t="str" cm="1">
        <f t="array" ref="R6">计算得分(INDEX([2]Sheet1!$AL:$AL, MATCH(A6, [2]Sheet1!$A:$A,0)), 固定数据!AH3, 固定数据!AI3, 0.02, 6,6, 1)</f>
        <v>--</v>
      </c>
      <c r="S6" s="2" t="str" cm="1">
        <f t="array" ref="S6">计算得分(INDEX([2]Sheet1!$I:$I, MATCH(A6, [2]Sheet1!$A:$A,0)), 固定数据!AJ3, 固定数据!AK3, 0.005, 6,0, 1)</f>
        <v>--</v>
      </c>
      <c r="T6" s="2" t="str" cm="1">
        <f t="array" ref="T6">计算得分(98, 固定数据!AL3, 固定数据!AM3, 0.03, IF(固定数据!AL3&lt;&gt;"--",固定数据!AL3,0),0, 3)</f>
        <v>--</v>
      </c>
      <c r="U6" s="2" t="str" cm="1">
        <f t="array" ref="U6">计算得分(INDEX([1]Sheet1!$G:$G, MATCH(A6, [1]Sheet1!$B:$B,0)), 固定数据!AN3, 固定数据!AO3, 0.5, 3,0, 0)</f>
        <v>--</v>
      </c>
      <c r="V6" s="2" t="str" cm="1">
        <f t="array" ref="V6">计算得分(INDEX([1]Sheet1!$H:$H, MATCH(A6, [1]Sheet1!$B:$B,0)), 固定数据!AP3, 固定数据!AQ3, 0.4, 5,0, 1)</f>
        <v>--</v>
      </c>
      <c r="W6" s="2" t="str" cm="1">
        <f t="array" ref="W6">计算得分(INDEX([1]Sheet1!$J:$J, MATCH(A6, [1]Sheet1!$B:$B,0)), 固定数据!AR3, 固定数据!AS3, 0.2, 2,2, 4)</f>
        <v>--</v>
      </c>
      <c r="X6" s="2" t="str" cm="1">
        <f t="array" ref="X6">计算得分(INDEX([1]Sheet1!$K:$K, MATCH(A6, [1]Sheet1!$B:$B,0)), 固定数据!AT3, 固定数据!AU3, 0.2, 1.5,1.5, 4)</f>
        <v>--</v>
      </c>
      <c r="Y6" s="2" t="str" cm="1">
        <f t="array" ref="Y6">计算得分(INDEX([1]Sheet1!$AA:$AA, MATCH(A6, [1]Sheet1!$B:$B,0)), 固定数据!AV3, 固定数据!AW3, 0.05, IF(固定数据!AV3&lt;&gt;"--",固定数据!AV3,0),0, 3)</f>
        <v>--</v>
      </c>
      <c r="Z6" s="2" t="str" cm="1">
        <f t="array" ref="Z6">计算得分(INDEX([1]Sheet1!$AB:$AB, MATCH(A6, [1]Sheet1!$B:$B,0)), 固定数据!AX3, 固定数据!AY3, 0.05, IF(固定数据!AX3&lt;&gt;"--",固定数据!AX3,0),0, 3)</f>
        <v>--</v>
      </c>
      <c r="AA6" s="2" t="str" cm="1">
        <f t="array" ref="AA6">计算得分(INDEX([1]Sheet1!$AC:$AC, MATCH(A6, [1]Sheet1!$B:$B,0)), 固定数据!AZ3, 固定数据!BA3, 0.04, IF(固定数据!AZ3&lt;&gt;"--",固定数据!AZ3,0),0, 3)</f>
        <v>--</v>
      </c>
      <c r="AB6" s="2" t="str" cm="1">
        <f t="array" ref="AB6">计算得分(INDEX([1]Sheet1!$AD:$AD, MATCH(A6, [1]Sheet1!$B:$B,0)), 固定数据!BB3, 固定数据!BC3, 0.03, IF(固定数据!BB3&lt;&gt;"--",固定数据!BB3,0),0, 3)</f>
        <v>--</v>
      </c>
      <c r="AC6" s="2" t="str" cm="1">
        <f t="array" ref="AC6">计算得分(INDEX([1]Sheet1!$AE:$AE, MATCH(A6, [1]Sheet1!$B:$B,0)), 固定数据!BD3, 固定数据!BE3, 0.04, IF(固定数据!BD3&lt;&gt;"--",固定数据!BD3,0),0, 3)</f>
        <v>--</v>
      </c>
      <c r="AD6" s="2" t="str" cm="1">
        <f t="array" ref="AD6">计算得分(INDEX([1]Sheet1!$L:$L, MATCH(A6, [1]Sheet1!$B:$B,0)), 固定数据!BF3, 固定数据!BG3, 0.1, 12.5,0, 3)</f>
        <v>--</v>
      </c>
      <c r="AE6" s="2" t="str" cm="1">
        <f t="array" ref="AE6">计算得分(INDEX([1]Sheet1!$N:$N, MATCH(A6, [1]Sheet1!$B:$B,0)), 固定数据!BH3, 固定数据!BI3, 0.2, 7,0, 0)</f>
        <v>--</v>
      </c>
      <c r="AF6" s="2" t="str" cm="1">
        <f t="array" ref="AF6">计算得分(INDEX([1]Sheet1!$Q:$Q, MATCH(A6, [1]Sheet1!$B:$B,0)), 固定数据!BJ3, 固定数据!BK3, 0.2, 7,0, 0)</f>
        <v>--</v>
      </c>
      <c r="AG6" s="2" t="str" cm="1">
        <f t="array" ref="AG6">计算得分(INDEX([1]Sheet1!$S:$S, MATCH(A6, [1]Sheet1!$B:$B,0)), 固定数据!BL3, 固定数据!BM3, 0.2, 20,0, 0)</f>
        <v>--</v>
      </c>
      <c r="AH6" s="6" t="str" cm="1">
        <f t="array" ref="AH6">计算得分(INDEX([1]Sheet1!$AF:$AF, MATCH(A6, [1]Sheet1!$B:$B,0)), 固定数据!BN3, 固定数据!BO3, 0.1, 10,0, 3)</f>
        <v>--</v>
      </c>
      <c r="AI6" s="2" t="str" cm="1">
        <f t="array" ref="AI6">计算得分(INDEX([1]Sheet1!$M:$M, MATCH(A6, [1]Sheet1!$B:$B,0)), 固定数据!BP3, 固定数据!BQ3, 0.2, 20,0, 3)</f>
        <v>--</v>
      </c>
      <c r="AJ6" s="2" t="str" cm="1">
        <f t="array" ref="AJ6">计算得分(INDEX([1]Sheet1!$Z:$Z, MATCH(A6, [1]Sheet1!$B:$B,0)), 固定数据!BR3, 固定数据!BS3, 10, 50,0, 0)</f>
        <v>--</v>
      </c>
      <c r="AK6" s="2" t="str" cm="1">
        <f t="array" ref="AK6">计算得分(INDEX([1]Sheet1!$O:$O, MATCH(A6, [1]Sheet1!$B:$B,0)), 固定数据!BT3, 固定数据!BU3, 0.2, 15,0, 0)</f>
        <v>--</v>
      </c>
      <c r="AL6" s="2" t="str" cm="1">
        <f t="array" ref="AL6">计算得分(INDEX([1]Sheet1!$R:$R, MATCH(A6, [1]Sheet1!$B:$B,0)), 固定数据!BV3, 固定数据!BW3, 0.2, 10,0, 0)</f>
        <v>--</v>
      </c>
      <c r="AM6" s="2" t="str" cm="1">
        <f t="array" ref="AM6">计算得分(INDEX([1]Sheet1!$T:$T, MATCH(A6, [1]Sheet1!$B:$B,0)), 固定数据!BX3, 固定数据!BY3, 0.2, 20,0, 0)</f>
        <v>--</v>
      </c>
      <c r="AN6" s="2" cm="1">
        <f t="array" ref="AN6">计算得分([3]Sheet1!$F$3, 固定数据!BZ3, 固定数据!CA3, 0.5, 15,0, 0)</f>
        <v>104.4</v>
      </c>
      <c r="AO6" s="6" cm="1">
        <f t="array" ref="AO6">计算得分([3]Sheet1!$G$3, 固定数据!CB3, 固定数据!CC3, 0.01, 5,0, 1)</f>
        <v>3675</v>
      </c>
      <c r="AP6" s="6" cm="1">
        <f t="array" ref="AP6">计算得分([3]Sheet1!$H$3, 固定数据!CD3, 固定数据!CE3, 0.001, 5,0, 1)</f>
        <v>18357</v>
      </c>
      <c r="AQ6" s="6" cm="1">
        <f t="array" ref="AQ6">计算得分([3]Sheet1!$D$3,固定数据!CF3,固定数据!CG3,0.05,5,0,3)</f>
        <v>186.8</v>
      </c>
      <c r="AR6" s="6" cm="1">
        <f t="array" ref="AR6">计算得分([3]Sheet1!$E$3,固定数据!CH3,固定数据!CI3,0.1,10,0,3)</f>
        <v>7574.53</v>
      </c>
      <c r="AS6" s="7" t="s">
        <v>74</v>
      </c>
      <c r="AT6" s="6" cm="1">
        <f t="array" ref="AT6">计算得分(INDEX([3]Sheet1!$J:$J, MATCH(A6, [3]Sheet1!$B:$B,0)), 固定数据!CL3, 固定数据!CM3, 2, 0,-10, 0)</f>
        <v>100</v>
      </c>
      <c r="AU6" s="2" cm="1">
        <f t="array" ref="AU6">计算得分(INDEX([3]Sheet1!$K:$K, MATCH(A6, [3]Sheet1!$B:$B,0)), 固定数据!CN3, 固定数据!CO3, 3, 0,-10, 0)</f>
        <v>100</v>
      </c>
      <c r="AV6" s="2" cm="1">
        <f t="array" ref="AV6">计算得分(INDEX([3]Sheet1!$L:$L, MATCH(A6, [3]Sheet1!$B:$B,0)), 固定数据!CP3, 固定数据!CQ3, 3, 0,-10, 0)</f>
        <v>100</v>
      </c>
      <c r="AW6" s="2" cm="1">
        <f t="array" ref="AW6">计算得分(INDEX([3]Sheet1!$M:$M, MATCH(A6, [3]Sheet1!$B:$B,0)), 固定数据!CR3, 固定数据!CS3, 100, 0,-100, 0)</f>
        <v>100</v>
      </c>
      <c r="AX6" s="2" cm="1">
        <f t="array" ref="AX6">计算得分(INDEX([3]Sheet1!$N:$N, MATCH(A6, [3]Sheet1!$B:$B,0)), 固定数据!CT3, 固定数据!CU3, 3, 0,-10, 0)</f>
        <v>100</v>
      </c>
      <c r="AY6" s="7" t="s">
        <v>74</v>
      </c>
      <c r="AZ6" s="7" t="s">
        <v>74</v>
      </c>
      <c r="BA6" s="2">
        <f>IFERROR(VLOOKUP(A6,[4]KPI评分!B:C,2,FALSE)*60%,"--")</f>
        <v>57.24</v>
      </c>
    </row>
    <row r="7" spans="1:53" ht="24.75" customHeight="1" x14ac:dyDescent="0.25">
      <c r="A7" s="3" t="s">
        <v>75</v>
      </c>
      <c r="B7" s="4" cm="1">
        <f t="array" ref="B7">计算得分(INDEX([1]Sheet1!$W:$W, MATCH(A7, [1]Sheet1!$B:$B,0)), 固定数据!B4, 固定数据!C4, 0.5, 0,-10, 0)</f>
        <v>0</v>
      </c>
      <c r="C7" s="4" cm="1">
        <f t="array" ref="C7">计算得分(INDEX([1]Sheet1!$X:$X, MATCH(A7, [1]Sheet1!$B:$B,0)), 固定数据!D4, 固定数据!E4, 1, 0,-10, 0)</f>
        <v>0</v>
      </c>
      <c r="D7" s="4" cm="1">
        <f t="array" ref="D7">计算得分(INDEX([1]Sheet1!$Y:$Y, MATCH(A7, [1]Sheet1!$B:$B,0)), 固定数据!F4, 固定数据!G4, 2, 0,-10, 0)</f>
        <v>0</v>
      </c>
      <c r="E7" s="4" t="str" cm="1">
        <f t="array" ref="E7">计算得分(INDEX([1]Sheet1!$C:$C, MATCH(A7, [1]Sheet1!$B:$B,0)), 固定数据!H4, 固定数据!I4, 0.02, 10,0, 1)</f>
        <v>--</v>
      </c>
      <c r="F7" s="4" t="str" cm="1">
        <f t="array" ref="F7">计算得分(INDEX([1]Sheet1!$D:$D, MATCH(A7, [1]Sheet1!$B:$B,0)), 固定数据!J4, 固定数据!K4, 0, 0,0, 0)</f>
        <v>--</v>
      </c>
      <c r="G7" s="4" cm="1">
        <f t="array" ref="G7">计算得分(INDEX([1]Sheet1!$E:$E, MATCH(A7, [1]Sheet1!$B:$B,0)), 固定数据!L4, 固定数据!M4, 0.3, 3,0, 5)</f>
        <v>35129</v>
      </c>
      <c r="H7" s="4" cm="1">
        <f t="array" ref="H7">计算得分(INDEX([1]Sheet1!$AG:$AG, MATCH(A7, [1]Sheet1!$B:$B,0)), 固定数据!N4, 固定数据!O4, 0.03, 3,0, 3)</f>
        <v>100</v>
      </c>
      <c r="I7" s="4" cm="1">
        <f t="array" ref="I7">计算得分(INDEX([1]Sheet1!$V:$V, MATCH(A7, [1]Sheet1!$B:$B,0)), 固定数据!P4, 固定数据!Q4, 1, 0,-100, 0)</f>
        <v>0</v>
      </c>
      <c r="J7" s="4" t="str" cm="1">
        <f t="array" ref="J7">计算得分(INDEX([1]Sheet1!$AI:$AI, MATCH(A7, [1]Sheet1!$B:$B,0)), 固定数据!R4, 固定数据!S4, 0.04, 12,0, 3)</f>
        <v>--</v>
      </c>
      <c r="K7" s="4" cm="1">
        <f t="array" ref="K7">计算得分(INDEX([1]Sheet1!$F:$F, MATCH(A7, [1]Sheet1!$B:$B,0)), 固定数据!T4, 固定数据!U4, 0.02, 3,0, 1)</f>
        <v>45.67</v>
      </c>
      <c r="L7" s="4" t="str" cm="1">
        <f t="array" ref="L7">计算得分(INDEX([1]Sheet1!$U:$U, MATCH(A7, [1]Sheet1!$B:$B,0)), 固定数据!V4, 固定数据!W4, 0.2, 20,0, 0)</f>
        <v>--</v>
      </c>
      <c r="M7" s="4" t="str" cm="1">
        <f t="array" ref="M7">计算得分(100, 固定数据!X4, 固定数据!Y4, 0, 5,0, 0)</f>
        <v>--</v>
      </c>
      <c r="N7" s="4" t="str" cm="1">
        <f t="array" ref="N7">计算得分(100, 固定数据!Z4, 固定数据!AA4, 0, 5,0, 0)</f>
        <v>--</v>
      </c>
      <c r="O7" s="4" t="str" cm="1">
        <f t="array" ref="O7">计算得分(100, 固定数据!AB4, 固定数据!AC4, 0, 7,0, 0)</f>
        <v>--</v>
      </c>
      <c r="P7" s="4" t="str" cm="1">
        <f t="array" ref="P7">计算得分(INDEX([1]Sheet1!$P:$P, MATCH(A7, [1]Sheet1!$B:$B,0)), 固定数据!AD4, 固定数据!AE4, 0.2, 7,0, 0)</f>
        <v>--</v>
      </c>
      <c r="Q7" s="4" cm="1">
        <f t="array" ref="Q7">计算得分(INDEX([1]Sheet1!$I:$I, MATCH(A7, [1]Sheet1!$B:$B,0)), 固定数据!AF4, 固定数据!AG4,0.2, IF(固定数据!AF4&lt;&gt;"--",固定数据!AF4,0),2, 5)</f>
        <v>283.85000000000002</v>
      </c>
      <c r="R7" s="4" cm="1">
        <f t="array" ref="R7">计算得分(INDEX([2]Sheet1!$AL:$AL, MATCH(A7, [2]Sheet1!$A:$A,0)), 固定数据!AH4, 固定数据!AI4, 0.02, 6,6, 1)</f>
        <v>149</v>
      </c>
      <c r="S7" s="4" cm="1">
        <f t="array" ref="S7">计算得分(INDEX([2]Sheet1!$I:$I, MATCH(A7, [2]Sheet1!$A:$A,0)), 固定数据!AJ4, 固定数据!AK4, 0.005, 6,0, 1)</f>
        <v>370</v>
      </c>
      <c r="T7" s="4" cm="1">
        <f t="array" ref="T7">计算得分(98, 固定数据!AL4, 固定数据!AM4, 0.03, IF(固定数据!AL4&lt;&gt;"--",固定数据!AL4,0),0, 3)</f>
        <v>98</v>
      </c>
      <c r="U7" s="4" cm="1">
        <f t="array" ref="U7">计算得分(INDEX([1]Sheet1!$G:$G, MATCH(A7, [1]Sheet1!$B:$B,0)), 固定数据!AN4, 固定数据!AO4, 0.5, 3,0, 0)</f>
        <v>7.36</v>
      </c>
      <c r="V7" s="4" cm="1">
        <f t="array" ref="V7">计算得分(INDEX([1]Sheet1!$H:$H, MATCH(A7, [1]Sheet1!$B:$B,0)), 固定数据!AP4, 固定数据!AQ4, 0.4, 5,0, 1)</f>
        <v>2.61</v>
      </c>
      <c r="W7" s="4" cm="1">
        <f t="array" ref="W7">计算得分(INDEX([1]Sheet1!$J:$J, MATCH(A7, [1]Sheet1!$B:$B,0)), 固定数据!AR4, 固定数据!AS4, 0.2, 2,2, 4)</f>
        <v>283.85000000000002</v>
      </c>
      <c r="X7" s="4" cm="1">
        <f t="array" ref="X7">计算得分(INDEX([1]Sheet1!$K:$K, MATCH(A7, [1]Sheet1!$B:$B,0)), 固定数据!AT4, 固定数据!AU4, 0.2, 1.5,1.5, 4)</f>
        <v>11394.91</v>
      </c>
      <c r="Y7" s="4" cm="1">
        <f t="array" ref="Y7">计算得分(INDEX([1]Sheet1!$AA:$AA, MATCH(A7, [1]Sheet1!$B:$B,0)), 固定数据!AV4, 固定数据!AW4, 0.05, IF(固定数据!AV4&lt;&gt;"--",固定数据!AV4,0),0, 3)</f>
        <v>92.5</v>
      </c>
      <c r="Z7" s="4" cm="1">
        <f t="array" ref="Z7">计算得分(INDEX([1]Sheet1!$AB:$AB, MATCH(A7, [1]Sheet1!$B:$B,0)), 固定数据!AX4, 固定数据!AY4, 0.05, IF(固定数据!AX4&lt;&gt;"--",固定数据!AX4,0),0, 3)</f>
        <v>96.5</v>
      </c>
      <c r="AA7" s="4" cm="1">
        <f t="array" ref="AA7">计算得分(INDEX([1]Sheet1!$AC:$AC, MATCH(A7, [1]Sheet1!$B:$B,0)), 固定数据!AZ4, 固定数据!BA4, 0.04, IF(固定数据!AZ4&lt;&gt;"--",固定数据!AZ4,0),0, 3)</f>
        <v>94</v>
      </c>
      <c r="AB7" s="4" cm="1">
        <f t="array" ref="AB7">计算得分(INDEX([1]Sheet1!$AD:$AD, MATCH(A7, [1]Sheet1!$B:$B,0)), 固定数据!BB4, 固定数据!BC4, 0.03, IF(固定数据!BB4&lt;&gt;"--",固定数据!BB4,0),0, 3)</f>
        <v>95</v>
      </c>
      <c r="AC7" s="4" cm="1">
        <f t="array" ref="AC7">计算得分(INDEX([1]Sheet1!$AE:$AE, MATCH(A7, [1]Sheet1!$B:$B,0)), 固定数据!BD4, 固定数据!BE4, 0.04, IF(固定数据!BD4&lt;&gt;"--",固定数据!BD4,0),0, 3)</f>
        <v>95.68</v>
      </c>
      <c r="AD7" s="4" cm="1">
        <f t="array" ref="AD7">计算得分(INDEX([1]Sheet1!$L:$L, MATCH(A7, [1]Sheet1!$B:$B,0)), 固定数据!BF4, 固定数据!BG4, 0.1, 12.5,0, 3)</f>
        <v>6685.16</v>
      </c>
      <c r="AE7" s="4" cm="1">
        <f t="array" ref="AE7">计算得分(INDEX([1]Sheet1!$N:$N, MATCH(A7, [1]Sheet1!$B:$B,0)), 固定数据!BH4, 固定数据!BI4, 0.2, 7,0, 0)</f>
        <v>30.37</v>
      </c>
      <c r="AF7" s="4" cm="1">
        <f t="array" ref="AF7">计算得分(INDEX([1]Sheet1!$Q:$Q, MATCH(A7, [1]Sheet1!$B:$B,0)), 固定数据!BJ4, 固定数据!BK4, 0.2, 7,0, 0)</f>
        <v>18.73</v>
      </c>
      <c r="AG7" s="4" cm="1">
        <f t="array" ref="AG7">计算得分(INDEX([1]Sheet1!$S:$S, MATCH(A7, [1]Sheet1!$B:$B,0)), 固定数据!BL4, 固定数据!BM4, 0.2, 20,0, 0)</f>
        <v>87.67</v>
      </c>
      <c r="AH7" s="4" t="str" cm="1">
        <f t="array" ref="AH7">计算得分(INDEX([1]Sheet1!$AF:$AF, MATCH(A7, [1]Sheet1!$B:$B,0)), 固定数据!BN4, 固定数据!BO4, 0.1, 10,0, 3)</f>
        <v>--</v>
      </c>
      <c r="AI7" s="4" t="str" cm="1">
        <f t="array" ref="AI7">计算得分(INDEX([1]Sheet1!$M:$M, MATCH(A7, [1]Sheet1!$B:$B,0)), 固定数据!BP4, 固定数据!BQ4, 0.2, 20,0, 3)</f>
        <v>--</v>
      </c>
      <c r="AJ7" s="4" cm="1">
        <f t="array" ref="AJ7">计算得分(INDEX([1]Sheet1!$Z:$Z, MATCH(A7, [1]Sheet1!$B:$B,0)), 固定数据!BR4, 固定数据!BS4, 10, 50,0, 0)</f>
        <v>0</v>
      </c>
      <c r="AK7" s="4" t="str" cm="1">
        <f t="array" ref="AK7">计算得分(INDEX([1]Sheet1!$O:$O, MATCH(A7, [1]Sheet1!$B:$B,0)), 固定数据!BT4, 固定数据!BU4, 0.2, 15,0, 0)</f>
        <v>--</v>
      </c>
      <c r="AL7" s="4" t="str" cm="1">
        <f t="array" ref="AL7">计算得分(INDEX([1]Sheet1!$R:$R, MATCH(A7, [1]Sheet1!$B:$B,0)), 固定数据!BV4, 固定数据!BW4, 0.2, 10,0, 0)</f>
        <v>--</v>
      </c>
      <c r="AM7" s="4" t="str" cm="1">
        <f t="array" ref="AM7">计算得分(INDEX([1]Sheet1!$T:$T, MATCH(A7, [1]Sheet1!$B:$B,0)), 固定数据!BX4, 固定数据!BY4, 0.2, 20,0, 0)</f>
        <v>--</v>
      </c>
      <c r="AN7" s="4" t="str" cm="1">
        <f t="array" ref="AN7">计算得分([3]Sheet1!$F$3, 固定数据!BZ4, 固定数据!CA4, 0.5, 15,0, 0)</f>
        <v>--</v>
      </c>
      <c r="AO7" s="4" t="str" cm="1">
        <f t="array" ref="AO7">计算得分([3]Sheet1!$G$3, 固定数据!CB4, 固定数据!CC4, 0.01, 5,0, 1)</f>
        <v>--</v>
      </c>
      <c r="AP7" s="4" t="str" cm="1">
        <f t="array" ref="AP7">计算得分([3]Sheet1!$H$3, 固定数据!CD4, 固定数据!CE4, 0.001, 5,0, 1)</f>
        <v>--</v>
      </c>
      <c r="AQ7" s="4" t="str" cm="1">
        <f t="array" ref="AQ7">计算得分([3]Sheet1!$D$3,固定数据!CF4,固定数据!CG4,0.05,5,0,3)</f>
        <v>--</v>
      </c>
      <c r="AR7" s="4" t="str" cm="1">
        <f t="array" ref="AR7">计算得分([3]Sheet1!$E$3,固定数据!CH4,固定数据!CI4,0.1,10,0,3)</f>
        <v>--</v>
      </c>
      <c r="AS7" s="8" t="s">
        <v>74</v>
      </c>
      <c r="AT7" s="4" t="str" cm="1">
        <f t="array" ref="AT7">计算得分(INDEX([3]Sheet1!$J:$J, MATCH(A7, [3]Sheet1!$B:$B,0)), 固定数据!CL4, 固定数据!CM4, 2, 0,-10, 0)</f>
        <v>--</v>
      </c>
      <c r="AU7" s="4" t="str" cm="1">
        <f t="array" ref="AU7">计算得分(INDEX([3]Sheet1!$K:$K, MATCH(A7, [3]Sheet1!$B:$B,0)), 固定数据!CN4, 固定数据!CO4, 3, 0,-10, 0)</f>
        <v>--</v>
      </c>
      <c r="AV7" s="4" t="str" cm="1">
        <f t="array" ref="AV7">计算得分(INDEX([3]Sheet1!$L:$L, MATCH(A7, [3]Sheet1!$B:$B,0)), 固定数据!CP4, 固定数据!CQ4, 3, 0,-10, 0)</f>
        <v>--</v>
      </c>
      <c r="AW7" s="4" t="str" cm="1">
        <f t="array" ref="AW7">计算得分(INDEX([3]Sheet1!$M:$M, MATCH(A7, [3]Sheet1!$B:$B,0)), 固定数据!CR4, 固定数据!CS4, 100, 0,-100, 0)</f>
        <v>--</v>
      </c>
      <c r="AX7" s="4" t="str" cm="1">
        <f t="array" ref="AX7">计算得分(INDEX([3]Sheet1!$N:$N, MATCH(A7, [3]Sheet1!$B:$B,0)), 固定数据!CT4, 固定数据!CU4, 3, 0,-10, 0)</f>
        <v>--</v>
      </c>
      <c r="AY7" s="8" t="s">
        <v>74</v>
      </c>
      <c r="AZ7" s="8" t="s">
        <v>74</v>
      </c>
      <c r="BA7" s="4" t="str">
        <f>IFERROR(VLOOKUP(A7,[4]KPI评分!B:C,2,FALSE)*60%,"--")</f>
        <v>--</v>
      </c>
    </row>
    <row r="8" spans="1:53" ht="24.75" customHeight="1" x14ac:dyDescent="0.25">
      <c r="A8" s="1" t="s">
        <v>76</v>
      </c>
      <c r="B8" s="2" t="str" cm="1">
        <f t="array" ref="B8">计算得分(INDEX([1]Sheet1!$W:$W, MATCH(A8, [1]Sheet1!$B:$B,0)), 固定数据!B5, 固定数据!C5, 0.5, 0,-10, 0)</f>
        <v>--</v>
      </c>
      <c r="C8" s="2" t="str" cm="1">
        <f t="array" ref="C8">计算得分(INDEX([1]Sheet1!$X:$X, MATCH(A8, [1]Sheet1!$B:$B,0)), 固定数据!D5, 固定数据!E5, 1, 0,-10, 0)</f>
        <v>--</v>
      </c>
      <c r="D8" s="2" t="str" cm="1">
        <f t="array" ref="D8">计算得分(INDEX([1]Sheet1!$Y:$Y, MATCH(A8, [1]Sheet1!$B:$B,0)), 固定数据!F5, 固定数据!G5, 2, 0,-10, 0)</f>
        <v>--</v>
      </c>
      <c r="E8" s="6" t="str" cm="1">
        <f t="array" ref="E8">计算得分(INDEX([1]Sheet1!$C:$C, MATCH(A8, [1]Sheet1!$B:$B,0)), 固定数据!H5, 固定数据!I5, 0.02, 10,0, 1)</f>
        <v>--</v>
      </c>
      <c r="F8" s="2" t="str" cm="1">
        <f t="array" ref="F8">计算得分(INDEX([1]Sheet1!$D:$D, MATCH(A8, [1]Sheet1!$B:$B,0)), 固定数据!J5, 固定数据!K5, 0, 0,0, 0)</f>
        <v>--</v>
      </c>
      <c r="G8" s="2" t="str" cm="1">
        <f t="array" ref="G8">计算得分(INDEX([1]Sheet1!$E:$E, MATCH(A8, [1]Sheet1!$B:$B,0)), 固定数据!L5, 固定数据!M5,  0.3, 3,0, 5)</f>
        <v>--</v>
      </c>
      <c r="H8" s="2" t="str" cm="1">
        <f t="array" ref="H8">计算得分(INDEX([1]Sheet1!$AG:$AG, MATCH(A8, [1]Sheet1!$B:$B,0)), 固定数据!N5, 固定数据!O5, 0.03, 3,0, 3)</f>
        <v>--</v>
      </c>
      <c r="I8" s="2" t="str" cm="1">
        <f t="array" ref="I8">计算得分(INDEX([1]Sheet1!$V:$V, MATCH(A8, [1]Sheet1!$B:$B,0)), 固定数据!P5, 固定数据!Q5, 1, 0,-100, 0)</f>
        <v>--</v>
      </c>
      <c r="J8" s="2" t="str" cm="1">
        <f t="array" ref="J8">计算得分(INDEX([1]Sheet1!$AI:$AI, MATCH(A8, [1]Sheet1!$B:$B,0)), 固定数据!R5, 固定数据!S5, 0.04, 12,0, 3)</f>
        <v>--</v>
      </c>
      <c r="K8" s="2" t="str" cm="1">
        <f t="array" ref="K8">计算得分(INDEX([1]Sheet1!$F:$F, MATCH(A8, [1]Sheet1!$B:$B,0)), 固定数据!T5, 固定数据!U5, 0.02, 3,0, 1)</f>
        <v>--</v>
      </c>
      <c r="L8" s="2" t="str" cm="1">
        <f t="array" ref="L8">计算得分(INDEX([1]Sheet1!$U:$U, MATCH(A8, [1]Sheet1!$B:$B,0)), 固定数据!V5, 固定数据!W5, 0.2, 20,0, 0)</f>
        <v>--</v>
      </c>
      <c r="M8" s="2" t="str" cm="1">
        <f t="array" ref="M8">计算得分(100, 固定数据!X5, 固定数据!Y5, 0, 5,0, 0)</f>
        <v>--</v>
      </c>
      <c r="N8" s="2" t="str" cm="1">
        <f t="array" ref="N8">计算得分(100, 固定数据!Z5, 固定数据!AA5, 0, 5,0, 0)</f>
        <v>--</v>
      </c>
      <c r="O8" s="2" t="str" cm="1">
        <f t="array" ref="O8">计算得分(100, 固定数据!AB5, 固定数据!AC5, 0, 7,0, 0)</f>
        <v>--</v>
      </c>
      <c r="P8" s="2" t="str" cm="1">
        <f t="array" ref="P8">计算得分(INDEX([1]Sheet1!$P:$P, MATCH(A8, [1]Sheet1!$B:$B,0)), 固定数据!AD5, 固定数据!AE5, 0.2, 7,0, 0)</f>
        <v>--</v>
      </c>
      <c r="Q8" s="2" t="str" cm="1">
        <f t="array" ref="Q8">计算得分(INDEX([1]Sheet1!$I:$I, MATCH(A8, [1]Sheet1!$B:$B,0)), 固定数据!AF5, 固定数据!AG5,0.2, IF(固定数据!AF5&lt;&gt;"--",固定数据!AF5,0),2, 5)</f>
        <v>--</v>
      </c>
      <c r="R8" s="2" t="str" cm="1">
        <f t="array" ref="R8">计算得分(INDEX([2]Sheet1!$AL:$AL, MATCH(A8, [2]Sheet1!$A:$A,0)), 固定数据!AH5, 固定数据!AI5, 0.02, 6,6, 1)</f>
        <v>--</v>
      </c>
      <c r="S8" s="2" t="str" cm="1">
        <f t="array" ref="S8">计算得分(INDEX([2]Sheet1!$I:$I, MATCH(A8, [2]Sheet1!$A:$A,0)), 固定数据!AJ5, 固定数据!AK5, 0.005, 6,0, 1)</f>
        <v>--</v>
      </c>
      <c r="T8" s="2" t="str" cm="1">
        <f t="array" ref="T8">计算得分(98, 固定数据!AL5, 固定数据!AM5, 0.03, IF(固定数据!AL5&lt;&gt;"--",固定数据!AL5,0),0, 3)</f>
        <v>--</v>
      </c>
      <c r="U8" s="2" t="str" cm="1">
        <f t="array" ref="U8">计算得分(INDEX([1]Sheet1!$G:$G, MATCH(A8, [1]Sheet1!$B:$B,0)), 固定数据!AN5, 固定数据!AO5, 0.5, 3,0, 0)</f>
        <v>--</v>
      </c>
      <c r="V8" s="2" t="str" cm="1">
        <f t="array" ref="V8">计算得分(INDEX([1]Sheet1!$H:$H, MATCH(A8, [1]Sheet1!$B:$B,0)), 固定数据!AP5, 固定数据!AQ5, 0.4, 5,0, 1)</f>
        <v>--</v>
      </c>
      <c r="W8" s="2" t="str" cm="1">
        <f t="array" ref="W8">计算得分(INDEX([1]Sheet1!$J:$J, MATCH(A8, [1]Sheet1!$B:$B,0)), 固定数据!AR5, 固定数据!AS5, 0.2, 2,2, 4)</f>
        <v>--</v>
      </c>
      <c r="X8" s="2" t="str" cm="1">
        <f t="array" ref="X8">计算得分(INDEX([1]Sheet1!$K:$K, MATCH(A8, [1]Sheet1!$B:$B,0)), 固定数据!AT5, 固定数据!AU5, 0.2, 1.5,1.5, 4)</f>
        <v>--</v>
      </c>
      <c r="Y8" s="2" t="str" cm="1">
        <f t="array" ref="Y8">计算得分(INDEX([1]Sheet1!$AA:$AA, MATCH(A8, [1]Sheet1!$B:$B,0)), 固定数据!AV5, 固定数据!AW5, 0.05, IF(固定数据!AV5&lt;&gt;"--",固定数据!AV5,0),0, 3)</f>
        <v>--</v>
      </c>
      <c r="Z8" s="2" t="str" cm="1">
        <f t="array" ref="Z8">计算得分(INDEX([1]Sheet1!$AB:$AB, MATCH(A8, [1]Sheet1!$B:$B,0)), 固定数据!AX5, 固定数据!AY5, 0.05, IF(固定数据!AX5&lt;&gt;"--",固定数据!AX5,0),0, 3)</f>
        <v>--</v>
      </c>
      <c r="AA8" s="2" t="str" cm="1">
        <f t="array" ref="AA8">计算得分(INDEX([1]Sheet1!$AC:$AC, MATCH(A8, [1]Sheet1!$B:$B,0)), 固定数据!AZ5, 固定数据!BA5, 0.04, IF(固定数据!AZ5&lt;&gt;"--",固定数据!AZ5,0),0, 3)</f>
        <v>--</v>
      </c>
      <c r="AB8" s="2" t="str" cm="1">
        <f t="array" ref="AB8">计算得分(INDEX([1]Sheet1!$AD:$AD, MATCH(A8, [1]Sheet1!$B:$B,0)), 固定数据!BB5, 固定数据!BC5, 0.03, IF(固定数据!BB5&lt;&gt;"--",固定数据!BB5,0),0, 3)</f>
        <v>--</v>
      </c>
      <c r="AC8" s="2" t="str" cm="1">
        <f t="array" ref="AC8">计算得分(INDEX([1]Sheet1!$AE:$AE, MATCH(A8, [1]Sheet1!$B:$B,0)), 固定数据!BD5, 固定数据!BE5, 0.04, IF(固定数据!BD5&lt;&gt;"--",固定数据!BD5,0),0, 3)</f>
        <v>--</v>
      </c>
      <c r="AD8" s="2" t="str" cm="1">
        <f t="array" ref="AD8">计算得分(INDEX([1]Sheet1!$L:$L, MATCH(A8, [1]Sheet1!$B:$B,0)), 固定数据!BF5, 固定数据!BG5, 0.1, 12.5,0, 3)</f>
        <v>--</v>
      </c>
      <c r="AE8" s="2" t="str" cm="1">
        <f t="array" ref="AE8">计算得分(INDEX([1]Sheet1!$N:$N, MATCH(A8, [1]Sheet1!$B:$B,0)), 固定数据!BH5, 固定数据!BI5, 0.2, 7,0, 0)</f>
        <v>--</v>
      </c>
      <c r="AF8" s="2" t="str" cm="1">
        <f t="array" ref="AF8">计算得分(INDEX([1]Sheet1!$Q:$Q, MATCH(A8, [1]Sheet1!$B:$B,0)), 固定数据!BJ5, 固定数据!BK5, 0.2, 7,0, 0)</f>
        <v>--</v>
      </c>
      <c r="AG8" s="2" t="str" cm="1">
        <f t="array" ref="AG8">计算得分(INDEX([1]Sheet1!$S:$S, MATCH(A8, [1]Sheet1!$B:$B,0)), 固定数据!BL5, 固定数据!BM5, 0.2, 20,0, 0)</f>
        <v>--</v>
      </c>
      <c r="AH8" s="6" t="str" cm="1">
        <f t="array" ref="AH8">计算得分(INDEX([1]Sheet1!$AF:$AF, MATCH(A8, [1]Sheet1!$B:$B,0)), 固定数据!BN5, 固定数据!BO5, 0.1, 10,0, 3)</f>
        <v>--</v>
      </c>
      <c r="AI8" s="2" t="str" cm="1">
        <f t="array" ref="AI8">计算得分(INDEX([1]Sheet1!$M:$M, MATCH(A8, [1]Sheet1!$B:$B,0)), 固定数据!BP5, 固定数据!BQ5, 0.2, 20,0, 3)</f>
        <v>--</v>
      </c>
      <c r="AJ8" s="2" t="str" cm="1">
        <f t="array" ref="AJ8">计算得分(INDEX([1]Sheet1!$Z:$Z, MATCH(A8, [1]Sheet1!$B:$B,0)), 固定数据!BR5, 固定数据!BS5, 10, 50,0, 0)</f>
        <v>--</v>
      </c>
      <c r="AK8" s="2" t="str" cm="1">
        <f t="array" ref="AK8">计算得分(INDEX([1]Sheet1!$O:$O, MATCH(A8, [1]Sheet1!$B:$B,0)), 固定数据!BT5, 固定数据!BU5, 0.2, 15,0, 0)</f>
        <v>--</v>
      </c>
      <c r="AL8" s="2" t="str" cm="1">
        <f t="array" ref="AL8">计算得分(INDEX([1]Sheet1!$R:$R, MATCH(A8, [1]Sheet1!$B:$B,0)), 固定数据!BV5, 固定数据!BW5, 0.2, 10,0, 0)</f>
        <v>--</v>
      </c>
      <c r="AM8" s="2" t="str" cm="1">
        <f t="array" ref="AM8">计算得分(INDEX([1]Sheet1!$T:$T, MATCH(A8, [1]Sheet1!$B:$B,0)), 固定数据!BX5, 固定数据!BY5, 0.2, 20,0, 0)</f>
        <v>--</v>
      </c>
      <c r="AN8" s="2" t="str" cm="1">
        <f t="array" ref="AN8">计算得分([3]Sheet1!$F$3, 固定数据!BZ5, 固定数据!CA5, 0.5, 15,0, 0)</f>
        <v>--</v>
      </c>
      <c r="AO8" s="6" t="str" cm="1">
        <f t="array" ref="AO8">计算得分([3]Sheet1!$G$3, 固定数据!CB5, 固定数据!CC5, 0.01, 5,0, 1)</f>
        <v>--</v>
      </c>
      <c r="AP8" s="6" t="str" cm="1">
        <f t="array" ref="AP8">计算得分([3]Sheet1!$H$3, 固定数据!CD5, 固定数据!CE5, 0.001, 5,0, 1)</f>
        <v>--</v>
      </c>
      <c r="AQ8" s="6" t="str" cm="1">
        <f t="array" ref="AQ8">计算得分([3]Sheet1!$D$3,固定数据!CF5,固定数据!CG5,0.05,5,0,3)</f>
        <v>--</v>
      </c>
      <c r="AR8" s="6" t="str" cm="1">
        <f t="array" ref="AR8">计算得分([3]Sheet1!$E$3,固定数据!CH5,固定数据!CI5,0.1,10,0,3)</f>
        <v>--</v>
      </c>
      <c r="AS8" s="7" t="s">
        <v>74</v>
      </c>
      <c r="AT8" s="6" t="str" cm="1">
        <f t="array" ref="AT8">计算得分(INDEX([3]Sheet1!$J:$J, MATCH(A8, [3]Sheet1!$B:$B,0)), 固定数据!CL5, 固定数据!CM5, 2, 0,-10, 0)</f>
        <v>--</v>
      </c>
      <c r="AU8" s="2" t="str" cm="1">
        <f t="array" ref="AU8">计算得分(INDEX([3]Sheet1!$K:$K, MATCH(A8, [3]Sheet1!$B:$B,0)), 固定数据!CN5, 固定数据!CO5, 3, 0,-10, 0)</f>
        <v>--</v>
      </c>
      <c r="AV8" s="2" t="str" cm="1">
        <f t="array" ref="AV8">计算得分(INDEX([3]Sheet1!$L:$L, MATCH(A8, [3]Sheet1!$B:$B,0)), 固定数据!CP5, 固定数据!CQ5, 3, 0,-10, 0)</f>
        <v>--</v>
      </c>
      <c r="AW8" s="2" t="str" cm="1">
        <f t="array" ref="AW8">计算得分(INDEX([3]Sheet1!$M:$M, MATCH(A8, [3]Sheet1!$B:$B,0)), 固定数据!CR5, 固定数据!CS5, 100, 0,-100, 0)</f>
        <v>--</v>
      </c>
      <c r="AX8" s="2" t="str" cm="1">
        <f t="array" ref="AX8">计算得分(INDEX([3]Sheet1!$N:$N, MATCH(A8, [3]Sheet1!$B:$B,0)), 固定数据!CT5, 固定数据!CU5, 3, 0,-10, 0)</f>
        <v>--</v>
      </c>
      <c r="AY8" s="7" t="s">
        <v>74</v>
      </c>
      <c r="AZ8" s="7" t="s">
        <v>74</v>
      </c>
      <c r="BA8" s="2" t="str">
        <f>IFERROR(VLOOKUP(A8,[4]KPI评分!B:C,2,FALSE)*60%,"--")</f>
        <v>--</v>
      </c>
    </row>
    <row r="9" spans="1:53" ht="24.6" customHeight="1" x14ac:dyDescent="0.25">
      <c r="A9" s="3" t="s">
        <v>77</v>
      </c>
      <c r="B9" s="4" cm="1">
        <f t="array" ref="B9">计算得分(INDEX([1]Sheet1!$W:$W, MATCH(A9, [1]Sheet1!$B:$B,0)), 固定数据!B6, 固定数据!C6, 0.5, 0,-10, 0)</f>
        <v>0</v>
      </c>
      <c r="C9" s="4" cm="1">
        <f t="array" ref="C9">计算得分(INDEX([1]Sheet1!$X:$X, MATCH(A9, [1]Sheet1!$B:$B,0)), 固定数据!D6, 固定数据!E6, 1, 0,-10, 0)</f>
        <v>0</v>
      </c>
      <c r="D9" s="4" t="str" cm="1">
        <f t="array" ref="D9">计算得分(INDEX([1]Sheet1!$Y:$Y, MATCH(A9, [1]Sheet1!$B:$B,0)), 固定数据!F6, 固定数据!G6, 2, 0,-10, 0)</f>
        <v>--</v>
      </c>
      <c r="E9" s="4" t="str" cm="1">
        <f t="array" ref="E9">计算得分(INDEX([1]Sheet1!$C:$C, MATCH(A9, [1]Sheet1!$B:$B,0)), 固定数据!H6, 固定数据!I6, 0.02, 10,0, 1)</f>
        <v>--</v>
      </c>
      <c r="F9" s="4" t="str" cm="1">
        <f t="array" ref="F9">计算得分(INDEX([1]Sheet1!$D:$D, MATCH(A9, [1]Sheet1!$B:$B,0)), 固定数据!J6, 固定数据!K6, 0, 0,0, 0)</f>
        <v>--</v>
      </c>
      <c r="G9" s="4" t="str" cm="1">
        <f t="array" ref="G9">计算得分(INDEX([1]Sheet1!$E:$E, MATCH(A9, [1]Sheet1!$B:$B,0)), 固定数据!L6, 固定数据!M6, 0.3, 3,0, 5)</f>
        <v>--</v>
      </c>
      <c r="H9" s="4" t="str" cm="1">
        <f t="array" ref="H9">计算得分(INDEX([1]Sheet1!$AG:$AG, MATCH(A9, [1]Sheet1!$B:$B,0)), 固定数据!N6, 固定数据!O6, 0.03, 3,0, 3)</f>
        <v>--</v>
      </c>
      <c r="I9" s="4" cm="1">
        <f t="array" ref="I9">计算得分(INDEX([1]Sheet1!$V:$V, MATCH(A9, [1]Sheet1!$B:$B,0)), 固定数据!P6, 固定数据!Q6, 1, 0,-100, 0)</f>
        <v>0</v>
      </c>
      <c r="J9" s="4" cm="1">
        <f t="array" ref="J9">计算得分(INDEX([1]Sheet1!$AI:$AI, MATCH(A9, [1]Sheet1!$B:$B,0)), 固定数据!R6, 固定数据!S6, 0.04, 12,0, 3)</f>
        <v>100</v>
      </c>
      <c r="K9" s="4" t="str" cm="1">
        <f t="array" ref="K9">计算得分(INDEX([1]Sheet1!$F:$F, MATCH(A9, [1]Sheet1!$B:$B,0)), 固定数据!T6, 固定数据!U6, 0.02, 3,0, 1)</f>
        <v>--</v>
      </c>
      <c r="L9" s="4" t="str" cm="1">
        <f t="array" ref="L9">计算得分(INDEX([1]Sheet1!$U:$U, MATCH(A9, [1]Sheet1!$B:$B,0)), 固定数据!V6, 固定数据!W6, 0.2, 20,0, 0)</f>
        <v>--</v>
      </c>
      <c r="M9" s="4" cm="1">
        <f t="array" ref="M9">计算得分(100, 固定数据!X6, 固定数据!Y6, 0, 5,0, 0)</f>
        <v>100</v>
      </c>
      <c r="N9" s="4" t="str" cm="1">
        <f t="array" ref="N9">计算得分(100, 固定数据!Z6, 固定数据!AA6, 0, 5,0, 0)</f>
        <v>--</v>
      </c>
      <c r="O9" s="4" t="str" cm="1">
        <f t="array" ref="O9">计算得分(100, 固定数据!AB6, 固定数据!AC6, 0, 7,0, 0)</f>
        <v>--</v>
      </c>
      <c r="P9" s="4" t="str" cm="1">
        <f t="array" ref="P9">计算得分(INDEX([1]Sheet1!$P:$P, MATCH(A9, [1]Sheet1!$B:$B,0)), 固定数据!AD6, 固定数据!AE6, 0.2, 7,0, 0)</f>
        <v>--</v>
      </c>
      <c r="Q9" s="4" t="str" cm="1">
        <f t="array" ref="Q9">计算得分(INDEX([1]Sheet1!$I:$I, MATCH(A9, [1]Sheet1!$B:$B,0)), 固定数据!AF6, 固定数据!AG6,0.2, IF(固定数据!AF6&lt;&gt;"--",固定数据!AF6,0),2, 5)</f>
        <v>--</v>
      </c>
      <c r="R9" s="4" t="str" cm="1">
        <f t="array" ref="R9">计算得分(INDEX([2]Sheet1!$AL:$AL, MATCH(A9, [2]Sheet1!$A:$A,0)), 固定数据!AH6, 固定数据!AI6, 0.02, 6,6, 1)</f>
        <v>--</v>
      </c>
      <c r="S9" s="4" t="str" cm="1">
        <f t="array" ref="S9">计算得分(INDEX([2]Sheet1!$I:$I, MATCH(A9, [2]Sheet1!$A:$A,0)), 固定数据!AJ6, 固定数据!AK6, 0.005, 6,0, 1)</f>
        <v>--</v>
      </c>
      <c r="T9" s="4" cm="1">
        <f t="array" ref="T9">计算得分(98, 固定数据!AL6, 固定数据!AM6, 0.03, IF(固定数据!AL6&lt;&gt;"--",固定数据!AL6,0),0, 3)</f>
        <v>98</v>
      </c>
      <c r="U9" s="4" t="str" cm="1">
        <f t="array" ref="U9">计算得分(INDEX([1]Sheet1!$G:$G, MATCH(A9, [1]Sheet1!$B:$B,0)), 固定数据!AN6, 固定数据!AO6, 0.5, 3,0, 0)</f>
        <v>--</v>
      </c>
      <c r="V9" s="4" t="str" cm="1">
        <f t="array" ref="V9">计算得分(INDEX([1]Sheet1!$H:$H, MATCH(A9, [1]Sheet1!$B:$B,0)), 固定数据!AP6, 固定数据!AQ6, 0.4, 5,0, 1)</f>
        <v>--</v>
      </c>
      <c r="W9" s="4" t="str" cm="1">
        <f t="array" ref="W9">计算得分(INDEX([1]Sheet1!$J:$J, MATCH(A9, [1]Sheet1!$B:$B,0)), 固定数据!AR6, 固定数据!AS6, 0.2, 2,2, 4)</f>
        <v>--</v>
      </c>
      <c r="X9" s="4" t="str" cm="1">
        <f t="array" ref="X9">计算得分(INDEX([1]Sheet1!$K:$K, MATCH(A9, [1]Sheet1!$B:$B,0)), 固定数据!AT6, 固定数据!AU6, 0.2, 1.5,1.5, 4)</f>
        <v>--</v>
      </c>
      <c r="Y9" s="4" cm="1">
        <f t="array" ref="Y9">计算得分(INDEX([1]Sheet1!$AA:$AA, MATCH(A9, [1]Sheet1!$B:$B,0)), 固定数据!AV6, 固定数据!AW6, 0.05, IF(固定数据!AV6&lt;&gt;"--",固定数据!AV6,0),0, 3)</f>
        <v>95</v>
      </c>
      <c r="Z9" s="4" t="str" cm="1">
        <f t="array" ref="Z9">计算得分(INDEX([1]Sheet1!$AB:$AB, MATCH(A9, [1]Sheet1!$B:$B,0)), 固定数据!AX6, 固定数据!AY6, 0.05, IF(固定数据!AX6&lt;&gt;"--",固定数据!AX6,0),0, 3)</f>
        <v>--</v>
      </c>
      <c r="AA9" s="4" t="str" cm="1">
        <f t="array" ref="AA9">计算得分(INDEX([1]Sheet1!$AC:$AC, MATCH(A9, [1]Sheet1!$B:$B,0)), 固定数据!AZ6, 固定数据!BA6, 0.04, IF(固定数据!AZ6&lt;&gt;"--",固定数据!AZ6,0),0, 3)</f>
        <v>--</v>
      </c>
      <c r="AB9" s="4" cm="1">
        <f t="array" ref="AB9">计算得分(INDEX([1]Sheet1!$AD:$AD, MATCH(A9, [1]Sheet1!$B:$B,0)), 固定数据!BB6, 固定数据!BC6, 0.03, IF(固定数据!BB6&lt;&gt;"--",固定数据!BB6,0),0, 3)</f>
        <v>98.1</v>
      </c>
      <c r="AC9" s="4" cm="1">
        <f t="array" ref="AC9">计算得分(INDEX([1]Sheet1!$AE:$AE, MATCH(A9, [1]Sheet1!$B:$B,0)), 固定数据!BD6, 固定数据!BE6, 0.04, IF(固定数据!BD6&lt;&gt;"--",固定数据!BD6,0),0, 3)</f>
        <v>95</v>
      </c>
      <c r="AD9" s="4" t="str" cm="1">
        <f t="array" ref="AD9">计算得分(INDEX([1]Sheet1!$L:$L, MATCH(A9, [1]Sheet1!$B:$B,0)), 固定数据!BF6, 固定数据!BG6, 0.1, 12.5,0, 3)</f>
        <v>--</v>
      </c>
      <c r="AE9" s="4" t="str" cm="1">
        <f t="array" ref="AE9">计算得分(INDEX([1]Sheet1!$N:$N, MATCH(A9, [1]Sheet1!$B:$B,0)), 固定数据!BH6, 固定数据!BI6, 0.2, 7,0, 0)</f>
        <v>--</v>
      </c>
      <c r="AF9" s="4" t="str" cm="1">
        <f t="array" ref="AF9">计算得分(INDEX([1]Sheet1!$Q:$Q, MATCH(A9, [1]Sheet1!$B:$B,0)), 固定数据!BJ6, 固定数据!BK6, 0.2, 7,0, 0)</f>
        <v>--</v>
      </c>
      <c r="AG9" s="4" t="str" cm="1">
        <f t="array" ref="AG9">计算得分(INDEX([1]Sheet1!$S:$S, MATCH(A9, [1]Sheet1!$B:$B,0)), 固定数据!BL6, 固定数据!BM6, 0.2, 20,0, 0)</f>
        <v>--</v>
      </c>
      <c r="AH9" s="4" cm="1">
        <f t="array" ref="AH9">计算得分(INDEX([1]Sheet1!$AF:$AF, MATCH(A9, [1]Sheet1!$B:$B,0)), 固定数据!BN6, 固定数据!BO6, 0.1, 10,0, 3)</f>
        <v>95</v>
      </c>
      <c r="AI9" s="4" cm="1">
        <f t="array" ref="AI9">计算得分(INDEX([1]Sheet1!$M:$M, MATCH(A9, [1]Sheet1!$B:$B,0)), 固定数据!BP6, 固定数据!BQ6, 0.2, 20,0, 3)</f>
        <v>213.2</v>
      </c>
      <c r="AJ9" s="4" cm="1">
        <f t="array" ref="AJ9">计算得分(INDEX([1]Sheet1!$Z:$Z, MATCH(A9, [1]Sheet1!$B:$B,0)), 固定数据!BR6, 固定数据!BS6, 10, 50,0, 0)</f>
        <v>0</v>
      </c>
      <c r="AK9" s="4" cm="1">
        <f t="array" ref="AK9">计算得分(INDEX([1]Sheet1!$O:$O, MATCH(A9, [1]Sheet1!$B:$B,0)), 固定数据!BT6, 固定数据!BU6, 0.2, 15,0, 0)</f>
        <v>19.239999999999998</v>
      </c>
      <c r="AL9" s="4" t="str" cm="1">
        <f t="array" ref="AL9">计算得分(INDEX([1]Sheet1!$R:$R, MATCH(A9, [1]Sheet1!$B:$B,0)), 固定数据!BV6, 固定数据!BW6, 0.2, 10,0, 0)</f>
        <v>--</v>
      </c>
      <c r="AM9" s="4" cm="1">
        <f t="array" ref="AM9">计算得分(INDEX([1]Sheet1!$T:$T, MATCH(A9, [1]Sheet1!$B:$B,0)), 固定数据!BX6, 固定数据!BY6, 0.2, 15,0, 0)</f>
        <v>76.12</v>
      </c>
      <c r="AN9" s="4" t="str" cm="1">
        <f t="array" ref="AN9">计算得分([3]Sheet1!$F$3, 固定数据!BZ6, 固定数据!CA6, 0.5, 15,0, 0)</f>
        <v>--</v>
      </c>
      <c r="AO9" s="4" t="str" cm="1">
        <f t="array" ref="AO9">计算得分([3]Sheet1!$G$3, 固定数据!CB6, 固定数据!CC6, 0.01, 5,0, 1)</f>
        <v>--</v>
      </c>
      <c r="AP9" s="4" t="str" cm="1">
        <f t="array" ref="AP9">计算得分([3]Sheet1!$H$3, 固定数据!CD6, 固定数据!CE6, 0.001, 5,0, 1)</f>
        <v>--</v>
      </c>
      <c r="AQ9" s="4" t="str" cm="1">
        <f t="array" ref="AQ9">计算得分([3]Sheet1!$D$3,固定数据!CF6,固定数据!CG6,0.05,5,0,3)</f>
        <v>--</v>
      </c>
      <c r="AR9" s="4" t="str" cm="1">
        <f t="array" ref="AR9">计算得分([3]Sheet1!$E$3,固定数据!CH6,固定数据!CI6,0.1,10,0,3)</f>
        <v>--</v>
      </c>
      <c r="AS9" s="8" t="s">
        <v>74</v>
      </c>
      <c r="AT9" s="4" t="str" cm="1">
        <f t="array" ref="AT9">计算得分(INDEX([3]Sheet1!$J:$J, MATCH(A9, [3]Sheet1!$B:$B,0)), 固定数据!CL6, 固定数据!CM6, 2, 0,-10, 0)</f>
        <v>--</v>
      </c>
      <c r="AU9" s="4" t="str" cm="1">
        <f t="array" ref="AU9">计算得分(INDEX([3]Sheet1!$K:$K, MATCH(A9, [3]Sheet1!$B:$B,0)), 固定数据!CN6, 固定数据!CO6, 3, 0,-10, 0)</f>
        <v>--</v>
      </c>
      <c r="AV9" s="4" t="str" cm="1">
        <f t="array" ref="AV9">计算得分(INDEX([3]Sheet1!$L:$L, MATCH(A9, [3]Sheet1!$B:$B,0)), 固定数据!CP6, 固定数据!CQ6, 3, 0,-10, 0)</f>
        <v>--</v>
      </c>
      <c r="AW9" s="4" t="str" cm="1">
        <f t="array" ref="AW9">计算得分(INDEX([3]Sheet1!$M:$M, MATCH(A9, [3]Sheet1!$B:$B,0)), 固定数据!CR6, 固定数据!CS6, 100, 0,-100, 0)</f>
        <v>--</v>
      </c>
      <c r="AX9" s="4" t="str" cm="1">
        <f t="array" ref="AX9">计算得分(INDEX([3]Sheet1!$N:$N, MATCH(A9, [3]Sheet1!$B:$B,0)), 固定数据!CT6, 固定数据!CU6, 3, 0,-10, 0)</f>
        <v>--</v>
      </c>
      <c r="AY9" s="8" t="s">
        <v>74</v>
      </c>
      <c r="AZ9" s="8" t="s">
        <v>74</v>
      </c>
      <c r="BA9" s="4" t="str">
        <f>IFERROR(VLOOKUP(A9,[4]KPI评分!B:C,2,FALSE)*60%,"--")</f>
        <v>--</v>
      </c>
    </row>
    <row r="10" spans="1:53" ht="24.75" customHeight="1" x14ac:dyDescent="0.25">
      <c r="A10" s="1" t="s">
        <v>78</v>
      </c>
      <c r="B10" s="2" t="str" cm="1">
        <f t="array" ref="B10">计算得分(INDEX([1]Sheet1!$W:$W, MATCH(A10, [1]Sheet1!$B:$B,0)), 固定数据!B7, 固定数据!C7, 0.5, 0,-10, 0)</f>
        <v>--</v>
      </c>
      <c r="C10" s="2" t="str" cm="1">
        <f t="array" ref="C10">计算得分(INDEX([1]Sheet1!$X:$X, MATCH(A10, [1]Sheet1!$B:$B,0)), 固定数据!D7, 固定数据!E7, 1, 0,-10, 0)</f>
        <v>--</v>
      </c>
      <c r="D10" s="2" t="str" cm="1">
        <f t="array" ref="D10">计算得分(INDEX([1]Sheet1!$Y:$Y, MATCH(A10, [1]Sheet1!$B:$B,0)), 固定数据!F7, 固定数据!G7, 2, 0,-10, 0)</f>
        <v>--</v>
      </c>
      <c r="E10" s="6" t="str" cm="1">
        <f t="array" ref="E10">计算得分(INDEX([1]Sheet1!$C:$C, MATCH(A10, [1]Sheet1!$B:$B,0)), 固定数据!H7, 固定数据!I7, 0.02, 10,0, 1)</f>
        <v>--</v>
      </c>
      <c r="F10" s="2" t="str" cm="1">
        <f t="array" ref="F10">计算得分(INDEX([1]Sheet1!$D:$D, MATCH(A10, [1]Sheet1!$B:$B,0)), 固定数据!J7, 固定数据!K7, 0, 0,0, 0)</f>
        <v>--</v>
      </c>
      <c r="G10" s="2" t="str" cm="1">
        <f t="array" ref="G10">计算得分(INDEX([1]Sheet1!$E:$E, MATCH(A10, [1]Sheet1!$B:$B,0)), 固定数据!L7, 固定数据!M7,  0.3, 3,0, 5)</f>
        <v>--</v>
      </c>
      <c r="H10" s="2" t="str" cm="1">
        <f t="array" ref="H10">计算得分(INDEX([1]Sheet1!$AG:$AG, MATCH(A10, [1]Sheet1!$B:$B,0)), 固定数据!N7, 固定数据!O7, 0.03, 3,0, 3)</f>
        <v>--</v>
      </c>
      <c r="I10" s="2" t="str" cm="1">
        <f t="array" ref="I10">计算得分(INDEX([1]Sheet1!$V:$V, MATCH(A10, [1]Sheet1!$B:$B,0)), 固定数据!P7, 固定数据!Q7, 1, 0,-100, 0)</f>
        <v>--</v>
      </c>
      <c r="J10" s="2" t="str" cm="1">
        <f t="array" ref="J10">计算得分(INDEX([1]Sheet1!$AI:$AI, MATCH(A10, [1]Sheet1!$B:$B,0)), 固定数据!R7, 固定数据!S7, 0.04, 12,0, 3)</f>
        <v>--</v>
      </c>
      <c r="K10" s="2" t="str" cm="1">
        <f t="array" ref="K10">计算得分(INDEX([1]Sheet1!$F:$F, MATCH(A10, [1]Sheet1!$B:$B,0)), 固定数据!T7, 固定数据!U7, 0.02, 3,0, 1)</f>
        <v>--</v>
      </c>
      <c r="L10" s="2" t="str" cm="1">
        <f t="array" ref="L10">计算得分(INDEX([1]Sheet1!$U:$U, MATCH(A10, [1]Sheet1!$B:$B,0)), 固定数据!V7, 固定数据!W7, 0.2, 20,0, 0)</f>
        <v>--</v>
      </c>
      <c r="M10" s="2" t="str" cm="1">
        <f t="array" ref="M10">计算得分(100, 固定数据!X7, 固定数据!Y7, 0, 5,0, 0)</f>
        <v>--</v>
      </c>
      <c r="N10" s="2" t="str" cm="1">
        <f t="array" ref="N10">计算得分(100, 固定数据!Z7, 固定数据!AA7, 0, 5,0, 0)</f>
        <v>--</v>
      </c>
      <c r="O10" s="2" t="str" cm="1">
        <f t="array" ref="O10">计算得分(100, 固定数据!AB7, 固定数据!AC7, 0, 7,0, 0)</f>
        <v>--</v>
      </c>
      <c r="P10" s="2" t="str" cm="1">
        <f t="array" ref="P10">计算得分(INDEX([1]Sheet1!$P:$P, MATCH(A10, [1]Sheet1!$B:$B,0)), 固定数据!AD7, 固定数据!AE7, 0.2, 7,0, 0)</f>
        <v>--</v>
      </c>
      <c r="Q10" s="2" t="str" cm="1">
        <f t="array" ref="Q10">计算得分(INDEX([1]Sheet1!$I:$I, MATCH(A10, [1]Sheet1!$B:$B,0)), 固定数据!AF7, 固定数据!AG7,0.2, IF(固定数据!AF7&lt;&gt;"--",固定数据!AF7,0),2, 5)</f>
        <v>--</v>
      </c>
      <c r="R10" s="2" t="str" cm="1">
        <f t="array" ref="R10">计算得分(INDEX([2]Sheet1!$AL:$AL, MATCH(A10, [2]Sheet1!$A:$A,0)), 固定数据!AH7, 固定数据!AI7, 0.02, 6,6, 1)</f>
        <v>--</v>
      </c>
      <c r="S10" s="2" t="str" cm="1">
        <f t="array" ref="S10">计算得分(INDEX([2]Sheet1!$I:$I, MATCH(A10, [2]Sheet1!$A:$A,0)), 固定数据!AJ7, 固定数据!AK7, 0.005, 6,0, 1)</f>
        <v>--</v>
      </c>
      <c r="T10" s="2" t="str" cm="1">
        <f t="array" ref="T10">计算得分(98, 固定数据!AL7, 固定数据!AM7, 0.03, IF(固定数据!AL7&lt;&gt;"--",固定数据!AL7,0),0, 3)</f>
        <v>--</v>
      </c>
      <c r="U10" s="2" t="str" cm="1">
        <f t="array" ref="U10">计算得分(INDEX([1]Sheet1!$G:$G, MATCH(A10, [1]Sheet1!$B:$B,0)), 固定数据!AN7, 固定数据!AO7, 0.5, 3,0, 0)</f>
        <v>--</v>
      </c>
      <c r="V10" s="2" t="str" cm="1">
        <f t="array" ref="V10">计算得分(INDEX([1]Sheet1!$H:$H, MATCH(A10, [1]Sheet1!$B:$B,0)), 固定数据!AP7, 固定数据!AQ7, 0.4, 5,0, 1)</f>
        <v>--</v>
      </c>
      <c r="W10" s="2" t="str" cm="1">
        <f t="array" ref="W10">计算得分(INDEX([1]Sheet1!$J:$J, MATCH(A10, [1]Sheet1!$B:$B,0)), 固定数据!AR7, 固定数据!AS7, 0.2, 2,2, 4)</f>
        <v>--</v>
      </c>
      <c r="X10" s="2" t="str" cm="1">
        <f t="array" ref="X10">计算得分(INDEX([1]Sheet1!$K:$K, MATCH(A10, [1]Sheet1!$B:$B,0)), 固定数据!AT7, 固定数据!AU7, 0.2, 1.5,1.5, 4)</f>
        <v>--</v>
      </c>
      <c r="Y10" s="2" t="str" cm="1">
        <f t="array" ref="Y10">计算得分(INDEX([1]Sheet1!$AA:$AA, MATCH(A10, [1]Sheet1!$B:$B,0)), 固定数据!AV7, 固定数据!AW7, 0.05, IF(固定数据!AV7&lt;&gt;"--",固定数据!AV7,0),0, 3)</f>
        <v>--</v>
      </c>
      <c r="Z10" s="2" t="str" cm="1">
        <f t="array" ref="Z10">计算得分(INDEX([1]Sheet1!$AB:$AB, MATCH(A10, [1]Sheet1!$B:$B,0)), 固定数据!AX7, 固定数据!AY7, 0.05, IF(固定数据!AX7&lt;&gt;"--",固定数据!AX7,0),0, 3)</f>
        <v>--</v>
      </c>
      <c r="AA10" s="2" t="str" cm="1">
        <f t="array" ref="AA10">计算得分(INDEX([1]Sheet1!$AC:$AC, MATCH(A10, [1]Sheet1!$B:$B,0)), 固定数据!AZ7, 固定数据!BA7, 0.04, IF(固定数据!AZ7&lt;&gt;"--",固定数据!AZ7,0),0, 3)</f>
        <v>--</v>
      </c>
      <c r="AB10" s="2" t="str" cm="1">
        <f t="array" ref="AB10">计算得分(INDEX([1]Sheet1!$AD:$AD, MATCH(A10, [1]Sheet1!$B:$B,0)), 固定数据!BB7, 固定数据!BC7, 0.03, IF(固定数据!BB7&lt;&gt;"--",固定数据!BB7,0),0, 3)</f>
        <v>--</v>
      </c>
      <c r="AC10" s="2" t="str" cm="1">
        <f t="array" ref="AC10">计算得分(INDEX([1]Sheet1!$AE:$AE, MATCH(A10, [1]Sheet1!$B:$B,0)), 固定数据!BD7, 固定数据!BE7, 0.04, IF(固定数据!BD7&lt;&gt;"--",固定数据!BD7,0),0, 3)</f>
        <v>--</v>
      </c>
      <c r="AD10" s="2" t="str" cm="1">
        <f t="array" ref="AD10">计算得分(INDEX([1]Sheet1!$L:$L, MATCH(A10, [1]Sheet1!$B:$B,0)), 固定数据!BF7, 固定数据!BG7, 0.1, 12.5,0, 3)</f>
        <v>--</v>
      </c>
      <c r="AE10" s="2" t="str" cm="1">
        <f t="array" ref="AE10">计算得分(INDEX([1]Sheet1!$N:$N, MATCH(A10, [1]Sheet1!$B:$B,0)), 固定数据!BH7, 固定数据!BI7, 0.2, 7,0, 0)</f>
        <v>--</v>
      </c>
      <c r="AF10" s="2" t="str" cm="1">
        <f t="array" ref="AF10">计算得分(INDEX([1]Sheet1!$Q:$Q, MATCH(A10, [1]Sheet1!$B:$B,0)), 固定数据!BJ7, 固定数据!BK7, 0.2, 7,0, 0)</f>
        <v>--</v>
      </c>
      <c r="AG10" s="2" t="str" cm="1">
        <f t="array" ref="AG10">计算得分(INDEX([1]Sheet1!$S:$S, MATCH(A10, [1]Sheet1!$B:$B,0)), 固定数据!BL7, 固定数据!BM7, 0.2, 20,0, 0)</f>
        <v>--</v>
      </c>
      <c r="AH10" s="6" t="str" cm="1">
        <f t="array" ref="AH10">计算得分(INDEX([1]Sheet1!$AF:$AF, MATCH(A10, [1]Sheet1!$B:$B,0)), 固定数据!BN7, 固定数据!BO7, 0.1, 10,0, 3)</f>
        <v>--</v>
      </c>
      <c r="AI10" s="2" t="str" cm="1">
        <f t="array" ref="AI10">计算得分(INDEX([1]Sheet1!$M:$M, MATCH(A10, [1]Sheet1!$B:$B,0)), 固定数据!BP7, 固定数据!BQ7, 0.2, 20,0, 3)</f>
        <v>--</v>
      </c>
      <c r="AJ10" s="2" t="str" cm="1">
        <f t="array" ref="AJ10">计算得分(INDEX([1]Sheet1!$Z:$Z, MATCH(A10, [1]Sheet1!$B:$B,0)), 固定数据!BR7, 固定数据!BS7, 10, 50,0, 0)</f>
        <v>--</v>
      </c>
      <c r="AK10" s="2" t="str" cm="1">
        <f t="array" ref="AK10">计算得分(INDEX([1]Sheet1!$O:$O, MATCH(A10, [1]Sheet1!$B:$B,0)), 固定数据!BT7, 固定数据!BU7, 0.2, 15,0, 0)</f>
        <v>--</v>
      </c>
      <c r="AL10" s="2" t="str" cm="1">
        <f t="array" ref="AL10">计算得分(INDEX([1]Sheet1!$R:$R, MATCH(A10, [1]Sheet1!$B:$B,0)), 固定数据!BV7, 固定数据!BW7, 0.2, 10,0, 0)</f>
        <v>--</v>
      </c>
      <c r="AM10" s="2" t="str" cm="1">
        <f t="array" ref="AM10">计算得分(INDEX([1]Sheet1!$T:$T, MATCH(A10, [1]Sheet1!$B:$B,0)), 固定数据!BX7, 固定数据!BY7, 0.2, 20,0, 0)</f>
        <v>--</v>
      </c>
      <c r="AN10" s="2" cm="1">
        <f t="array" ref="AN10">计算得分([3]Sheet1!$F$3, 固定数据!BZ7, 固定数据!CA7, 0.5, 15,0, 0)</f>
        <v>104.4</v>
      </c>
      <c r="AO10" s="6" cm="1">
        <f t="array" ref="AO10">计算得分([3]Sheet1!$G$3, 固定数据!CB7, 固定数据!CC7, 0.01, 5,0, 1)</f>
        <v>3675</v>
      </c>
      <c r="AP10" s="6" cm="1">
        <f t="array" ref="AP10">计算得分([3]Sheet1!$H$3, 固定数据!CD7, 固定数据!CE7, 0.001, 5,0, 1)</f>
        <v>18357</v>
      </c>
      <c r="AQ10" s="6" cm="1">
        <f t="array" ref="AQ10">计算得分([3]Sheet1!$D$3,固定数据!CF7,固定数据!CG7,0.05,5,0,3)</f>
        <v>186.8</v>
      </c>
      <c r="AR10" s="6" cm="1">
        <f t="array" ref="AR10">计算得分([3]Sheet1!$E$3,固定数据!CH7,固定数据!CI7,0.1,10,0,3)</f>
        <v>7574.53</v>
      </c>
      <c r="AS10" s="7" t="s">
        <v>74</v>
      </c>
      <c r="AT10" s="6" cm="1">
        <f t="array" ref="AT10">计算得分(INDEX([3]Sheet1!$J:$J, MATCH(A10, [3]Sheet1!$B:$B,0)), 固定数据!CL7, 固定数据!CM7, 2, 0,-10, 0)</f>
        <v>100</v>
      </c>
      <c r="AU10" s="2" cm="1">
        <f t="array" ref="AU10">计算得分(INDEX([3]Sheet1!$K:$K, MATCH(A10, [3]Sheet1!$B:$B,0)), 固定数据!CN7, 固定数据!CO7, 3, 0,-10, 0)</f>
        <v>100</v>
      </c>
      <c r="AV10" s="2" cm="1">
        <f t="array" ref="AV10">计算得分(INDEX([3]Sheet1!$L:$L, MATCH(A10, [3]Sheet1!$B:$B,0)), 固定数据!CP7, 固定数据!CQ7, 3, 0,-10, 0)</f>
        <v>100</v>
      </c>
      <c r="AW10" s="2" cm="1">
        <f t="array" ref="AW10">计算得分(INDEX([3]Sheet1!$M:$M, MATCH(A10, [3]Sheet1!$B:$B,0)), 固定数据!CR7, 固定数据!CS7, 100, 0,-100, 0)</f>
        <v>100</v>
      </c>
      <c r="AX10" s="2" cm="1">
        <f t="array" ref="AX10">计算得分(INDEX([3]Sheet1!$N:$N, MATCH(A10, [3]Sheet1!$B:$B,0)), 固定数据!CT7, 固定数据!CU7, 3, 0,-10, 0)</f>
        <v>100</v>
      </c>
      <c r="AY10" s="7" t="s">
        <v>74</v>
      </c>
      <c r="AZ10" s="7" t="s">
        <v>74</v>
      </c>
      <c r="BA10" s="2">
        <f>IFERROR(VLOOKUP(A10,[4]KPI评分!B:C,2,FALSE)*60%,"--")</f>
        <v>58.08</v>
      </c>
    </row>
    <row r="11" spans="1:53" ht="24.75" customHeight="1" x14ac:dyDescent="0.25">
      <c r="A11" s="3" t="s">
        <v>79</v>
      </c>
      <c r="B11" s="4" t="str" cm="1">
        <f t="array" ref="B11">计算得分(INDEX([1]Sheet1!$W:$W, MATCH(A11, [1]Sheet1!$B:$B,0)), 固定数据!B8, 固定数据!C8, 0.5, 0,-10, 0)</f>
        <v>--</v>
      </c>
      <c r="C11" s="4" t="str" cm="1">
        <f t="array" ref="C11">计算得分(INDEX([1]Sheet1!$X:$X, MATCH(A11, [1]Sheet1!$B:$B,0)), 固定数据!D8, 固定数据!E8, 1, 0,-10, 0)</f>
        <v>--</v>
      </c>
      <c r="D11" s="4" t="str" cm="1">
        <f t="array" ref="D11">计算得分(INDEX([1]Sheet1!$Y:$Y, MATCH(A11, [1]Sheet1!$B:$B,0)), 固定数据!F8, 固定数据!G8, 2, 0,-10, 0)</f>
        <v>--</v>
      </c>
      <c r="E11" s="4" t="str" cm="1">
        <f t="array" ref="E11">计算得分(INDEX([1]Sheet1!$C:$C, MATCH(A11, [1]Sheet1!$B:$B,0)), 固定数据!H8, 固定数据!I8, 0.02, 10,0, 1)</f>
        <v>--</v>
      </c>
      <c r="F11" s="4" t="str" cm="1">
        <f t="array" ref="F11">计算得分(INDEX([1]Sheet1!$D:$D, MATCH(A11, [1]Sheet1!$B:$B,0)), 固定数据!J8, 固定数据!K8, 0, 0,0, 0)</f>
        <v>--</v>
      </c>
      <c r="G11" s="4" t="str" cm="1">
        <f t="array" ref="G11">计算得分(INDEX([1]Sheet1!$E:$E, MATCH(A11, [1]Sheet1!$B:$B,0)), 固定数据!L8, 固定数据!M8, 0.3, 3,0, 5)</f>
        <v>--</v>
      </c>
      <c r="H11" s="4" t="str" cm="1">
        <f t="array" ref="H11">计算得分(INDEX([1]Sheet1!$AG:$AG, MATCH(A11, [1]Sheet1!$B:$B,0)), 固定数据!N8, 固定数据!O8, 0.03, 3,0, 3)</f>
        <v>--</v>
      </c>
      <c r="I11" s="4" t="str" cm="1">
        <f t="array" ref="I11">计算得分(INDEX([1]Sheet1!$V:$V, MATCH(A11, [1]Sheet1!$B:$B,0)), 固定数据!P8, 固定数据!Q8, 1, 0,-100, 0)</f>
        <v>--</v>
      </c>
      <c r="J11" s="4" t="str" cm="1">
        <f t="array" ref="J11">计算得分(INDEX([1]Sheet1!$AI:$AI, MATCH(A11, [1]Sheet1!$B:$B,0)), 固定数据!R8, 固定数据!S8, 0.04, 12,0, 3)</f>
        <v>--</v>
      </c>
      <c r="K11" s="4" t="str" cm="1">
        <f t="array" ref="K11">计算得分(INDEX([1]Sheet1!$F:$F, MATCH(A11, [1]Sheet1!$B:$B,0)), 固定数据!T8, 固定数据!U8, 0.02, 3,0, 1)</f>
        <v>--</v>
      </c>
      <c r="L11" s="4" t="str" cm="1">
        <f t="array" ref="L11">计算得分(INDEX([1]Sheet1!$U:$U, MATCH(A11, [1]Sheet1!$B:$B,0)), 固定数据!V8, 固定数据!W8, 0.2, 20,0, 0)</f>
        <v>--</v>
      </c>
      <c r="M11" s="4" t="str" cm="1">
        <f t="array" ref="M11">计算得分(100, 固定数据!X8, 固定数据!Y8, 0, 5,0, 0)</f>
        <v>--</v>
      </c>
      <c r="N11" s="4" t="str" cm="1">
        <f t="array" ref="N11">计算得分(100, 固定数据!Z8, 固定数据!AA8, 0, 5,0, 0)</f>
        <v>--</v>
      </c>
      <c r="O11" s="4" t="str" cm="1">
        <f t="array" ref="O11">计算得分(100, 固定数据!AB8, 固定数据!AC8, 0, 7,0, 0)</f>
        <v>--</v>
      </c>
      <c r="P11" s="4" t="str" cm="1">
        <f t="array" ref="P11">计算得分(INDEX([1]Sheet1!$P:$P, MATCH(A11, [1]Sheet1!$B:$B,0)), 固定数据!AD8, 固定数据!AE8, 0.2, 7,0, 0)</f>
        <v>--</v>
      </c>
      <c r="Q11" s="4" t="str" cm="1">
        <f t="array" ref="Q11">计算得分(INDEX([1]Sheet1!$I:$I, MATCH(A11, [1]Sheet1!$B:$B,0)), 固定数据!AF8, 固定数据!AG8,0.2, IF(固定数据!AF8&lt;&gt;"--",固定数据!AF8,0),2, 5)</f>
        <v>--</v>
      </c>
      <c r="R11" s="4" t="str" cm="1">
        <f t="array" ref="R11">计算得分(INDEX([2]Sheet1!$AL:$AL, MATCH(A11, [2]Sheet1!$A:$A,0)), 固定数据!AH8, 固定数据!AI8, 0.02, 6,6, 1)</f>
        <v>--</v>
      </c>
      <c r="S11" s="4" t="str" cm="1">
        <f t="array" ref="S11">计算得分(INDEX([2]Sheet1!$I:$I, MATCH(A11, [2]Sheet1!$A:$A,0)), 固定数据!AJ8, 固定数据!AK8, 0.005, 6,0, 1)</f>
        <v>--</v>
      </c>
      <c r="T11" s="4" t="str" cm="1">
        <f t="array" ref="T11">计算得分(98, 固定数据!AL8, 固定数据!AM8, 0.03, IF(固定数据!AL8&lt;&gt;"--",固定数据!AL8,0),0, 3)</f>
        <v>--</v>
      </c>
      <c r="U11" s="4" t="str" cm="1">
        <f t="array" ref="U11">计算得分(INDEX([1]Sheet1!$G:$G, MATCH(A11, [1]Sheet1!$B:$B,0)), 固定数据!AN8, 固定数据!AO8, 0.5, 3,0, 0)</f>
        <v>--</v>
      </c>
      <c r="V11" s="4" t="str" cm="1">
        <f t="array" ref="V11">计算得分(INDEX([1]Sheet1!$H:$H, MATCH(A11, [1]Sheet1!$B:$B,0)), 固定数据!AP8, 固定数据!AQ8, 0.4, 5,0, 1)</f>
        <v>--</v>
      </c>
      <c r="W11" s="4" t="str" cm="1">
        <f t="array" ref="W11">计算得分(INDEX([1]Sheet1!$J:$J, MATCH(A11, [1]Sheet1!$B:$B,0)), 固定数据!AR8, 固定数据!AS8, 0.2, 2,2, 4)</f>
        <v>--</v>
      </c>
      <c r="X11" s="4" t="str" cm="1">
        <f t="array" ref="X11">计算得分(INDEX([1]Sheet1!$K:$K, MATCH(A11, [1]Sheet1!$B:$B,0)), 固定数据!AT8, 固定数据!AU8, 0.2, 1.5,1.5, 4)</f>
        <v>--</v>
      </c>
      <c r="Y11" s="4" t="str" cm="1">
        <f t="array" ref="Y11">计算得分(INDEX([1]Sheet1!$AA:$AA, MATCH(A11, [1]Sheet1!$B:$B,0)), 固定数据!AV8, 固定数据!AW8, 0.05, IF(固定数据!AV8&lt;&gt;"--",固定数据!AV8,0),0, 3)</f>
        <v>--</v>
      </c>
      <c r="Z11" s="4" t="str" cm="1">
        <f t="array" ref="Z11">计算得分(INDEX([1]Sheet1!$AB:$AB, MATCH(A11, [1]Sheet1!$B:$B,0)), 固定数据!AX8, 固定数据!AY8, 0.05, IF(固定数据!AX8&lt;&gt;"--",固定数据!AX8,0),0, 3)</f>
        <v>--</v>
      </c>
      <c r="AA11" s="4" t="str" cm="1">
        <f t="array" ref="AA11">计算得分(INDEX([1]Sheet1!$AC:$AC, MATCH(A11, [1]Sheet1!$B:$B,0)), 固定数据!AZ8, 固定数据!BA8, 0.04, IF(固定数据!AZ8&lt;&gt;"--",固定数据!AZ8,0),0, 3)</f>
        <v>--</v>
      </c>
      <c r="AB11" s="4" t="str" cm="1">
        <f t="array" ref="AB11">计算得分(INDEX([1]Sheet1!$AD:$AD, MATCH(A11, [1]Sheet1!$B:$B,0)), 固定数据!BB8, 固定数据!BC8, 0.03, IF(固定数据!BB8&lt;&gt;"--",固定数据!BB8,0),0, 3)</f>
        <v>--</v>
      </c>
      <c r="AC11" s="4" t="str" cm="1">
        <f t="array" ref="AC11">计算得分(INDEX([1]Sheet1!$AE:$AE, MATCH(A11, [1]Sheet1!$B:$B,0)), 固定数据!BD8, 固定数据!BE8, 0.04, IF(固定数据!BD8&lt;&gt;"--",固定数据!BD8,0),0, 3)</f>
        <v>--</v>
      </c>
      <c r="AD11" s="4" t="str" cm="1">
        <f t="array" ref="AD11">计算得分(INDEX([1]Sheet1!$L:$L, MATCH(A11, [1]Sheet1!$B:$B,0)), 固定数据!BF8, 固定数据!BG8, 0.1, 12.5,0, 3)</f>
        <v>--</v>
      </c>
      <c r="AE11" s="4" t="str" cm="1">
        <f t="array" ref="AE11">计算得分(INDEX([1]Sheet1!$N:$N, MATCH(A11, [1]Sheet1!$B:$B,0)), 固定数据!BH8, 固定数据!BI8, 0.2, 7,0, 0)</f>
        <v>--</v>
      </c>
      <c r="AF11" s="4" t="str" cm="1">
        <f t="array" ref="AF11">计算得分(INDEX([1]Sheet1!$Q:$Q, MATCH(A11, [1]Sheet1!$B:$B,0)), 固定数据!BJ8, 固定数据!BK8, 0.2, 7,0, 0)</f>
        <v>--</v>
      </c>
      <c r="AG11" s="4" t="str" cm="1">
        <f t="array" ref="AG11">计算得分(INDEX([1]Sheet1!$S:$S, MATCH(A11, [1]Sheet1!$B:$B,0)), 固定数据!BL8, 固定数据!BM8, 0.2, 20,0, 0)</f>
        <v>--</v>
      </c>
      <c r="AH11" s="4" t="str" cm="1">
        <f t="array" ref="AH11">计算得分(INDEX([1]Sheet1!$AF:$AF, MATCH(A11, [1]Sheet1!$B:$B,0)), 固定数据!BN8, 固定数据!BO8, 0.1, 10,0, 3)</f>
        <v>--</v>
      </c>
      <c r="AI11" s="4" t="str" cm="1">
        <f t="array" ref="AI11">计算得分(INDEX([1]Sheet1!$M:$M, MATCH(A11, [1]Sheet1!$B:$B,0)), 固定数据!BP8, 固定数据!BQ8, 0.2, 20,0, 3)</f>
        <v>--</v>
      </c>
      <c r="AJ11" s="4" t="str" cm="1">
        <f t="array" ref="AJ11">计算得分(INDEX([1]Sheet1!$Z:$Z, MATCH(A11, [1]Sheet1!$B:$B,0)), 固定数据!BR8, 固定数据!BS8, 10, 50,0, 0)</f>
        <v>--</v>
      </c>
      <c r="AK11" s="4" t="str" cm="1">
        <f t="array" ref="AK11">计算得分(INDEX([1]Sheet1!$O:$O, MATCH(A11, [1]Sheet1!$B:$B,0)), 固定数据!BT8, 固定数据!BU8, 0.2, 15,0, 0)</f>
        <v>--</v>
      </c>
      <c r="AL11" s="4" t="str" cm="1">
        <f t="array" ref="AL11">计算得分(INDEX([1]Sheet1!$R:$R, MATCH(A11, [1]Sheet1!$B:$B,0)), 固定数据!BV8, 固定数据!BW8, 0.2, 10,0, 0)</f>
        <v>--</v>
      </c>
      <c r="AM11" s="4" t="str" cm="1">
        <f t="array" ref="AM11">计算得分(INDEX([1]Sheet1!$T:$T, MATCH(A11, [1]Sheet1!$B:$B,0)), 固定数据!BX8, 固定数据!BY8, 0.2, 20,0, 0)</f>
        <v>--</v>
      </c>
      <c r="AN11" s="4" cm="1">
        <f t="array" ref="AN11">计算得分([3]Sheet1!$F$3, 固定数据!BZ8, 固定数据!CA8, 0.5, 15,0, 0)</f>
        <v>104.4</v>
      </c>
      <c r="AO11" s="4" cm="1">
        <f t="array" ref="AO11">计算得分([3]Sheet1!$G$3, 固定数据!CB8, 固定数据!CC8, 0.01, 5,0, 1)</f>
        <v>3675</v>
      </c>
      <c r="AP11" s="4" cm="1">
        <f t="array" ref="AP11">计算得分([3]Sheet1!$H$3, 固定数据!CD8, 固定数据!CE8, 0.001, 5,0, 1)</f>
        <v>18357</v>
      </c>
      <c r="AQ11" s="4" cm="1">
        <f t="array" ref="AQ11">计算得分([3]Sheet1!$D$3,固定数据!CF8,固定数据!CG8,0.05,5,0,3)</f>
        <v>186.8</v>
      </c>
      <c r="AR11" s="4" cm="1">
        <f t="array" ref="AR11">计算得分([3]Sheet1!$E$3,固定数据!CH8,固定数据!CI8,0.1,10,0,3)</f>
        <v>7574.53</v>
      </c>
      <c r="AS11" s="8" t="s">
        <v>74</v>
      </c>
      <c r="AT11" s="4" cm="1">
        <f t="array" ref="AT11">计算得分(INDEX([3]Sheet1!$J:$J, MATCH(A11, [3]Sheet1!$B:$B,0)), 固定数据!CL8, 固定数据!CM8, 2, 0,-10, 0)</f>
        <v>100</v>
      </c>
      <c r="AU11" s="4" cm="1">
        <f t="array" ref="AU11">计算得分(INDEX([3]Sheet1!$K:$K, MATCH(A11, [3]Sheet1!$B:$B,0)), 固定数据!CN8, 固定数据!CO8, 3, 0,-10, 0)</f>
        <v>100</v>
      </c>
      <c r="AV11" s="4" cm="1">
        <f t="array" ref="AV11">计算得分(INDEX([3]Sheet1!$L:$L, MATCH(A11, [3]Sheet1!$B:$B,0)), 固定数据!CP8, 固定数据!CQ8, 3, 0,-10, 0)</f>
        <v>100</v>
      </c>
      <c r="AW11" s="4" cm="1">
        <f t="array" ref="AW11">计算得分(INDEX([3]Sheet1!$M:$M, MATCH(A11, [3]Sheet1!$B:$B,0)), 固定数据!CR8, 固定数据!CS8, 100, 0,-100, 0)</f>
        <v>100</v>
      </c>
      <c r="AX11" s="4" cm="1">
        <f t="array" ref="AX11">计算得分(INDEX([3]Sheet1!$N:$N, MATCH(A11, [3]Sheet1!$B:$B,0)), 固定数据!CT8, 固定数据!CU8, 3, 0,-10, 0)</f>
        <v>100</v>
      </c>
      <c r="AY11" s="8" t="s">
        <v>74</v>
      </c>
      <c r="AZ11" s="8" t="s">
        <v>74</v>
      </c>
      <c r="BA11" s="4">
        <f>IFERROR(VLOOKUP(A11,[4]KPI评分!B:C,2,FALSE)*60%,"--")</f>
        <v>57.48</v>
      </c>
    </row>
    <row r="12" spans="1:53" ht="24.75" customHeight="1" x14ac:dyDescent="0.25">
      <c r="A12" s="1" t="s">
        <v>80</v>
      </c>
      <c r="B12" s="2" cm="1">
        <f t="array" ref="B12">计算得分(INDEX([1]Sheet1!$W:$W, MATCH(A12, [1]Sheet1!$B:$B,0)), 固定数据!B9, 固定数据!C9, 0.5, 0,-10, 0)</f>
        <v>0</v>
      </c>
      <c r="C12" s="2" cm="1">
        <f t="array" ref="C12">计算得分(INDEX([1]Sheet1!$X:$X, MATCH(A12, [1]Sheet1!$B:$B,0)), 固定数据!D9, 固定数据!E9, 1, 0,-10, 0)</f>
        <v>0</v>
      </c>
      <c r="D12" s="2" cm="1">
        <f t="array" ref="D12">计算得分(INDEX([1]Sheet1!$Y:$Y, MATCH(A12, [1]Sheet1!$B:$B,0)), 固定数据!F9, 固定数据!G9, 2, 0,-10, 0)</f>
        <v>0</v>
      </c>
      <c r="E12" s="6" t="str" cm="1">
        <f t="array" ref="E12">计算得分(INDEX([1]Sheet1!$C:$C, MATCH(A12, [1]Sheet1!$B:$B,0)), 固定数据!H9, 固定数据!I9, 0.02, 10,0, 1)</f>
        <v>--</v>
      </c>
      <c r="F12" s="2" t="str" cm="1">
        <f t="array" ref="F12">计算得分(INDEX([1]Sheet1!$D:$D, MATCH(A12, [1]Sheet1!$B:$B,0)), 固定数据!J9, 固定数据!K9, 0, 0,0, 0)</f>
        <v>--</v>
      </c>
      <c r="G12" s="2" cm="1">
        <f t="array" ref="G12">计算得分(INDEX([1]Sheet1!$E:$E, MATCH(A12, [1]Sheet1!$B:$B,0)), 固定数据!L9, 固定数据!M9,  0.3, 3,0, 5)</f>
        <v>44029.56</v>
      </c>
      <c r="H12" s="2" cm="1">
        <f t="array" ref="H12">计算得分(INDEX([1]Sheet1!$AG:$AG, MATCH(A12, [1]Sheet1!$B:$B,0)), 固定数据!N9, 固定数据!O9, 0.03, 3,0, 3)</f>
        <v>100</v>
      </c>
      <c r="I12" s="2" cm="1">
        <f t="array" ref="I12">计算得分(INDEX([1]Sheet1!$V:$V, MATCH(A12, [1]Sheet1!$B:$B,0)), 固定数据!P9, 固定数据!Q9, 1, 0,-100, 0)</f>
        <v>0</v>
      </c>
      <c r="J12" s="2" t="str" cm="1">
        <f t="array" ref="J12">计算得分(INDEX([1]Sheet1!$AI:$AI, MATCH(A12, [1]Sheet1!$B:$B,0)), 固定数据!R9, 固定数据!S9, 0.04, 12,0, 3)</f>
        <v>--</v>
      </c>
      <c r="K12" s="2" cm="1">
        <f t="array" ref="K12">计算得分(INDEX([1]Sheet1!$F:$F, MATCH(A12, [1]Sheet1!$B:$B,0)), 固定数据!T9, 固定数据!U9, 0.02, 3,0, 1)</f>
        <v>66.599999999999994</v>
      </c>
      <c r="L12" s="2" t="str" cm="1">
        <f t="array" ref="L12">计算得分(INDEX([1]Sheet1!$U:$U, MATCH(A12, [1]Sheet1!$B:$B,0)), 固定数据!V9, 固定数据!W9, 0.2, 20,0, 0)</f>
        <v>--</v>
      </c>
      <c r="M12" s="2" t="str" cm="1">
        <f t="array" ref="M12">计算得分(100, 固定数据!X9, 固定数据!Y9, 0, 5,0, 0)</f>
        <v>--</v>
      </c>
      <c r="N12" s="2" t="str" cm="1">
        <f t="array" ref="N12">计算得分(100, 固定数据!Z9, 固定数据!AA9, 0, 5,0, 0)</f>
        <v>--</v>
      </c>
      <c r="O12" s="2" t="str" cm="1">
        <f t="array" ref="O12">计算得分(100, 固定数据!AB9, 固定数据!AC9, 0, 7,0, 0)</f>
        <v>--</v>
      </c>
      <c r="P12" s="2" t="str" cm="1">
        <f t="array" ref="P12">计算得分(INDEX([1]Sheet1!$P:$P, MATCH(A12, [1]Sheet1!$B:$B,0)), 固定数据!AD9, 固定数据!AE9, 0.2, 7,0, 0)</f>
        <v>--</v>
      </c>
      <c r="Q12" s="2" cm="1">
        <f t="array" ref="Q12">计算得分(INDEX([1]Sheet1!$I:$I, MATCH(A12, [1]Sheet1!$B:$B,0)), 固定数据!AF9, 固定数据!AG9,0.2, IF(固定数据!AF9&lt;&gt;"--",固定数据!AF9,0),2, 5)</f>
        <v>234.74</v>
      </c>
      <c r="R12" s="2" cm="1">
        <f t="array" ref="R12">计算得分(INDEX([2]Sheet1!$AL:$AL, MATCH(A12, [2]Sheet1!$A:$A,0)), 固定数据!AH9, 固定数据!AI9, 0.02, 6,6, 1)</f>
        <v>186</v>
      </c>
      <c r="S12" s="2" cm="1">
        <f t="array" ref="S12">计算得分(INDEX([2]Sheet1!$I:$I, MATCH(A12, [2]Sheet1!$A:$A,0)), 固定数据!AJ9, 固定数据!AK9, 0.005, 6,0, 1)</f>
        <v>1729</v>
      </c>
      <c r="T12" s="2" cm="1">
        <f t="array" ref="T12">计算得分(98, 固定数据!AL9, 固定数据!AM9, 0.03, IF(固定数据!AL9&lt;&gt;"--",固定数据!AL9,0),0, 3)</f>
        <v>98</v>
      </c>
      <c r="U12" s="2" cm="1">
        <f t="array" ref="U12">计算得分(INDEX([1]Sheet1!$G:$G, MATCH(A12, [1]Sheet1!$B:$B,0)), 固定数据!AN9, 固定数据!AO9, 0.5, 3,0, 0)</f>
        <v>8.9499999999999993</v>
      </c>
      <c r="V12" s="2" cm="1">
        <f t="array" ref="V12">计算得分(INDEX([1]Sheet1!$H:$H, MATCH(A12, [1]Sheet1!$B:$B,0)), 固定数据!AP9, 固定数据!AQ9, 0.4, 5,0, 1)</f>
        <v>3.26</v>
      </c>
      <c r="W12" s="2" cm="1">
        <f t="array" ref="W12">计算得分(INDEX([1]Sheet1!$J:$J, MATCH(A12, [1]Sheet1!$B:$B,0)), 固定数据!AR9, 固定数据!AS9, 0.2, 2,2, 4)</f>
        <v>234.74</v>
      </c>
      <c r="X12" s="2" cm="1">
        <f t="array" ref="X12">计算得分(INDEX([1]Sheet1!$K:$K, MATCH(A12, [1]Sheet1!$B:$B,0)), 固定数据!AT9, 固定数据!AU9, 0.2, 1.5,1.5, 4)</f>
        <v>13044.71</v>
      </c>
      <c r="Y12" s="2" cm="1">
        <f t="array" ref="Y12">计算得分(INDEX([1]Sheet1!$AA:$AA, MATCH(A12, [1]Sheet1!$B:$B,0)), 固定数据!AV9, 固定数据!AW9, 0.05, IF(固定数据!AV9&lt;&gt;"--",固定数据!AV9,0),0, 3)</f>
        <v>98</v>
      </c>
      <c r="Z12" s="2" cm="1">
        <f t="array" ref="Z12">计算得分(INDEX([1]Sheet1!$AB:$AB, MATCH(A12, [1]Sheet1!$B:$B,0)), 固定数据!AX9, 固定数据!AY9, 0.05, IF(固定数据!AX9&lt;&gt;"--",固定数据!AX9,0),0, 3)</f>
        <v>96.5</v>
      </c>
      <c r="AA12" s="2" cm="1">
        <f t="array" ref="AA12">计算得分(INDEX([1]Sheet1!$AC:$AC, MATCH(A12, [1]Sheet1!$B:$B,0)), 固定数据!AZ9, 固定数据!BA9, 0.04, IF(固定数据!AZ9&lt;&gt;"--",固定数据!AZ9,0),0, 3)</f>
        <v>95</v>
      </c>
      <c r="AB12" s="2" cm="1">
        <f t="array" ref="AB12">计算得分(INDEX([1]Sheet1!$AD:$AD, MATCH(A12, [1]Sheet1!$B:$B,0)), 固定数据!BB9, 固定数据!BC9, 0.03, IF(固定数据!BB9&lt;&gt;"--",固定数据!BB9,0),0, 3)</f>
        <v>97.5</v>
      </c>
      <c r="AC12" s="2" cm="1">
        <f t="array" ref="AC12">计算得分(INDEX([1]Sheet1!$AE:$AE, MATCH(A12, [1]Sheet1!$B:$B,0)), 固定数据!BD9, 固定数据!BE9, 0.04, IF(固定数据!BD9&lt;&gt;"--",固定数据!BD9,0),0, 3)</f>
        <v>96.41</v>
      </c>
      <c r="AD12" s="2" cm="1">
        <f t="array" ref="AD12">计算得分(INDEX([1]Sheet1!$L:$L, MATCH(A12, [1]Sheet1!$B:$B,0)), 固定数据!BF9, 固定数据!BG9, 0.1, 12.5,0, 3)</f>
        <v>10220.85</v>
      </c>
      <c r="AE12" s="2" cm="1">
        <f t="array" ref="AE12">计算得分(INDEX([1]Sheet1!$N:$N, MATCH(A12, [1]Sheet1!$B:$B,0)), 固定数据!BH9, 固定数据!BI9, 0.2, 7,0, 0)</f>
        <v>15.54</v>
      </c>
      <c r="AF12" s="2" cm="1">
        <f t="array" ref="AF12">计算得分(INDEX([1]Sheet1!$Q:$Q, MATCH(A12, [1]Sheet1!$B:$B,0)), 固定数据!BJ9, 固定数据!BK9, 0.2, 7,0, 0)</f>
        <v>10.84</v>
      </c>
      <c r="AG12" s="2" cm="1">
        <f t="array" ref="AG12">计算得分(INDEX([1]Sheet1!$S:$S, MATCH(A12, [1]Sheet1!$B:$B,0)), 固定数据!BL9, 固定数据!BM9, 0.2, 20,0, 0)</f>
        <v>46.64</v>
      </c>
      <c r="AH12" s="6" t="str" cm="1">
        <f t="array" ref="AH12">计算得分(INDEX([1]Sheet1!$AF:$AF, MATCH(A12, [1]Sheet1!$B:$B,0)), 固定数据!BN9, 固定数据!BO9, 0.1, 10,0, 3)</f>
        <v>--</v>
      </c>
      <c r="AI12" s="2" t="str" cm="1">
        <f t="array" ref="AI12">计算得分(INDEX([1]Sheet1!$M:$M, MATCH(A12, [1]Sheet1!$B:$B,0)), 固定数据!BP9, 固定数据!BQ9, 0.2, 20,0, 3)</f>
        <v>--</v>
      </c>
      <c r="AJ12" s="2" cm="1">
        <f t="array" ref="AJ12">计算得分(INDEX([1]Sheet1!$Z:$Z, MATCH(A12, [1]Sheet1!$B:$B,0)), 固定数据!BR9, 固定数据!BS9, 10, 50,0, 0)</f>
        <v>0</v>
      </c>
      <c r="AK12" s="2" t="str" cm="1">
        <f t="array" ref="AK12">计算得分(INDEX([1]Sheet1!$O:$O, MATCH(A12, [1]Sheet1!$B:$B,0)), 固定数据!BT9, 固定数据!BU9, 0.2, 15,0, 0)</f>
        <v>--</v>
      </c>
      <c r="AL12" s="2" t="str" cm="1">
        <f t="array" ref="AL12">计算得分(INDEX([1]Sheet1!$R:$R, MATCH(A12, [1]Sheet1!$B:$B,0)), 固定数据!BV9, 固定数据!BW9, 0.2, 10,0, 0)</f>
        <v>--</v>
      </c>
      <c r="AM12" s="2" t="str" cm="1">
        <f t="array" ref="AM12">计算得分(INDEX([1]Sheet1!$T:$T, MATCH(A12, [1]Sheet1!$B:$B,0)), 固定数据!BX9, 固定数据!BY9, 0.2, 20,0, 0)</f>
        <v>--</v>
      </c>
      <c r="AN12" s="2" t="str" cm="1">
        <f t="array" ref="AN12">计算得分([3]Sheet1!$F$3, 固定数据!BZ9, 固定数据!CA9, 0.5, 15,0, 0)</f>
        <v>--</v>
      </c>
      <c r="AO12" s="6" t="str" cm="1">
        <f t="array" ref="AO12">计算得分([3]Sheet1!$G$3, 固定数据!CB9, 固定数据!CC9, 0.01, 5,0, 1)</f>
        <v>--</v>
      </c>
      <c r="AP12" s="6" t="str" cm="1">
        <f t="array" ref="AP12">计算得分([3]Sheet1!$H$3, 固定数据!CD9, 固定数据!CE9, 0.001, 5,0, 1)</f>
        <v>--</v>
      </c>
      <c r="AQ12" s="6" t="str" cm="1">
        <f t="array" ref="AQ12">计算得分([3]Sheet1!$D$3,固定数据!CF9,固定数据!CG9,0.05,5,0,3)</f>
        <v>--</v>
      </c>
      <c r="AR12" s="6" t="str" cm="1">
        <f t="array" ref="AR12">计算得分([3]Sheet1!$E$3,固定数据!CH9,固定数据!CI9,0.1,10,0,3)</f>
        <v>--</v>
      </c>
      <c r="AS12" s="7" t="s">
        <v>74</v>
      </c>
      <c r="AT12" s="6" t="str" cm="1">
        <f t="array" ref="AT12">计算得分(INDEX([3]Sheet1!$J:$J, MATCH(A12, [3]Sheet1!$B:$B,0)), 固定数据!CL9, 固定数据!CM9, 2, 0,-10, 0)</f>
        <v>--</v>
      </c>
      <c r="AU12" s="2" t="str" cm="1">
        <f t="array" ref="AU12">计算得分(INDEX([3]Sheet1!$K:$K, MATCH(A12, [3]Sheet1!$B:$B,0)), 固定数据!CN9, 固定数据!CO9, 3, 0,-10, 0)</f>
        <v>--</v>
      </c>
      <c r="AV12" s="2" t="str" cm="1">
        <f t="array" ref="AV12">计算得分(INDEX([3]Sheet1!$L:$L, MATCH(A12, [3]Sheet1!$B:$B,0)), 固定数据!CP9, 固定数据!CQ9, 3, 0,-10, 0)</f>
        <v>--</v>
      </c>
      <c r="AW12" s="2" t="str" cm="1">
        <f t="array" ref="AW12">计算得分(INDEX([3]Sheet1!$M:$M, MATCH(A12, [3]Sheet1!$B:$B,0)), 固定数据!CR9, 固定数据!CS9, 100, 0,-100, 0)</f>
        <v>--</v>
      </c>
      <c r="AX12" s="2" t="str" cm="1">
        <f t="array" ref="AX12">计算得分(INDEX([3]Sheet1!$N:$N, MATCH(A12, [3]Sheet1!$B:$B,0)), 固定数据!CT9, 固定数据!CU9, 3, 0,-10, 0)</f>
        <v>--</v>
      </c>
      <c r="AY12" s="7" t="s">
        <v>74</v>
      </c>
      <c r="AZ12" s="7" t="s">
        <v>74</v>
      </c>
      <c r="BA12" s="2" t="str">
        <f>IFERROR(VLOOKUP(A12,[4]KPI评分!B:C,2,FALSE)*60%,"--")</f>
        <v>--</v>
      </c>
    </row>
    <row r="13" spans="1:53" ht="24.75" customHeight="1" x14ac:dyDescent="0.25">
      <c r="A13" s="3" t="s">
        <v>81</v>
      </c>
      <c r="B13" s="4" cm="1">
        <f t="array" ref="B13">计算得分(INDEX([1]Sheet1!$W:$W, MATCH(A13, [1]Sheet1!$B:$B,0)), 固定数据!B10, 固定数据!C10, 0.5, 0,-10, 0)</f>
        <v>0</v>
      </c>
      <c r="C13" s="4" cm="1">
        <f t="array" ref="C13">计算得分(INDEX([1]Sheet1!$X:$X, MATCH(A13, [1]Sheet1!$B:$B,0)), 固定数据!D10, 固定数据!E10, 1, 0,-10, 0)</f>
        <v>0</v>
      </c>
      <c r="D13" s="4" cm="1">
        <f t="array" ref="D13">计算得分(INDEX([1]Sheet1!$Y:$Y, MATCH(A13, [1]Sheet1!$B:$B,0)), 固定数据!F10, 固定数据!G10, 2, 0,-10, 0)</f>
        <v>0</v>
      </c>
      <c r="E13" s="4" t="str" cm="1">
        <f t="array" ref="E13">计算得分(INDEX([1]Sheet1!$C:$C, MATCH(A13, [1]Sheet1!$B:$B,0)), 固定数据!H10, 固定数据!I10, 0.02, 10,0, 1)</f>
        <v>--</v>
      </c>
      <c r="F13" s="4" t="str" cm="1">
        <f t="array" ref="F13">计算得分(INDEX([1]Sheet1!$D:$D, MATCH(A13, [1]Sheet1!$B:$B,0)), 固定数据!J10, 固定数据!K10, 0, 0,0, 0)</f>
        <v>--</v>
      </c>
      <c r="G13" s="4" t="str" cm="1">
        <f t="array" ref="G13">计算得分(INDEX([1]Sheet1!$E:$E, MATCH(A13, [1]Sheet1!$B:$B,0)), 固定数据!L10, 固定数据!M10, 0.3, 3,0, 5)</f>
        <v>--</v>
      </c>
      <c r="H13" s="4" cm="1">
        <f t="array" ref="H13">计算得分(INDEX([1]Sheet1!$AG:$AG, MATCH(A13, [1]Sheet1!$B:$B,0)), 固定数据!N10, 固定数据!O10, 0.03, 3,0, 3)</f>
        <v>100</v>
      </c>
      <c r="I13" s="4" cm="1">
        <f t="array" ref="I13">计算得分(INDEX([1]Sheet1!$V:$V, MATCH(A13, [1]Sheet1!$B:$B,0)), 固定数据!P10, 固定数据!Q10, 1, 0,-100, 0)</f>
        <v>0</v>
      </c>
      <c r="J13" s="4" t="str" cm="1">
        <f t="array" ref="J13">计算得分(INDEX([1]Sheet1!$AI:$AI, MATCH(A13, [1]Sheet1!$B:$B,0)), 固定数据!R10, 固定数据!S10, 0.04, 12,0, 3)</f>
        <v>--</v>
      </c>
      <c r="K13" s="4" t="str" cm="1">
        <f t="array" ref="K13">计算得分(INDEX([1]Sheet1!$F:$F, MATCH(A13, [1]Sheet1!$B:$B,0)), 固定数据!T10, 固定数据!U10, 0.02, 3,0, 1)</f>
        <v>--</v>
      </c>
      <c r="L13" s="4" t="str" cm="1">
        <f t="array" ref="L13">计算得分(INDEX([1]Sheet1!$U:$U, MATCH(A13, [1]Sheet1!$B:$B,0)), 固定数据!V10, 固定数据!W10, 0.2, 20,0, 0)</f>
        <v>--</v>
      </c>
      <c r="M13" s="4" t="str" cm="1">
        <f t="array" ref="M13">计算得分(100, 固定数据!X10, 固定数据!Y10, 0, 5,0, 0)</f>
        <v>--</v>
      </c>
      <c r="N13" s="4" t="str" cm="1">
        <f t="array" ref="N13">计算得分(100, 固定数据!Z10, 固定数据!AA10, 0, 5,0, 0)</f>
        <v>--</v>
      </c>
      <c r="O13" s="4" t="str" cm="1">
        <f t="array" ref="O13">计算得分(100, 固定数据!AB10, 固定数据!AC10, 0, 7,0, 0)</f>
        <v>--</v>
      </c>
      <c r="P13" s="4" t="str" cm="1">
        <f t="array" ref="P13">计算得分(INDEX([1]Sheet1!$P:$P, MATCH(A13, [1]Sheet1!$B:$B,0)), 固定数据!AD10, 固定数据!AE10, 0.2, 7,0, 0)</f>
        <v>--</v>
      </c>
      <c r="Q13" s="4" cm="1">
        <f t="array" ref="Q13">计算得分(INDEX([1]Sheet1!$I:$I, MATCH(A13, [1]Sheet1!$B:$B,0)), 固定数据!AF10, 固定数据!AG10,0.2, IF(固定数据!AF10&lt;&gt;"--",固定数据!AF10,0),0, 5)</f>
        <v>365.94</v>
      </c>
      <c r="R13" s="4" t="str" cm="1">
        <f t="array" ref="R13">计算得分(INDEX([2]Sheet1!$AL:$AL, MATCH(A13, [2]Sheet1!$A:$A,0)), 固定数据!AH10, 固定数据!AI10, 0.02, 6,6, 1)</f>
        <v>--</v>
      </c>
      <c r="S13" s="4" cm="1">
        <f t="array" ref="S13">计算得分(INDEX([2]Sheet1!$I:$I, MATCH(A13, [2]Sheet1!$A:$A,0)), 固定数据!AJ10, 固定数据!AK10, 0.005, 10,0, 1)</f>
        <v>139</v>
      </c>
      <c r="T13" s="4" cm="1">
        <f t="array" ref="T13">计算得分(98, 固定数据!AL10, 固定数据!AM10, 0.03, IF(固定数据!AL10&lt;&gt;"--",固定数据!AL10,0),0, 3)</f>
        <v>98</v>
      </c>
      <c r="U13" s="4" t="str" cm="1">
        <f t="array" ref="U13">计算得分(INDEX([1]Sheet1!$G:$G, MATCH(A13, [1]Sheet1!$B:$B,0)), 固定数据!AN10, 固定数据!AO10, 0.5, 3,0, 0)</f>
        <v>--</v>
      </c>
      <c r="V13" s="4" t="str" cm="1">
        <f t="array" ref="V13">计算得分(INDEX([1]Sheet1!$H:$H, MATCH(A13, [1]Sheet1!$B:$B,0)), 固定数据!AP10, 固定数据!AQ10, 0.4, 5,0, 1)</f>
        <v>--</v>
      </c>
      <c r="W13" s="4" cm="1">
        <f t="array" ref="W13">计算得分(INDEX([1]Sheet1!$J:$J, MATCH(A13, [1]Sheet1!$B:$B,0)), 固定数据!AR10, 固定数据!AS10, 0.2, 2.5,0, 4)</f>
        <v>365.94</v>
      </c>
      <c r="X13" s="4" t="str" cm="1">
        <f t="array" ref="X13">计算得分(INDEX([1]Sheet1!$K:$K, MATCH(A13, [1]Sheet1!$B:$B,0)), 固定数据!AT10, 固定数据!AU10, 0.2, 1.5,1.5, 4)</f>
        <v>--</v>
      </c>
      <c r="Y13" s="4" cm="1">
        <f t="array" ref="Y13">计算得分(INDEX([1]Sheet1!$AA:$AA, MATCH(A13, [1]Sheet1!$B:$B,0)), 固定数据!AV10, 固定数据!AW10, 0.05, IF(固定数据!AV10&lt;&gt;"--",固定数据!AV10,0),0, 3)</f>
        <v>100</v>
      </c>
      <c r="Z13" s="4" t="str" cm="1">
        <f t="array" ref="Z13">计算得分(INDEX([1]Sheet1!$AB:$AB, MATCH(A13, [1]Sheet1!$B:$B,0)), 固定数据!AX10, 固定数据!AY10, 0.05, IF(固定数据!AX10&lt;&gt;"--",固定数据!AX10,0),0, 3)</f>
        <v>--</v>
      </c>
      <c r="AA13" s="4" cm="1">
        <f t="array" ref="AA13">计算得分(INDEX([1]Sheet1!$AC:$AC, MATCH(A13, [1]Sheet1!$B:$B,0)), 固定数据!AZ10, 固定数据!BA10, 0.04, IF(固定数据!AZ10&lt;&gt;"--",固定数据!AZ10,0),0, 3)</f>
        <v>100</v>
      </c>
      <c r="AB13" s="4" cm="1">
        <f t="array" ref="AB13">计算得分(INDEX([1]Sheet1!$AD:$AD, MATCH(A13, [1]Sheet1!$B:$B,0)), 固定数据!BB10, 固定数据!BC10, 0.03, IF(固定数据!BB10&lt;&gt;"--",固定数据!BB10,0),0, 3)</f>
        <v>100</v>
      </c>
      <c r="AC13" s="4" cm="1">
        <f t="array" ref="AC13">计算得分(INDEX([1]Sheet1!$AE:$AE, MATCH(A13, [1]Sheet1!$B:$B,0)), 固定数据!BD10, 固定数据!BE10, 0.04, IF(固定数据!BD10&lt;&gt;"--",固定数据!BD10,0),0, 3)</f>
        <v>100</v>
      </c>
      <c r="AD13" s="4" t="str" cm="1">
        <f t="array" ref="AD13">计算得分(INDEX([1]Sheet1!$L:$L, MATCH(A13, [1]Sheet1!$B:$B,0)), 固定数据!BF10, 固定数据!BG10, 0.1, 12.5,0, 3)</f>
        <v>--</v>
      </c>
      <c r="AE13" s="4" t="str" cm="1">
        <f t="array" ref="AE13">计算得分(INDEX([1]Sheet1!$N:$N, MATCH(A13, [1]Sheet1!$B:$B,0)), 固定数据!BH10, 固定数据!BI10, 0.2, 7,0, 0)</f>
        <v>--</v>
      </c>
      <c r="AF13" s="4" t="str" cm="1">
        <f t="array" ref="AF13">计算得分(INDEX([1]Sheet1!$Q:$Q, MATCH(A13, [1]Sheet1!$B:$B,0)), 固定数据!BJ10, 固定数据!BK10, 0.2, 7,0, 0)</f>
        <v>--</v>
      </c>
      <c r="AG13" s="4" t="str" cm="1">
        <f t="array" ref="AG13">计算得分(INDEX([1]Sheet1!$S:$S, MATCH(A13, [1]Sheet1!$B:$B,0)), 固定数据!BL10, 固定数据!BM10, 0.2, 20,0, 0)</f>
        <v>--</v>
      </c>
      <c r="AH13" s="4" t="str" cm="1">
        <f t="array" ref="AH13">计算得分(INDEX([1]Sheet1!$AF:$AF, MATCH(A13, [1]Sheet1!$B:$B,0)), 固定数据!BN10, 固定数据!BO10, 0.1, 10,0, 3)</f>
        <v>--</v>
      </c>
      <c r="AI13" s="4" cm="1">
        <f t="array" ref="AI13">计算得分(INDEX([1]Sheet1!$M:$M, MATCH(A13, [1]Sheet1!$B:$B,0)), 固定数据!BP10, 固定数据!BQ10, 0.15, 15,0, 3)</f>
        <v>20.11</v>
      </c>
      <c r="AJ13" s="4" cm="1">
        <f t="array" ref="AJ13">计算得分(INDEX([1]Sheet1!$Z:$Z, MATCH(A13, [1]Sheet1!$B:$B,0)), 固定数据!BR10, 固定数据!BS10, 10, 50,0, 0)</f>
        <v>0</v>
      </c>
      <c r="AK13" s="4" cm="1">
        <f t="array" ref="AK13">计算得分(INDEX([1]Sheet1!$O:$O, MATCH(A13, [1]Sheet1!$B:$B,0)), 固定数据!BT10, 固定数据!BU10, 0.2, 15,0, 0)</f>
        <v>0.75</v>
      </c>
      <c r="AL13" s="4" cm="1">
        <f t="array" ref="AL13">计算得分(INDEX([1]Sheet1!$R:$R, MATCH(A13, [1]Sheet1!$B:$B,0)), 固定数据!BV10, 固定数据!BW10, 0.2, 10,0, 0)</f>
        <v>7.26</v>
      </c>
      <c r="AM13" s="4" cm="1">
        <f t="array" ref="AM13">计算得分(INDEX([1]Sheet1!$T:$T, MATCH(A13, [1]Sheet1!$B:$B,0)), 固定数据!BX10, 固定数据!BY10, 0.2, 30,0, 0)</f>
        <v>71.45</v>
      </c>
      <c r="AN13" s="4" t="str" cm="1">
        <f t="array" ref="AN13">计算得分([3]Sheet1!$F$3, 固定数据!BZ10, 固定数据!CA10, 0.5, 15,0, 0)</f>
        <v>--</v>
      </c>
      <c r="AO13" s="4" t="str" cm="1">
        <f t="array" ref="AO13">计算得分([3]Sheet1!$G$3, 固定数据!CB10, 固定数据!CC10, 0.01, 5,0, 1)</f>
        <v>--</v>
      </c>
      <c r="AP13" s="4" t="str" cm="1">
        <f t="array" ref="AP13">计算得分([3]Sheet1!$H$3, 固定数据!CD10, 固定数据!CE10, 0.001, 5,0, 1)</f>
        <v>--</v>
      </c>
      <c r="AQ13" s="4" t="str" cm="1">
        <f t="array" ref="AQ13">计算得分([3]Sheet1!$D$3,固定数据!CF10,固定数据!CG10,0.05,5,0,3)</f>
        <v>--</v>
      </c>
      <c r="AR13" s="4" t="str" cm="1">
        <f t="array" ref="AR13">计算得分([3]Sheet1!$E$3,固定数据!CH10,固定数据!CI10,0.1,10,0,3)</f>
        <v>--</v>
      </c>
      <c r="AS13" s="8" t="s">
        <v>74</v>
      </c>
      <c r="AT13" s="4" t="str" cm="1">
        <f t="array" ref="AT13">计算得分(INDEX([3]Sheet1!$J:$J, MATCH(A13, [3]Sheet1!$B:$B,0)), 固定数据!CL10, 固定数据!CM10, 2, 0,-10, 0)</f>
        <v>--</v>
      </c>
      <c r="AU13" s="4" t="str" cm="1">
        <f t="array" ref="AU13">计算得分(INDEX([3]Sheet1!$K:$K, MATCH(A13, [3]Sheet1!$B:$B,0)), 固定数据!CN10, 固定数据!CO10, 3, 0,-10, 0)</f>
        <v>--</v>
      </c>
      <c r="AV13" s="4" t="str" cm="1">
        <f t="array" ref="AV13">计算得分(INDEX([3]Sheet1!$L:$L, MATCH(A13, [3]Sheet1!$B:$B,0)), 固定数据!CP10, 固定数据!CQ10, 3, 0,-10, 0)</f>
        <v>--</v>
      </c>
      <c r="AW13" s="4" t="str" cm="1">
        <f t="array" ref="AW13">计算得分(INDEX([3]Sheet1!$M:$M, MATCH(A13, [3]Sheet1!$B:$B,0)), 固定数据!CR10, 固定数据!CS10, 100, 0,-100, 0)</f>
        <v>--</v>
      </c>
      <c r="AX13" s="4" t="str" cm="1">
        <f t="array" ref="AX13">计算得分(INDEX([3]Sheet1!$N:$N, MATCH(A13, [3]Sheet1!$B:$B,0)), 固定数据!CT10, 固定数据!CU10, 3, 0,-10, 0)</f>
        <v>--</v>
      </c>
      <c r="AY13" s="8" t="s">
        <v>74</v>
      </c>
      <c r="AZ13" s="8" t="s">
        <v>74</v>
      </c>
      <c r="BA13" s="4" t="str">
        <f>IFERROR(VLOOKUP(A13,[4]KPI评分!B:C,2,FALSE)*60%,"--")</f>
        <v>--</v>
      </c>
    </row>
    <row r="14" spans="1:53" ht="24.75" customHeight="1" x14ac:dyDescent="0.25">
      <c r="A14" s="1" t="s">
        <v>82</v>
      </c>
      <c r="B14" s="2" t="str" cm="1">
        <f t="array" ref="B14">计算得分(INDEX([1]Sheet1!$W:$W, MATCH(A14, [1]Sheet1!$B:$B,0)), 固定数据!B11, 固定数据!C11, 0.5, 0,-10, 0)</f>
        <v>--</v>
      </c>
      <c r="C14" s="2" t="str" cm="1">
        <f t="array" ref="C14">计算得分(INDEX([1]Sheet1!$X:$X, MATCH(A14, [1]Sheet1!$B:$B,0)), 固定数据!D11, 固定数据!E11, 1, 0,-10, 0)</f>
        <v>--</v>
      </c>
      <c r="D14" s="2" t="str" cm="1">
        <f t="array" ref="D14">计算得分(INDEX([1]Sheet1!$Y:$Y, MATCH(A14, [1]Sheet1!$B:$B,0)), 固定数据!F11, 固定数据!G11, 2, 0,-10, 0)</f>
        <v>--</v>
      </c>
      <c r="E14" s="6" t="str" cm="1">
        <f t="array" ref="E14">计算得分(INDEX([1]Sheet1!$C:$C, MATCH(A14, [1]Sheet1!$B:$B,0)), 固定数据!H11, 固定数据!I11, 0.02, 10,0, 1)</f>
        <v>--</v>
      </c>
      <c r="F14" s="2" t="str" cm="1">
        <f t="array" ref="F14">计算得分(INDEX([1]Sheet1!$D:$D, MATCH(A14, [1]Sheet1!$B:$B,0)), 固定数据!J11, 固定数据!K11, 0, 0,0, 0)</f>
        <v>--</v>
      </c>
      <c r="G14" s="2" t="str" cm="1">
        <f t="array" ref="G14">计算得分(INDEX([1]Sheet1!$E:$E, MATCH(A14, [1]Sheet1!$B:$B,0)), 固定数据!L11, 固定数据!M11,  0.3, 3,0, 5)</f>
        <v>--</v>
      </c>
      <c r="H14" s="2" t="str" cm="1">
        <f t="array" ref="H14">计算得分(INDEX([1]Sheet1!$AG:$AG, MATCH(A14, [1]Sheet1!$B:$B,0)), 固定数据!N11, 固定数据!O11, 0.03, 3,0, 3)</f>
        <v>--</v>
      </c>
      <c r="I14" s="2" t="str" cm="1">
        <f t="array" ref="I14">计算得分(INDEX([1]Sheet1!$V:$V, MATCH(A14, [1]Sheet1!$B:$B,0)), 固定数据!P11, 固定数据!Q11, 1, 0,-100, 0)</f>
        <v>--</v>
      </c>
      <c r="J14" s="2" t="str" cm="1">
        <f t="array" ref="J14">计算得分(INDEX([1]Sheet1!$AI:$AI, MATCH(A14, [1]Sheet1!$B:$B,0)), 固定数据!R11, 固定数据!S11, 0.04, 12,0, 3)</f>
        <v>--</v>
      </c>
      <c r="K14" s="2" t="str" cm="1">
        <f t="array" ref="K14">计算得分(INDEX([1]Sheet1!$F:$F, MATCH(A14, [1]Sheet1!$B:$B,0)), 固定数据!T11, 固定数据!U11, 0.02, 3,0, 1)</f>
        <v>--</v>
      </c>
      <c r="L14" s="2" t="str" cm="1">
        <f t="array" ref="L14">计算得分(INDEX([1]Sheet1!$U:$U, MATCH(A14, [1]Sheet1!$B:$B,0)), 固定数据!V11, 固定数据!W11, 0.2, 20,0, 0)</f>
        <v>--</v>
      </c>
      <c r="M14" s="2" t="str" cm="1">
        <f t="array" ref="M14">计算得分(100, 固定数据!X11, 固定数据!Y11, 0, 5,0, 0)</f>
        <v>--</v>
      </c>
      <c r="N14" s="2" t="str" cm="1">
        <f t="array" ref="N14">计算得分(100, 固定数据!Z11, 固定数据!AA11, 0, 5,0, 0)</f>
        <v>--</v>
      </c>
      <c r="O14" s="2" t="str" cm="1">
        <f t="array" ref="O14">计算得分(100, 固定数据!AB11, 固定数据!AC11, 0, 7,0, 0)</f>
        <v>--</v>
      </c>
      <c r="P14" s="2" t="str" cm="1">
        <f t="array" ref="P14">计算得分(INDEX([1]Sheet1!$P:$P, MATCH(A14, [1]Sheet1!$B:$B,0)), 固定数据!AD11, 固定数据!AE11, 0.2, 7,0, 0)</f>
        <v>--</v>
      </c>
      <c r="Q14" s="2" t="str" cm="1">
        <f t="array" ref="Q14">计算得分(INDEX([1]Sheet1!$I:$I, MATCH(A14, [1]Sheet1!$B:$B,0)), 固定数据!AF11, 固定数据!AG11,0.2, IF(固定数据!AF11&lt;&gt;"--",固定数据!AF11,0),2, 5)</f>
        <v>--</v>
      </c>
      <c r="R14" s="2" t="str" cm="1">
        <f t="array" ref="R14">计算得分(INDEX([2]Sheet1!$AL:$AL, MATCH(A14, [2]Sheet1!$A:$A,0)), 固定数据!AH11, 固定数据!AI11, 0.02, 6,6, 1)</f>
        <v>--</v>
      </c>
      <c r="S14" s="2" t="str" cm="1">
        <f t="array" ref="S14">计算得分(INDEX([2]Sheet1!$I:$I, MATCH(A14, [2]Sheet1!$A:$A,0)), 固定数据!AJ11, 固定数据!AK11, 0.005, 6,0, 1)</f>
        <v>--</v>
      </c>
      <c r="T14" s="2" t="str" cm="1">
        <f t="array" ref="T14">计算得分(98, 固定数据!AL11, 固定数据!AM11, 0.03, IF(固定数据!AL11&lt;&gt;"--",固定数据!AL11,0),0, 3)</f>
        <v>--</v>
      </c>
      <c r="U14" s="2" t="str" cm="1">
        <f t="array" ref="U14">计算得分(INDEX([1]Sheet1!$G:$G, MATCH(A14, [1]Sheet1!$B:$B,0)), 固定数据!AN11, 固定数据!AO11, 0.5, 3,0, 0)</f>
        <v>--</v>
      </c>
      <c r="V14" s="2" t="str" cm="1">
        <f t="array" ref="V14">计算得分(INDEX([1]Sheet1!$H:$H, MATCH(A14, [1]Sheet1!$B:$B,0)), 固定数据!AP11, 固定数据!AQ11, 0.4, 5,0, 1)</f>
        <v>--</v>
      </c>
      <c r="W14" s="2" t="str" cm="1">
        <f t="array" ref="W14">计算得分(INDEX([1]Sheet1!$J:$J, MATCH(A14, [1]Sheet1!$B:$B,0)), 固定数据!AR11, 固定数据!AS11, 0.2, 2,2, 4)</f>
        <v>--</v>
      </c>
      <c r="X14" s="2" t="str" cm="1">
        <f t="array" ref="X14">计算得分(INDEX([1]Sheet1!$K:$K, MATCH(A14, [1]Sheet1!$B:$B,0)), 固定数据!AT11, 固定数据!AU11, 0.2, 1.5,1.5, 4)</f>
        <v>--</v>
      </c>
      <c r="Y14" s="2" t="str" cm="1">
        <f t="array" ref="Y14">计算得分(INDEX([1]Sheet1!$AA:$AA, MATCH(A14, [1]Sheet1!$B:$B,0)), 固定数据!AV11, 固定数据!AW11, 0.05, IF(固定数据!AV11&lt;&gt;"--",固定数据!AV11,0),0, 3)</f>
        <v>--</v>
      </c>
      <c r="Z14" s="2" t="str" cm="1">
        <f t="array" ref="Z14">计算得分(INDEX([1]Sheet1!$AB:$AB, MATCH(A14, [1]Sheet1!$B:$B,0)), 固定数据!AX11, 固定数据!AY11, 0.05, IF(固定数据!AX11&lt;&gt;"--",固定数据!AX11,0),0, 3)</f>
        <v>--</v>
      </c>
      <c r="AA14" s="2" t="str" cm="1">
        <f t="array" ref="AA14">计算得分(INDEX([1]Sheet1!$AC:$AC, MATCH(A14, [1]Sheet1!$B:$B,0)), 固定数据!AZ11, 固定数据!BA11, 0.04, IF(固定数据!AZ11&lt;&gt;"--",固定数据!AZ11,0),0, 3)</f>
        <v>--</v>
      </c>
      <c r="AB14" s="2" t="str" cm="1">
        <f t="array" ref="AB14">计算得分(INDEX([1]Sheet1!$AD:$AD, MATCH(A14, [1]Sheet1!$B:$B,0)), 固定数据!BB11, 固定数据!BC11, 0.03, IF(固定数据!BB11&lt;&gt;"--",固定数据!BB11,0),0, 3)</f>
        <v>--</v>
      </c>
      <c r="AC14" s="2" t="str" cm="1">
        <f t="array" ref="AC14">计算得分(INDEX([1]Sheet1!$AE:$AE, MATCH(A14, [1]Sheet1!$B:$B,0)), 固定数据!BD11, 固定数据!BE11, 0.04, IF(固定数据!BD11&lt;&gt;"--",固定数据!BD11,0),0, 3)</f>
        <v>--</v>
      </c>
      <c r="AD14" s="2" t="str" cm="1">
        <f t="array" ref="AD14">计算得分(INDEX([1]Sheet1!$L:$L, MATCH(A14, [1]Sheet1!$B:$B,0)), 固定数据!BF11, 固定数据!BG11, 0.1, 12.5,0, 3)</f>
        <v>--</v>
      </c>
      <c r="AE14" s="2" t="str" cm="1">
        <f t="array" ref="AE14">计算得分(INDEX([1]Sheet1!$N:$N, MATCH(A14, [1]Sheet1!$B:$B,0)), 固定数据!BH11, 固定数据!BI11, 0.2, 7,0, 0)</f>
        <v>--</v>
      </c>
      <c r="AF14" s="2" t="str" cm="1">
        <f t="array" ref="AF14">计算得分(INDEX([1]Sheet1!$Q:$Q, MATCH(A14, [1]Sheet1!$B:$B,0)), 固定数据!BJ11, 固定数据!BK11, 0.2, 7,0, 0)</f>
        <v>--</v>
      </c>
      <c r="AG14" s="2" t="str" cm="1">
        <f t="array" ref="AG14">计算得分(INDEX([1]Sheet1!$S:$S, MATCH(A14, [1]Sheet1!$B:$B,0)), 固定数据!BL11, 固定数据!BM11, 0.2, 20,0, 0)</f>
        <v>--</v>
      </c>
      <c r="AH14" s="6" t="str" cm="1">
        <f t="array" ref="AH14">计算得分(INDEX([1]Sheet1!$AF:$AF, MATCH(A14, [1]Sheet1!$B:$B,0)), 固定数据!BN11, 固定数据!BO11, 0.1, 10,0, 3)</f>
        <v>--</v>
      </c>
      <c r="AI14" s="2" t="str" cm="1">
        <f t="array" ref="AI14">计算得分(INDEX([1]Sheet1!$M:$M, MATCH(A14, [1]Sheet1!$B:$B,0)), 固定数据!BP11, 固定数据!BQ11, 0.2, 20,0, 3)</f>
        <v>--</v>
      </c>
      <c r="AJ14" s="2" t="str" cm="1">
        <f t="array" ref="AJ14">计算得分(INDEX([1]Sheet1!$Z:$Z, MATCH(A14, [1]Sheet1!$B:$B,0)), 固定数据!BR11, 固定数据!BS11, 10, 50,0, 0)</f>
        <v>--</v>
      </c>
      <c r="AK14" s="2" t="str" cm="1">
        <f t="array" ref="AK14">计算得分(INDEX([1]Sheet1!$O:$O, MATCH(A14, [1]Sheet1!$B:$B,0)), 固定数据!BT11, 固定数据!BU11, 0.2, 15,0, 0)</f>
        <v>--</v>
      </c>
      <c r="AL14" s="2" t="str" cm="1">
        <f t="array" ref="AL14">计算得分(INDEX([1]Sheet1!$R:$R, MATCH(A14, [1]Sheet1!$B:$B,0)), 固定数据!BV11, 固定数据!BW11, 0.2, 10,0, 0)</f>
        <v>--</v>
      </c>
      <c r="AM14" s="2" t="str" cm="1">
        <f t="array" ref="AM14">计算得分(INDEX([1]Sheet1!$T:$T, MATCH(A14, [1]Sheet1!$B:$B,0)), 固定数据!BX11, 固定数据!BY11, 0.2, 20,0, 0)</f>
        <v>--</v>
      </c>
      <c r="AN14" s="2" cm="1">
        <f t="array" ref="AN14">计算得分([3]Sheet1!$F$3, 固定数据!BZ11, 固定数据!CA11, 0.5, 15,0, 0)</f>
        <v>104.4</v>
      </c>
      <c r="AO14" s="6" cm="1">
        <f t="array" ref="AO14">计算得分([3]Sheet1!$G$3, 固定数据!CB11, 固定数据!CC11, 0.01, 5,0, 1)</f>
        <v>3675</v>
      </c>
      <c r="AP14" s="6" cm="1">
        <f t="array" ref="AP14">计算得分([3]Sheet1!$H$3, 固定数据!CD11, 固定数据!CE11, 0.001, 5,0, 1)</f>
        <v>18357</v>
      </c>
      <c r="AQ14" s="6" cm="1">
        <f t="array" ref="AQ14">计算得分([3]Sheet1!$D$3,固定数据!CF11,固定数据!CG11,0.05,5,0,3)</f>
        <v>186.8</v>
      </c>
      <c r="AR14" s="6" cm="1">
        <f t="array" ref="AR14">计算得分([3]Sheet1!$E$3,固定数据!CH11,固定数据!CI11,0.1,10,0,3)</f>
        <v>7574.53</v>
      </c>
      <c r="AS14" s="7" t="s">
        <v>74</v>
      </c>
      <c r="AT14" s="6" cm="1">
        <f t="array" ref="AT14">计算得分(INDEX([3]Sheet1!$J:$J, MATCH(A14, [3]Sheet1!$B:$B,0)), 固定数据!CL11, 固定数据!CM11, 2, 0,-10, 0)</f>
        <v>100</v>
      </c>
      <c r="AU14" s="2" cm="1">
        <f t="array" ref="AU14">计算得分(INDEX([3]Sheet1!$K:$K, MATCH(A14, [3]Sheet1!$B:$B,0)), 固定数据!CN11, 固定数据!CO11, 3, 0,-10, 0)</f>
        <v>100</v>
      </c>
      <c r="AV14" s="2" cm="1">
        <f t="array" ref="AV14">计算得分(INDEX([3]Sheet1!$L:$L, MATCH(A14, [3]Sheet1!$B:$B,0)), 固定数据!CP11, 固定数据!CQ11, 3, 0,-10, 0)</f>
        <v>100</v>
      </c>
      <c r="AW14" s="2" cm="1">
        <f t="array" ref="AW14">计算得分(INDEX([3]Sheet1!$M:$M, MATCH(A14, [3]Sheet1!$B:$B,0)), 固定数据!CR11, 固定数据!CS11, 100, 0,-100, 0)</f>
        <v>100</v>
      </c>
      <c r="AX14" s="2" cm="1">
        <f t="array" ref="AX14">计算得分(INDEX([3]Sheet1!$N:$N, MATCH(A14, [3]Sheet1!$B:$B,0)), 固定数据!CT11, 固定数据!CU11, 3, 0,-10, 0)</f>
        <v>100</v>
      </c>
      <c r="AY14" s="7" t="s">
        <v>74</v>
      </c>
      <c r="AZ14" s="7" t="s">
        <v>74</v>
      </c>
      <c r="BA14" s="2">
        <f>IFERROR(VLOOKUP(A14,[4]KPI评分!B:C,2,FALSE)*60%,"--")</f>
        <v>56.64</v>
      </c>
    </row>
    <row r="15" spans="1:53" ht="24.75" customHeight="1" x14ac:dyDescent="0.25">
      <c r="A15" s="3" t="s">
        <v>83</v>
      </c>
      <c r="B15" s="4" cm="1">
        <f t="array" ref="B15">计算得分(INDEX([1]Sheet1!$W:$W, MATCH(A15, [1]Sheet1!$B:$B,0)), 固定数据!B12, 固定数据!C12, 0.5, 0,-10, 0)</f>
        <v>0</v>
      </c>
      <c r="C15" s="4" cm="1">
        <f t="array" ref="C15">计算得分(INDEX([1]Sheet1!$X:$X, MATCH(A15, [1]Sheet1!$B:$B,0)), 固定数据!D12, 固定数据!E12, 1, 0,-10, 0)</f>
        <v>0</v>
      </c>
      <c r="D15" s="4" cm="1">
        <f t="array" ref="D15">计算得分(INDEX([1]Sheet1!$Y:$Y, MATCH(A15, [1]Sheet1!$B:$B,0)), 固定数据!F12, 固定数据!G12, 2, 0,-10, 0)</f>
        <v>0</v>
      </c>
      <c r="E15" s="4" t="str" cm="1">
        <f t="array" ref="E15">计算得分(INDEX([1]Sheet1!$C:$C, MATCH(A15, [1]Sheet1!$B:$B,0)), 固定数据!H12, 固定数据!I12, 0.02, 10,0, 1)</f>
        <v>--</v>
      </c>
      <c r="F15" s="4" t="str" cm="1">
        <f t="array" ref="F15">计算得分(INDEX([1]Sheet1!$D:$D, MATCH(A15, [1]Sheet1!$B:$B,0)), 固定数据!J12, 固定数据!K12, 0, 0,0, 0)</f>
        <v>--</v>
      </c>
      <c r="G15" s="4" cm="1">
        <f t="array" ref="G15">计算得分(INDEX([1]Sheet1!$E:$E, MATCH(A15, [1]Sheet1!$B:$B,0)), 固定数据!L12, 固定数据!M12, 0.3, 3,0, 5)</f>
        <v>50463.3</v>
      </c>
      <c r="H15" s="4" cm="1">
        <f t="array" ref="H15">计算得分(INDEX([1]Sheet1!$AG:$AG, MATCH(A15, [1]Sheet1!$B:$B,0)), 固定数据!N12, 固定数据!O12, 0.03, 3,0, 3)</f>
        <v>100</v>
      </c>
      <c r="I15" s="4" cm="1">
        <f t="array" ref="I15">计算得分(INDEX([1]Sheet1!$V:$V, MATCH(A15, [1]Sheet1!$B:$B,0)), 固定数据!P12, 固定数据!Q12, 1, 0,-100, 0)</f>
        <v>0</v>
      </c>
      <c r="J15" s="4" t="str" cm="1">
        <f t="array" ref="J15">计算得分(INDEX([1]Sheet1!$AI:$AI, MATCH(A15, [1]Sheet1!$B:$B,0)), 固定数据!R12, 固定数据!S12, 0.04, 12,0, 3)</f>
        <v>--</v>
      </c>
      <c r="K15" s="4" cm="1">
        <f t="array" ref="K15">计算得分(INDEX([1]Sheet1!$F:$F, MATCH(A15, [1]Sheet1!$B:$B,0)), 固定数据!T12, 固定数据!U12, 0.02, 3,0, 1)</f>
        <v>43.28</v>
      </c>
      <c r="L15" s="4" t="str" cm="1">
        <f t="array" ref="L15">计算得分(INDEX([1]Sheet1!$U:$U, MATCH(A15, [1]Sheet1!$B:$B,0)), 固定数据!V12, 固定数据!W12, 0.2, 20,0, 0)</f>
        <v>--</v>
      </c>
      <c r="M15" s="4" t="str" cm="1">
        <f t="array" ref="M15">计算得分(100, 固定数据!X12, 固定数据!Y12, 0, 5,0, 0)</f>
        <v>--</v>
      </c>
      <c r="N15" s="4" t="str" cm="1">
        <f t="array" ref="N15">计算得分(100, 固定数据!Z12, 固定数据!AA12, 0, 5,0, 0)</f>
        <v>--</v>
      </c>
      <c r="O15" s="4" t="str" cm="1">
        <f t="array" ref="O15">计算得分(100, 固定数据!AB12, 固定数据!AC12, 0, 7,0, 0)</f>
        <v>--</v>
      </c>
      <c r="P15" s="4" t="str" cm="1">
        <f t="array" ref="P15">计算得分(INDEX([1]Sheet1!$P:$P, MATCH(A15, [1]Sheet1!$B:$B,0)), 固定数据!AD12, 固定数据!AE12, 0.2, 7,0, 0)</f>
        <v>--</v>
      </c>
      <c r="Q15" s="4" cm="1">
        <f t="array" ref="Q15">计算得分(INDEX([1]Sheet1!$I:$I, MATCH(A15, [1]Sheet1!$B:$B,0)), 固定数据!AF12, 固定数据!AG12,0.2, IF(固定数据!AF12&lt;&gt;"--",固定数据!AF12,0),2, 5)</f>
        <v>257.69</v>
      </c>
      <c r="R15" s="4" cm="1">
        <f t="array" ref="R15">计算得分(INDEX([2]Sheet1!$AL:$AL, MATCH(A15, [2]Sheet1!$A:$A,0)), 固定数据!AH12, 固定数据!AI12, 0.02, 6,6, 1)</f>
        <v>132</v>
      </c>
      <c r="S15" s="4" cm="1">
        <f t="array" ref="S15">计算得分(INDEX([2]Sheet1!$I:$I, MATCH(A15, [2]Sheet1!$A:$A,0)), 固定数据!AJ12, 固定数据!AK12, 0.005, 6,0, 1)</f>
        <v>394</v>
      </c>
      <c r="T15" s="4" cm="1">
        <f t="array" ref="T15">计算得分(98, 固定数据!AL12, 固定数据!AM12, 0.03, IF(固定数据!AL12&lt;&gt;"--",固定数据!AL12,0),0, 3)</f>
        <v>98</v>
      </c>
      <c r="U15" s="4" cm="1">
        <f t="array" ref="U15">计算得分(INDEX([1]Sheet1!$G:$G, MATCH(A15, [1]Sheet1!$B:$B,0)), 固定数据!AN12, 固定数据!AO12, 0.5, 3,0, 0)</f>
        <v>8.1999999999999993</v>
      </c>
      <c r="V15" s="4" cm="1">
        <f t="array" ref="V15">计算得分(INDEX([1]Sheet1!$H:$H, MATCH(A15, [1]Sheet1!$B:$B,0)), 固定数据!AP12, 固定数据!AQ12, 0.4, 5,0, 1)</f>
        <v>3.77</v>
      </c>
      <c r="W15" s="4" cm="1">
        <f t="array" ref="W15">计算得分(INDEX([1]Sheet1!$J:$J, MATCH(A15, [1]Sheet1!$B:$B,0)), 固定数据!AR12, 固定数据!AS12, 0.2, 2,2, 4)</f>
        <v>257.69</v>
      </c>
      <c r="X15" s="4" cm="1">
        <f t="array" ref="X15">计算得分(INDEX([1]Sheet1!$K:$K, MATCH(A15, [1]Sheet1!$B:$B,0)), 固定数据!AT12, 固定数据!AU12, 0.2, 1.5,1.5, 4)</f>
        <v>13124.79</v>
      </c>
      <c r="Y15" s="4" cm="1">
        <f t="array" ref="Y15">计算得分(INDEX([1]Sheet1!$AA:$AA, MATCH(A15, [1]Sheet1!$B:$B,0)), 固定数据!AV12, 固定数据!AW12, 0.05, IF(固定数据!AV12&lt;&gt;"--",固定数据!AV12,0),0, 3)</f>
        <v>87</v>
      </c>
      <c r="Z15" s="4" cm="1">
        <f t="array" ref="Z15">计算得分(INDEX([1]Sheet1!$AB:$AB, MATCH(A15, [1]Sheet1!$B:$B,0)), 固定数据!AX12, 固定数据!AY12, 0.05, IF(固定数据!AX12&lt;&gt;"--",固定数据!AX12,0),0, 3)</f>
        <v>95.8</v>
      </c>
      <c r="AA15" s="4" cm="1">
        <f t="array" ref="AA15">计算得分(INDEX([1]Sheet1!$AC:$AC, MATCH(A15, [1]Sheet1!$B:$B,0)), 固定数据!AZ12, 固定数据!BA12, 0.04, IF(固定数据!AZ12&lt;&gt;"--",固定数据!AZ12,0),0, 3)</f>
        <v>94</v>
      </c>
      <c r="AB15" s="4" cm="1">
        <f t="array" ref="AB15">计算得分(INDEX([1]Sheet1!$AD:$AD, MATCH(A15, [1]Sheet1!$B:$B,0)), 固定数据!BB12, 固定数据!BC12, 0.03, IF(固定数据!BB12&lt;&gt;"--",固定数据!BB12,0),0, 3)</f>
        <v>94</v>
      </c>
      <c r="AC15" s="4" cm="1">
        <f t="array" ref="AC15">计算得分(INDEX([1]Sheet1!$AE:$AE, MATCH(A15, [1]Sheet1!$B:$B,0)), 固定数据!BD12, 固定数据!BE12, 0.04, IF(固定数据!BD12&lt;&gt;"--",固定数据!BD12,0),0, 3)</f>
        <v>95.81</v>
      </c>
      <c r="AD15" s="4" cm="1">
        <f t="array" ref="AD15">计算得分(INDEX([1]Sheet1!$L:$L, MATCH(A15, [1]Sheet1!$B:$B,0)), 固定数据!BF12, 固定数据!BG12, 0.1, 12.5,0, 3)</f>
        <v>7661.82</v>
      </c>
      <c r="AE15" s="4" cm="1">
        <f t="array" ref="AE15">计算得分(INDEX([1]Sheet1!$N:$N, MATCH(A15, [1]Sheet1!$B:$B,0)), 固定数据!BH12, 固定数据!BI12, 0.2, 7,0, 0)</f>
        <v>13.26</v>
      </c>
      <c r="AF15" s="4" cm="1">
        <f t="array" ref="AF15">计算得分(INDEX([1]Sheet1!$Q:$Q, MATCH(A15, [1]Sheet1!$B:$B,0)), 固定数据!BJ12, 固定数据!BK12, 0.2, 7,0, 0)</f>
        <v>23.95</v>
      </c>
      <c r="AG15" s="4" cm="1">
        <f t="array" ref="AG15">计算得分(INDEX([1]Sheet1!$S:$S, MATCH(A15, [1]Sheet1!$B:$B,0)), 固定数据!BL12, 固定数据!BM12, 0.2, 20,0, 0)</f>
        <v>54.77</v>
      </c>
      <c r="AH15" s="4" t="str" cm="1">
        <f t="array" ref="AH15">计算得分(INDEX([1]Sheet1!$AF:$AF, MATCH(A15, [1]Sheet1!$B:$B,0)), 固定数据!BN12, 固定数据!BO12, 0.1, 10,0, 3)</f>
        <v>--</v>
      </c>
      <c r="AI15" s="4" t="str" cm="1">
        <f t="array" ref="AI15">计算得分(INDEX([1]Sheet1!$M:$M, MATCH(A15, [1]Sheet1!$B:$B,0)), 固定数据!BP12, 固定数据!BQ12, 0.2, 20,0, 3)</f>
        <v>--</v>
      </c>
      <c r="AJ15" s="4" cm="1">
        <f t="array" ref="AJ15">计算得分(INDEX([1]Sheet1!$Z:$Z, MATCH(A15, [1]Sheet1!$B:$B,0)), 固定数据!BR12, 固定数据!BS12, 10, 50,0, 0)</f>
        <v>0</v>
      </c>
      <c r="AK15" s="4" t="str" cm="1">
        <f t="array" ref="AK15">计算得分(INDEX([1]Sheet1!$O:$O, MATCH(A15, [1]Sheet1!$B:$B,0)), 固定数据!BT12, 固定数据!BU12, 0.2, 15,0, 0)</f>
        <v>--</v>
      </c>
      <c r="AL15" s="4" t="str" cm="1">
        <f t="array" ref="AL15">计算得分(INDEX([1]Sheet1!$R:$R, MATCH(A15, [1]Sheet1!$B:$B,0)), 固定数据!BV12, 固定数据!BW12, 0.2, 10,0, 0)</f>
        <v>--</v>
      </c>
      <c r="AM15" s="4" t="str" cm="1">
        <f t="array" ref="AM15">计算得分(INDEX([1]Sheet1!$T:$T, MATCH(A15, [1]Sheet1!$B:$B,0)), 固定数据!BX12, 固定数据!BY12, 0.2, 20,0, 0)</f>
        <v>--</v>
      </c>
      <c r="AN15" s="4" t="str" cm="1">
        <f t="array" ref="AN15">计算得分([3]Sheet1!$F$3, 固定数据!BZ12, 固定数据!CA12, 0.5, 15,0, 0)</f>
        <v>--</v>
      </c>
      <c r="AO15" s="4" t="str" cm="1">
        <f t="array" ref="AO15">计算得分([3]Sheet1!$G$3, 固定数据!CB12, 固定数据!CC12, 0.01, 5,0, 1)</f>
        <v>--</v>
      </c>
      <c r="AP15" s="4" t="str" cm="1">
        <f t="array" ref="AP15">计算得分([3]Sheet1!$H$3, 固定数据!CD12, 固定数据!CE12, 0.001, 5,0, 1)</f>
        <v>--</v>
      </c>
      <c r="AQ15" s="4" t="str" cm="1">
        <f t="array" ref="AQ15">计算得分([3]Sheet1!$D$3,固定数据!CF12,固定数据!CG12,0.05,5,0,3)</f>
        <v>--</v>
      </c>
      <c r="AR15" s="4" t="str" cm="1">
        <f t="array" ref="AR15">计算得分([3]Sheet1!$E$3,固定数据!CH12,固定数据!CI12,0.1,10,0,3)</f>
        <v>--</v>
      </c>
      <c r="AS15" s="8" t="s">
        <v>74</v>
      </c>
      <c r="AT15" s="4" t="str" cm="1">
        <f t="array" ref="AT15">计算得分(INDEX([3]Sheet1!$J:$J, MATCH(A15, [3]Sheet1!$B:$B,0)), 固定数据!CL12, 固定数据!CM12, 2, 0,-10, 0)</f>
        <v>--</v>
      </c>
      <c r="AU15" s="4" t="str" cm="1">
        <f t="array" ref="AU15">计算得分(INDEX([3]Sheet1!$K:$K, MATCH(A15, [3]Sheet1!$B:$B,0)), 固定数据!CN12, 固定数据!CO12, 3, 0,-10, 0)</f>
        <v>--</v>
      </c>
      <c r="AV15" s="4" t="str" cm="1">
        <f t="array" ref="AV15">计算得分(INDEX([3]Sheet1!$L:$L, MATCH(A15, [3]Sheet1!$B:$B,0)), 固定数据!CP12, 固定数据!CQ12, 3, 0,-10, 0)</f>
        <v>--</v>
      </c>
      <c r="AW15" s="4" t="str" cm="1">
        <f t="array" ref="AW15">计算得分(INDEX([3]Sheet1!$M:$M, MATCH(A15, [3]Sheet1!$B:$B,0)), 固定数据!CR12, 固定数据!CS12, 100, 0,-100, 0)</f>
        <v>--</v>
      </c>
      <c r="AX15" s="4" t="str" cm="1">
        <f t="array" ref="AX15">计算得分(INDEX([3]Sheet1!$N:$N, MATCH(A15, [3]Sheet1!$B:$B,0)), 固定数据!CT12, 固定数据!CU12, 3, 0,-10, 0)</f>
        <v>--</v>
      </c>
      <c r="AY15" s="8" t="s">
        <v>74</v>
      </c>
      <c r="AZ15" s="8" t="s">
        <v>74</v>
      </c>
      <c r="BA15" s="4" t="str">
        <f>IFERROR(VLOOKUP(A15,[4]KPI评分!B:C,2,FALSE)*60%,"--")</f>
        <v>--</v>
      </c>
    </row>
    <row r="16" spans="1:53" ht="24.75" customHeight="1" x14ac:dyDescent="0.25">
      <c r="A16" s="1" t="s">
        <v>84</v>
      </c>
      <c r="B16" s="2" t="str" cm="1">
        <f t="array" ref="B16">计算得分(INDEX([1]Sheet1!$W:$W, MATCH(A16, [1]Sheet1!$B:$B,0)), 固定数据!B13, 固定数据!C13, 0.5, 0,-10, 0)</f>
        <v>--</v>
      </c>
      <c r="C16" s="2" t="str" cm="1">
        <f t="array" ref="C16">计算得分(INDEX([1]Sheet1!$X:$X, MATCH(A16, [1]Sheet1!$B:$B,0)), 固定数据!D13, 固定数据!E13, 1, 0,-10, 0)</f>
        <v>--</v>
      </c>
      <c r="D16" s="2" t="str" cm="1">
        <f t="array" ref="D16">计算得分(INDEX([1]Sheet1!$Y:$Y, MATCH(A16, [1]Sheet1!$B:$B,0)), 固定数据!F13, 固定数据!G13, 2, 0,-10, 0)</f>
        <v>--</v>
      </c>
      <c r="E16" s="6" t="str" cm="1">
        <f t="array" ref="E16">计算得分(INDEX([1]Sheet1!$C:$C, MATCH(A16, [1]Sheet1!$B:$B,0)), 固定数据!H13, 固定数据!I13, 0.02, 10,0, 1)</f>
        <v>--</v>
      </c>
      <c r="F16" s="2" t="str" cm="1">
        <f t="array" ref="F16">计算得分(INDEX([1]Sheet1!$D:$D, MATCH(A16, [1]Sheet1!$B:$B,0)), 固定数据!J13, 固定数据!K13, 0, 0,0, 0)</f>
        <v>--</v>
      </c>
      <c r="G16" s="2" t="str" cm="1">
        <f t="array" ref="G16">计算得分(INDEX([1]Sheet1!$E:$E, MATCH(A16, [1]Sheet1!$B:$B,0)), 固定数据!L13, 固定数据!M13,  0.3, 3,0, 5)</f>
        <v>--</v>
      </c>
      <c r="H16" s="2" t="str" cm="1">
        <f t="array" ref="H16">计算得分(INDEX([1]Sheet1!$AG:$AG, MATCH(A16, [1]Sheet1!$B:$B,0)), 固定数据!N13, 固定数据!O13, 0.03, 3,0, 3)</f>
        <v>--</v>
      </c>
      <c r="I16" s="2" t="str" cm="1">
        <f t="array" ref="I16">计算得分(INDEX([1]Sheet1!$V:$V, MATCH(A16, [1]Sheet1!$B:$B,0)), 固定数据!P13, 固定数据!Q13, 1, 0,-100, 0)</f>
        <v>--</v>
      </c>
      <c r="J16" s="2" t="str" cm="1">
        <f t="array" ref="J16">计算得分(INDEX([1]Sheet1!$AI:$AI, MATCH(A16, [1]Sheet1!$B:$B,0)), 固定数据!R13, 固定数据!S13, 0.04, 12,0, 3)</f>
        <v>--</v>
      </c>
      <c r="K16" s="2" t="str" cm="1">
        <f t="array" ref="K16">计算得分(INDEX([1]Sheet1!$F:$F, MATCH(A16, [1]Sheet1!$B:$B,0)), 固定数据!T13, 固定数据!U13, 0.02, 3,0, 1)</f>
        <v>--</v>
      </c>
      <c r="L16" s="2" t="str" cm="1">
        <f t="array" ref="L16">计算得分(INDEX([1]Sheet1!$U:$U, MATCH(A16, [1]Sheet1!$B:$B,0)), 固定数据!V13, 固定数据!W13, 0.2, 20,0, 0)</f>
        <v>--</v>
      </c>
      <c r="M16" s="2" t="str" cm="1">
        <f t="array" ref="M16">计算得分(100, 固定数据!X13, 固定数据!Y13, 0, 5,0, 0)</f>
        <v>--</v>
      </c>
      <c r="N16" s="2" t="str" cm="1">
        <f t="array" ref="N16">计算得分(100, 固定数据!Z13, 固定数据!AA13, 0, 5,0, 0)</f>
        <v>--</v>
      </c>
      <c r="O16" s="2" t="str" cm="1">
        <f t="array" ref="O16">计算得分(100, 固定数据!AB13, 固定数据!AC13, 0, 7,0, 0)</f>
        <v>--</v>
      </c>
      <c r="P16" s="2" t="str" cm="1">
        <f t="array" ref="P16">计算得分(INDEX([1]Sheet1!$P:$P, MATCH(A16, [1]Sheet1!$B:$B,0)), 固定数据!AD13, 固定数据!AE13, 0.2, 7,0, 0)</f>
        <v>--</v>
      </c>
      <c r="Q16" s="2" t="str" cm="1">
        <f t="array" ref="Q16">计算得分(INDEX([1]Sheet1!$I:$I, MATCH(A16, [1]Sheet1!$B:$B,0)), 固定数据!AF13, 固定数据!AG13,0.2, IF(固定数据!AF13&lt;&gt;"--",固定数据!AF13,0),2, 5)</f>
        <v>--</v>
      </c>
      <c r="R16" s="2" t="str" cm="1">
        <f t="array" ref="R16">计算得分(INDEX([2]Sheet1!$AL:$AL, MATCH(A16, [2]Sheet1!$A:$A,0)), 固定数据!AH13, 固定数据!AI13, 0.02, 6,6, 1)</f>
        <v>--</v>
      </c>
      <c r="S16" s="2" t="str" cm="1">
        <f t="array" ref="S16">计算得分(INDEX([2]Sheet1!$I:$I, MATCH(A16, [2]Sheet1!$A:$A,0)), 固定数据!AJ13, 固定数据!AK13, 0.005, 6,0, 1)</f>
        <v>--</v>
      </c>
      <c r="T16" s="2" t="str" cm="1">
        <f t="array" ref="T16">计算得分(98, 固定数据!AL13, 固定数据!AM13, 0.03, IF(固定数据!AL13&lt;&gt;"--",固定数据!AL13,0),0, 3)</f>
        <v>--</v>
      </c>
      <c r="U16" s="2" t="str" cm="1">
        <f t="array" ref="U16">计算得分(INDEX([1]Sheet1!$G:$G, MATCH(A16, [1]Sheet1!$B:$B,0)), 固定数据!AN13, 固定数据!AO13, 0.5, 3,0, 0)</f>
        <v>--</v>
      </c>
      <c r="V16" s="2" t="str" cm="1">
        <f t="array" ref="V16">计算得分(INDEX([1]Sheet1!$H:$H, MATCH(A16, [1]Sheet1!$B:$B,0)), 固定数据!AP13, 固定数据!AQ13, 0.4, 5,0, 1)</f>
        <v>--</v>
      </c>
      <c r="W16" s="2" t="str" cm="1">
        <f t="array" ref="W16">计算得分(INDEX([1]Sheet1!$J:$J, MATCH(A16, [1]Sheet1!$B:$B,0)), 固定数据!AR13, 固定数据!AS13, 0.2, 2,2, 4)</f>
        <v>--</v>
      </c>
      <c r="X16" s="2" t="str" cm="1">
        <f t="array" ref="X16">计算得分(INDEX([1]Sheet1!$K:$K, MATCH(A16, [1]Sheet1!$B:$B,0)), 固定数据!AT13, 固定数据!AU13, 0.2, 1.5,1.5, 4)</f>
        <v>--</v>
      </c>
      <c r="Y16" s="2" t="str" cm="1">
        <f t="array" ref="Y16">计算得分(INDEX([1]Sheet1!$AA:$AA, MATCH(A16, [1]Sheet1!$B:$B,0)), 固定数据!AV13, 固定数据!AW13, 0.05, IF(固定数据!AV13&lt;&gt;"--",固定数据!AV13,0),0, 3)</f>
        <v>--</v>
      </c>
      <c r="Z16" s="2" t="str" cm="1">
        <f t="array" ref="Z16">计算得分(INDEX([1]Sheet1!$AB:$AB, MATCH(A16, [1]Sheet1!$B:$B,0)), 固定数据!AX13, 固定数据!AY13, 0.05, IF(固定数据!AX13&lt;&gt;"--",固定数据!AX13,0),0, 3)</f>
        <v>--</v>
      </c>
      <c r="AA16" s="2" t="str" cm="1">
        <f t="array" ref="AA16">计算得分(INDEX([1]Sheet1!$AC:$AC, MATCH(A16, [1]Sheet1!$B:$B,0)), 固定数据!AZ13, 固定数据!BA13, 0.04, IF(固定数据!AZ13&lt;&gt;"--",固定数据!AZ13,0),0, 3)</f>
        <v>--</v>
      </c>
      <c r="AB16" s="2" t="str" cm="1">
        <f t="array" ref="AB16">计算得分(INDEX([1]Sheet1!$AD:$AD, MATCH(A16, [1]Sheet1!$B:$B,0)), 固定数据!BB13, 固定数据!BC13, 0.03, IF(固定数据!BB13&lt;&gt;"--",固定数据!BB13,0),0, 3)</f>
        <v>--</v>
      </c>
      <c r="AC16" s="2" t="str" cm="1">
        <f t="array" ref="AC16">计算得分(INDEX([1]Sheet1!$AE:$AE, MATCH(A16, [1]Sheet1!$B:$B,0)), 固定数据!BD13, 固定数据!BE13, 0.04, IF(固定数据!BD13&lt;&gt;"--",固定数据!BD13,0),0, 3)</f>
        <v>--</v>
      </c>
      <c r="AD16" s="2" t="str" cm="1">
        <f t="array" ref="AD16">计算得分(INDEX([1]Sheet1!$L:$L, MATCH(A16, [1]Sheet1!$B:$B,0)), 固定数据!BF13, 固定数据!BG13, 0.1, 12.5,0, 3)</f>
        <v>--</v>
      </c>
      <c r="AE16" s="2" t="str" cm="1">
        <f t="array" ref="AE16">计算得分(INDEX([1]Sheet1!$N:$N, MATCH(A16, [1]Sheet1!$B:$B,0)), 固定数据!BH13, 固定数据!BI13, 0.2, 7,0, 0)</f>
        <v>--</v>
      </c>
      <c r="AF16" s="2" t="str" cm="1">
        <f t="array" ref="AF16">计算得分(INDEX([1]Sheet1!$Q:$Q, MATCH(A16, [1]Sheet1!$B:$B,0)), 固定数据!BJ13, 固定数据!BK13, 0.2, 7,0, 0)</f>
        <v>--</v>
      </c>
      <c r="AG16" s="2" t="str" cm="1">
        <f t="array" ref="AG16">计算得分(INDEX([1]Sheet1!$S:$S, MATCH(A16, [1]Sheet1!$B:$B,0)), 固定数据!BL13, 固定数据!BM13, 0.2, 20,0, 0)</f>
        <v>--</v>
      </c>
      <c r="AH16" s="6" t="str" cm="1">
        <f t="array" ref="AH16">计算得分(INDEX([1]Sheet1!$AF:$AF, MATCH(A16, [1]Sheet1!$B:$B,0)), 固定数据!BN13, 固定数据!BO13, 0.1, 10,0, 3)</f>
        <v>--</v>
      </c>
      <c r="AI16" s="2" t="str" cm="1">
        <f t="array" ref="AI16">计算得分(INDEX([1]Sheet1!$M:$M, MATCH(A16, [1]Sheet1!$B:$B,0)), 固定数据!BP13, 固定数据!BQ13, 0.2, 20,0, 3)</f>
        <v>--</v>
      </c>
      <c r="AJ16" s="2" t="str" cm="1">
        <f t="array" ref="AJ16">计算得分(INDEX([1]Sheet1!$Z:$Z, MATCH(A16, [1]Sheet1!$B:$B,0)), 固定数据!BR13, 固定数据!BS13, 10, 50,0, 0)</f>
        <v>--</v>
      </c>
      <c r="AK16" s="2" t="str" cm="1">
        <f t="array" ref="AK16">计算得分(INDEX([1]Sheet1!$O:$O, MATCH(A16, [1]Sheet1!$B:$B,0)), 固定数据!BT13, 固定数据!BU13, 0.2, 15,0, 0)</f>
        <v>--</v>
      </c>
      <c r="AL16" s="2" t="str" cm="1">
        <f t="array" ref="AL16">计算得分(INDEX([1]Sheet1!$R:$R, MATCH(A16, [1]Sheet1!$B:$B,0)), 固定数据!BV13, 固定数据!BW13, 0.2, 10,0, 0)</f>
        <v>--</v>
      </c>
      <c r="AM16" s="2" t="str" cm="1">
        <f t="array" ref="AM16">计算得分(INDEX([1]Sheet1!$T:$T, MATCH(A16, [1]Sheet1!$B:$B,0)), 固定数据!BX13, 固定数据!BY13, 0.2, 20,0, 0)</f>
        <v>--</v>
      </c>
      <c r="AN16" s="2" t="str" cm="1">
        <f t="array" ref="AN16">计算得分([3]Sheet1!$F$3, 固定数据!BZ13, 固定数据!CA13, 0.5, 15,0, 0)</f>
        <v>--</v>
      </c>
      <c r="AO16" s="6" t="str" cm="1">
        <f t="array" ref="AO16">计算得分([3]Sheet1!$G$3, 固定数据!CB13, 固定数据!CC13, 0.01, 5,0, 1)</f>
        <v>--</v>
      </c>
      <c r="AP16" s="6" t="str" cm="1">
        <f t="array" ref="AP16">计算得分([3]Sheet1!$H$3, 固定数据!CD13, 固定数据!CE13, 0.001, 5,0, 1)</f>
        <v>--</v>
      </c>
      <c r="AQ16" s="6" t="str" cm="1">
        <f t="array" ref="AQ16">计算得分([3]Sheet1!$D$3,固定数据!CF13,固定数据!CG13,0.05,5,0,3)</f>
        <v>--</v>
      </c>
      <c r="AR16" s="6" t="str" cm="1">
        <f t="array" ref="AR16">计算得分([3]Sheet1!$E$3,固定数据!CH13,固定数据!CI13,0.1,10,0,3)</f>
        <v>--</v>
      </c>
      <c r="AS16" s="7" t="s">
        <v>74</v>
      </c>
      <c r="AT16" s="6" t="str" cm="1">
        <f t="array" ref="AT16">计算得分(INDEX([3]Sheet1!$J:$J, MATCH(A16, [3]Sheet1!$B:$B,0)), 固定数据!CL13, 固定数据!CM13, 2, 0,-10, 0)</f>
        <v>--</v>
      </c>
      <c r="AU16" s="2" t="str" cm="1">
        <f t="array" ref="AU16">计算得分(INDEX([3]Sheet1!$K:$K, MATCH(A16, [3]Sheet1!$B:$B,0)), 固定数据!CN13, 固定数据!CO13, 3, 0,-10, 0)</f>
        <v>--</v>
      </c>
      <c r="AV16" s="2" t="str" cm="1">
        <f t="array" ref="AV16">计算得分(INDEX([3]Sheet1!$L:$L, MATCH(A16, [3]Sheet1!$B:$B,0)), 固定数据!CP13, 固定数据!CQ13, 3, 0,-10, 0)</f>
        <v>--</v>
      </c>
      <c r="AW16" s="2" t="str" cm="1">
        <f t="array" ref="AW16">计算得分(INDEX([3]Sheet1!$M:$M, MATCH(A16, [3]Sheet1!$B:$B,0)), 固定数据!CR13, 固定数据!CS13, 100, 0,-100, 0)</f>
        <v>--</v>
      </c>
      <c r="AX16" s="2" t="str" cm="1">
        <f t="array" ref="AX16">计算得分(INDEX([3]Sheet1!$N:$N, MATCH(A16, [3]Sheet1!$B:$B,0)), 固定数据!CT13, 固定数据!CU13, 3, 0,-10, 0)</f>
        <v>--</v>
      </c>
      <c r="AY16" s="7" t="s">
        <v>74</v>
      </c>
      <c r="AZ16" s="7" t="s">
        <v>74</v>
      </c>
      <c r="BA16" s="2" t="str">
        <f>IFERROR(VLOOKUP(A16,[4]KPI评分!B:C,2,FALSE)*60%,"--")</f>
        <v>--</v>
      </c>
    </row>
    <row r="17" spans="1:53" ht="24.75" customHeight="1" x14ac:dyDescent="0.25">
      <c r="A17" s="3" t="s">
        <v>85</v>
      </c>
      <c r="B17" s="4" t="str" cm="1">
        <f t="array" ref="B17">计算得分(INDEX([1]Sheet1!$W:$W, MATCH(A17, [1]Sheet1!$B:$B,0)), 固定数据!B14, 固定数据!C14, 0.5, 0,-10, 0)</f>
        <v>--</v>
      </c>
      <c r="C17" s="4" t="str" cm="1">
        <f t="array" ref="C17">计算得分(INDEX([1]Sheet1!$X:$X, MATCH(A17, [1]Sheet1!$B:$B,0)), 固定数据!D14, 固定数据!E14, 1, 0,-10, 0)</f>
        <v>--</v>
      </c>
      <c r="D17" s="4" t="str" cm="1">
        <f t="array" ref="D17">计算得分(INDEX([1]Sheet1!$Y:$Y, MATCH(A17, [1]Sheet1!$B:$B,0)), 固定数据!F14, 固定数据!G14, 2, 0,-10, 0)</f>
        <v>--</v>
      </c>
      <c r="E17" s="4" t="str" cm="1">
        <f t="array" ref="E17">计算得分(INDEX([1]Sheet1!$C:$C, MATCH(A17, [1]Sheet1!$B:$B,0)), 固定数据!H14, 固定数据!I14, 0.02, 10,0, 1)</f>
        <v>--</v>
      </c>
      <c r="F17" s="4" t="str" cm="1">
        <f t="array" ref="F17">计算得分(INDEX([1]Sheet1!$D:$D, MATCH(A17, [1]Sheet1!$B:$B,0)), 固定数据!J14, 固定数据!K14, 0, 0,0, 0)</f>
        <v>--</v>
      </c>
      <c r="G17" s="4" t="str" cm="1">
        <f t="array" ref="G17">计算得分(INDEX([1]Sheet1!$E:$E, MATCH(A17, [1]Sheet1!$B:$B,0)), 固定数据!L14, 固定数据!M14, 0.3, 3,0, 5)</f>
        <v>--</v>
      </c>
      <c r="H17" s="4" t="str" cm="1">
        <f t="array" ref="H17">计算得分(INDEX([1]Sheet1!$AG:$AG, MATCH(A17, [1]Sheet1!$B:$B,0)), 固定数据!N14, 固定数据!O14, 0.03, 3,0, 3)</f>
        <v>--</v>
      </c>
      <c r="I17" s="4" t="str" cm="1">
        <f t="array" ref="I17">计算得分(INDEX([1]Sheet1!$V:$V, MATCH(A17, [1]Sheet1!$B:$B,0)), 固定数据!P14, 固定数据!Q14, 1, 0,-100, 0)</f>
        <v>--</v>
      </c>
      <c r="J17" s="4" t="str" cm="1">
        <f t="array" ref="J17">计算得分(INDEX([1]Sheet1!$AI:$AI, MATCH(A17, [1]Sheet1!$B:$B,0)), 固定数据!R14, 固定数据!S14, 0.04, 12,0, 3)</f>
        <v>--</v>
      </c>
      <c r="K17" s="4" t="str" cm="1">
        <f t="array" ref="K17">计算得分(INDEX([1]Sheet1!$F:$F, MATCH(A17, [1]Sheet1!$B:$B,0)), 固定数据!T14, 固定数据!U14, 0.02, 3,0, 1)</f>
        <v>--</v>
      </c>
      <c r="L17" s="4" t="str" cm="1">
        <f t="array" ref="L17">计算得分(INDEX([1]Sheet1!$U:$U, MATCH(A17, [1]Sheet1!$B:$B,0)), 固定数据!V14, 固定数据!W14, 0.2, 20,0, 0)</f>
        <v>--</v>
      </c>
      <c r="M17" s="4" t="str" cm="1">
        <f t="array" ref="M17">计算得分(100, 固定数据!X14, 固定数据!Y14, 0, 5,0, 0)</f>
        <v>--</v>
      </c>
      <c r="N17" s="4" t="str" cm="1">
        <f t="array" ref="N17">计算得分(100, 固定数据!Z14, 固定数据!AA14, 0, 5,0, 0)</f>
        <v>--</v>
      </c>
      <c r="O17" s="4" t="str" cm="1">
        <f t="array" ref="O17">计算得分(100, 固定数据!AB14, 固定数据!AC14, 0, 7,0, 0)</f>
        <v>--</v>
      </c>
      <c r="P17" s="4" t="str" cm="1">
        <f t="array" ref="P17">计算得分(INDEX([1]Sheet1!$P:$P, MATCH(A17, [1]Sheet1!$B:$B,0)), 固定数据!AD14, 固定数据!AE14, 0.2, 7,0, 0)</f>
        <v>--</v>
      </c>
      <c r="Q17" s="4" t="str" cm="1">
        <f t="array" ref="Q17">计算得分(INDEX([1]Sheet1!$I:$I, MATCH(A17, [1]Sheet1!$B:$B,0)), 固定数据!AF14, 固定数据!AG14,0.2, IF(固定数据!AF14&lt;&gt;"--",固定数据!AF14,0),2, 5)</f>
        <v>--</v>
      </c>
      <c r="R17" s="4" t="str" cm="1">
        <f t="array" ref="R17">计算得分(INDEX([2]Sheet1!$AL:$AL, MATCH(A17, [2]Sheet1!$A:$A,0)), 固定数据!AH14, 固定数据!AI14, 0.02, 6,6, 1)</f>
        <v>--</v>
      </c>
      <c r="S17" s="4" t="str" cm="1">
        <f t="array" ref="S17">计算得分(INDEX([2]Sheet1!$I:$I, MATCH(A17, [2]Sheet1!$A:$A,0)), 固定数据!AJ14, 固定数据!AK14, 0.005, 6,0, 1)</f>
        <v>--</v>
      </c>
      <c r="T17" s="4" t="str" cm="1">
        <f t="array" ref="T17">计算得分(98, 固定数据!AL14, 固定数据!AM14, 0.03, IF(固定数据!AL14&lt;&gt;"--",固定数据!AL14,0),0, 3)</f>
        <v>--</v>
      </c>
      <c r="U17" s="4" t="str" cm="1">
        <f t="array" ref="U17">计算得分(INDEX([1]Sheet1!$G:$G, MATCH(A17, [1]Sheet1!$B:$B,0)), 固定数据!AN14, 固定数据!AO14, 0.5, 3,0, 0)</f>
        <v>--</v>
      </c>
      <c r="V17" s="4" t="str" cm="1">
        <f t="array" ref="V17">计算得分(INDEX([1]Sheet1!$H:$H, MATCH(A17, [1]Sheet1!$B:$B,0)), 固定数据!AP14, 固定数据!AQ14, 0.4, 5,0, 1)</f>
        <v>--</v>
      </c>
      <c r="W17" s="4" t="str" cm="1">
        <f t="array" ref="W17">计算得分(INDEX([1]Sheet1!$J:$J, MATCH(A17, [1]Sheet1!$B:$B,0)), 固定数据!AR14, 固定数据!AS14, 0.2, 2,2, 4)</f>
        <v>--</v>
      </c>
      <c r="X17" s="4" t="str" cm="1">
        <f t="array" ref="X17">计算得分(INDEX([1]Sheet1!$K:$K, MATCH(A17, [1]Sheet1!$B:$B,0)), 固定数据!AT14, 固定数据!AU14, 0.2, 1.5,1.5, 4)</f>
        <v>--</v>
      </c>
      <c r="Y17" s="4" t="str" cm="1">
        <f t="array" ref="Y17">计算得分(INDEX([1]Sheet1!$AA:$AA, MATCH(A17, [1]Sheet1!$B:$B,0)), 固定数据!AV14, 固定数据!AW14, 0.05, IF(固定数据!AV14&lt;&gt;"--",固定数据!AV14,0),0, 3)</f>
        <v>--</v>
      </c>
      <c r="Z17" s="4" t="str" cm="1">
        <f t="array" ref="Z17">计算得分(INDEX([1]Sheet1!$AB:$AB, MATCH(A17, [1]Sheet1!$B:$B,0)), 固定数据!AX14, 固定数据!AY14, 0.05, IF(固定数据!AX14&lt;&gt;"--",固定数据!AX14,0),0, 3)</f>
        <v>--</v>
      </c>
      <c r="AA17" s="4" t="str" cm="1">
        <f t="array" ref="AA17">计算得分(INDEX([1]Sheet1!$AC:$AC, MATCH(A17, [1]Sheet1!$B:$B,0)), 固定数据!AZ14, 固定数据!BA14, 0.04, IF(固定数据!AZ14&lt;&gt;"--",固定数据!AZ14,0),0, 3)</f>
        <v>--</v>
      </c>
      <c r="AB17" s="4" t="str" cm="1">
        <f t="array" ref="AB17">计算得分(INDEX([1]Sheet1!$AD:$AD, MATCH(A17, [1]Sheet1!$B:$B,0)), 固定数据!BB14, 固定数据!BC14, 0.03, IF(固定数据!BB14&lt;&gt;"--",固定数据!BB14,0),0, 3)</f>
        <v>--</v>
      </c>
      <c r="AC17" s="4" t="str" cm="1">
        <f t="array" ref="AC17">计算得分(INDEX([1]Sheet1!$AE:$AE, MATCH(A17, [1]Sheet1!$B:$B,0)), 固定数据!BD14, 固定数据!BE14, 0.04, IF(固定数据!BD14&lt;&gt;"--",固定数据!BD14,0),0, 3)</f>
        <v>--</v>
      </c>
      <c r="AD17" s="4" t="str" cm="1">
        <f t="array" ref="AD17">计算得分(INDEX([1]Sheet1!$L:$L, MATCH(A17, [1]Sheet1!$B:$B,0)), 固定数据!BF14, 固定数据!BG14, 0.1, 12.5,0, 3)</f>
        <v>--</v>
      </c>
      <c r="AE17" s="4" t="str" cm="1">
        <f t="array" ref="AE17">计算得分(INDEX([1]Sheet1!$N:$N, MATCH(A17, [1]Sheet1!$B:$B,0)), 固定数据!BH14, 固定数据!BI14, 0.2, 7,0, 0)</f>
        <v>--</v>
      </c>
      <c r="AF17" s="4" t="str" cm="1">
        <f t="array" ref="AF17">计算得分(INDEX([1]Sheet1!$Q:$Q, MATCH(A17, [1]Sheet1!$B:$B,0)), 固定数据!BJ14, 固定数据!BK14, 0.2, 7,0, 0)</f>
        <v>--</v>
      </c>
      <c r="AG17" s="4" t="str" cm="1">
        <f t="array" ref="AG17">计算得分(INDEX([1]Sheet1!$S:$S, MATCH(A17, [1]Sheet1!$B:$B,0)), 固定数据!BL14, 固定数据!BM14, 0.2, 20,0, 0)</f>
        <v>--</v>
      </c>
      <c r="AH17" s="4" t="str" cm="1">
        <f t="array" ref="AH17">计算得分(INDEX([1]Sheet1!$AF:$AF, MATCH(A17, [1]Sheet1!$B:$B,0)), 固定数据!BN14, 固定数据!BO14, 0.1, 10,0, 3)</f>
        <v>--</v>
      </c>
      <c r="AI17" s="4" t="str" cm="1">
        <f t="array" ref="AI17">计算得分(INDEX([1]Sheet1!$M:$M, MATCH(A17, [1]Sheet1!$B:$B,0)), 固定数据!BP14, 固定数据!BQ14, 0.2, 20,0, 3)</f>
        <v>--</v>
      </c>
      <c r="AJ17" s="4" t="str" cm="1">
        <f t="array" ref="AJ17">计算得分(INDEX([1]Sheet1!$Z:$Z, MATCH(A17, [1]Sheet1!$B:$B,0)), 固定数据!BR14, 固定数据!BS14, 10, 50,0, 0)</f>
        <v>--</v>
      </c>
      <c r="AK17" s="4" t="str" cm="1">
        <f t="array" ref="AK17">计算得分(INDEX([1]Sheet1!$O:$O, MATCH(A17, [1]Sheet1!$B:$B,0)), 固定数据!BT14, 固定数据!BU14, 0.2, 15,0, 0)</f>
        <v>--</v>
      </c>
      <c r="AL17" s="4" t="str" cm="1">
        <f t="array" ref="AL17">计算得分(INDEX([1]Sheet1!$R:$R, MATCH(A17, [1]Sheet1!$B:$B,0)), 固定数据!BV14, 固定数据!BW14, 0.2, 10,0, 0)</f>
        <v>--</v>
      </c>
      <c r="AM17" s="4" t="str" cm="1">
        <f t="array" ref="AM17">计算得分(INDEX([1]Sheet1!$T:$T, MATCH(A17, [1]Sheet1!$B:$B,0)), 固定数据!BX14, 固定数据!BY14, 0.2, 20,0, 0)</f>
        <v>--</v>
      </c>
      <c r="AN17" s="4" cm="1">
        <f t="array" ref="AN17">计算得分([3]Sheet1!$F$3, 固定数据!BZ14, 固定数据!CA14, 0.5, 15,0, 0)</f>
        <v>104.4</v>
      </c>
      <c r="AO17" s="4" cm="1">
        <f t="array" ref="AO17">计算得分([3]Sheet1!$G$3, 固定数据!CB14, 固定数据!CC14, 0.01, 5,0, 1)</f>
        <v>3675</v>
      </c>
      <c r="AP17" s="4" cm="1">
        <f t="array" ref="AP17">计算得分([3]Sheet1!$H$3, 固定数据!CD14, 固定数据!CE14, 0.001, 5,0, 1)</f>
        <v>18357</v>
      </c>
      <c r="AQ17" s="4" cm="1">
        <f t="array" ref="AQ17">计算得分([3]Sheet1!$D$3,固定数据!CF14,固定数据!CG14,0.05,5,0,3)</f>
        <v>186.8</v>
      </c>
      <c r="AR17" s="4" cm="1">
        <f t="array" ref="AR17">计算得分([3]Sheet1!$E$3,固定数据!CH14,固定数据!CI14,0.1,10,0,3)</f>
        <v>7574.53</v>
      </c>
      <c r="AS17" s="8" t="s">
        <v>74</v>
      </c>
      <c r="AT17" s="4" cm="1">
        <f t="array" ref="AT17">计算得分(INDEX([3]Sheet1!$J:$J, MATCH(A17, [3]Sheet1!$B:$B,0)), 固定数据!CL14, 固定数据!CM14, 2, 0,-10, 0)</f>
        <v>100</v>
      </c>
      <c r="AU17" s="4" cm="1">
        <f t="array" ref="AU17">计算得分(INDEX([3]Sheet1!$K:$K, MATCH(A17, [3]Sheet1!$B:$B,0)), 固定数据!CN14, 固定数据!CO14, 3, 0,-10, 0)</f>
        <v>100</v>
      </c>
      <c r="AV17" s="4" cm="1">
        <f t="array" ref="AV17">计算得分(INDEX([3]Sheet1!$L:$L, MATCH(A17, [3]Sheet1!$B:$B,0)), 固定数据!CP14, 固定数据!CQ14, 3, 0,-10, 0)</f>
        <v>100</v>
      </c>
      <c r="AW17" s="4" cm="1">
        <f t="array" ref="AW17">计算得分(INDEX([3]Sheet1!$M:$M, MATCH(A17, [3]Sheet1!$B:$B,0)), 固定数据!CR14, 固定数据!CS14, 100, 0,-100, 0)</f>
        <v>100</v>
      </c>
      <c r="AX17" s="4" cm="1">
        <f t="array" ref="AX17">计算得分(INDEX([3]Sheet1!$N:$N, MATCH(A17, [3]Sheet1!$B:$B,0)), 固定数据!CT14, 固定数据!CU14, 3, 0,-10, 0)</f>
        <v>100</v>
      </c>
      <c r="AY17" s="8" t="s">
        <v>74</v>
      </c>
      <c r="AZ17" s="8" t="s">
        <v>74</v>
      </c>
      <c r="BA17" s="4">
        <f>IFERROR(VLOOKUP(A17,[4]KPI评分!B:C,2,FALSE)*60%,"--")</f>
        <v>57.84</v>
      </c>
    </row>
    <row r="18" spans="1:53" ht="24.75" customHeight="1" x14ac:dyDescent="0.25">
      <c r="A18" s="1" t="s">
        <v>86</v>
      </c>
      <c r="B18" s="2" t="str" cm="1">
        <f t="array" ref="B18">计算得分(INDEX([1]Sheet1!$W:$W, MATCH(A18, [1]Sheet1!$B:$B,0)), 固定数据!B15, 固定数据!C15, 0.5, 0,-10, 0)</f>
        <v>--</v>
      </c>
      <c r="C18" s="2" t="str" cm="1">
        <f t="array" ref="C18">计算得分(INDEX([1]Sheet1!$X:$X, MATCH(A18, [1]Sheet1!$B:$B,0)), 固定数据!D15, 固定数据!E15, 1, 0,-10, 0)</f>
        <v>--</v>
      </c>
      <c r="D18" s="2" t="str" cm="1">
        <f t="array" ref="D18">计算得分(INDEX([1]Sheet1!$Y:$Y, MATCH(A18, [1]Sheet1!$B:$B,0)), 固定数据!F15, 固定数据!G15, 2, 0,-10, 0)</f>
        <v>--</v>
      </c>
      <c r="E18" s="6" t="str" cm="1">
        <f t="array" ref="E18">计算得分(INDEX([1]Sheet1!$C:$C, MATCH(A18, [1]Sheet1!$B:$B,0)), 固定数据!H15, 固定数据!I15, 0.02, 10,0, 1)</f>
        <v>--</v>
      </c>
      <c r="F18" s="2" t="str" cm="1">
        <f t="array" ref="F18">计算得分(INDEX([1]Sheet1!$D:$D, MATCH(A18, [1]Sheet1!$B:$B,0)), 固定数据!J15, 固定数据!K15, 0, 0,0, 0)</f>
        <v>--</v>
      </c>
      <c r="G18" s="2" t="str" cm="1">
        <f t="array" ref="G18">计算得分(INDEX([1]Sheet1!$E:$E, MATCH(A18, [1]Sheet1!$B:$B,0)), 固定数据!L15, 固定数据!M15,  0.3, 3,0, 5)</f>
        <v>--</v>
      </c>
      <c r="H18" s="2" t="str" cm="1">
        <f t="array" ref="H18">计算得分(INDEX([1]Sheet1!$AG:$AG, MATCH(A18, [1]Sheet1!$B:$B,0)), 固定数据!N15, 固定数据!O15, 0.03, 3,0, 3)</f>
        <v>--</v>
      </c>
      <c r="I18" s="2" t="str" cm="1">
        <f t="array" ref="I18">计算得分(INDEX([1]Sheet1!$V:$V, MATCH(A18, [1]Sheet1!$B:$B,0)), 固定数据!P15, 固定数据!Q15, 1, 0,-100, 0)</f>
        <v>--</v>
      </c>
      <c r="J18" s="2" t="str" cm="1">
        <f t="array" ref="J18">计算得分(INDEX([1]Sheet1!$AI:$AI, MATCH(A18, [1]Sheet1!$B:$B,0)), 固定数据!R15, 固定数据!S15, 0.04, 12,0, 3)</f>
        <v>--</v>
      </c>
      <c r="K18" s="2" t="str" cm="1">
        <f t="array" ref="K18">计算得分(INDEX([1]Sheet1!$F:$F, MATCH(A18, [1]Sheet1!$B:$B,0)), 固定数据!T15, 固定数据!U15, 0.02, 3,0, 1)</f>
        <v>--</v>
      </c>
      <c r="L18" s="2" t="str" cm="1">
        <f t="array" ref="L18">计算得分(INDEX([1]Sheet1!$U:$U, MATCH(A18, [1]Sheet1!$B:$B,0)), 固定数据!V15, 固定数据!W15, 0.2, 20,0, 0)</f>
        <v>--</v>
      </c>
      <c r="M18" s="2" t="str" cm="1">
        <f t="array" ref="M18">计算得分(100, 固定数据!X15, 固定数据!Y15, 0, 5,0, 0)</f>
        <v>--</v>
      </c>
      <c r="N18" s="2" t="str" cm="1">
        <f t="array" ref="N18">计算得分(100, 固定数据!Z15, 固定数据!AA15, 0, 5,0, 0)</f>
        <v>--</v>
      </c>
      <c r="O18" s="2" t="str" cm="1">
        <f t="array" ref="O18">计算得分(100, 固定数据!AB15, 固定数据!AC15, 0, 7,0, 0)</f>
        <v>--</v>
      </c>
      <c r="P18" s="2" t="str" cm="1">
        <f t="array" ref="P18">计算得分(INDEX([1]Sheet1!$P:$P, MATCH(A18, [1]Sheet1!$B:$B,0)), 固定数据!AD15, 固定数据!AE15, 0.2, 7,0, 0)</f>
        <v>--</v>
      </c>
      <c r="Q18" s="2" t="str" cm="1">
        <f t="array" ref="Q18">计算得分(INDEX([1]Sheet1!$I:$I, MATCH(A18, [1]Sheet1!$B:$B,0)), 固定数据!AF15, 固定数据!AG15,0.2, IF(固定数据!AF15&lt;&gt;"--",固定数据!AF15,0),2, 5)</f>
        <v>--</v>
      </c>
      <c r="R18" s="2" t="str" cm="1">
        <f t="array" ref="R18">计算得分(INDEX([2]Sheet1!$AL:$AL, MATCH(A18, [2]Sheet1!$A:$A,0)), 固定数据!AH15, 固定数据!AI15, 0.02, 6,6, 1)</f>
        <v>--</v>
      </c>
      <c r="S18" s="2" t="str" cm="1">
        <f t="array" ref="S18">计算得分(INDEX([2]Sheet1!$I:$I, MATCH(A18, [2]Sheet1!$A:$A,0)), 固定数据!AJ15, 固定数据!AK15, 0.005, 6,0, 1)</f>
        <v>--</v>
      </c>
      <c r="T18" s="2" t="str" cm="1">
        <f t="array" ref="T18">计算得分(98, 固定数据!AL15, 固定数据!AM15, 0.03, IF(固定数据!AL15&lt;&gt;"--",固定数据!AL15,0),0, 3)</f>
        <v>--</v>
      </c>
      <c r="U18" s="2" t="str" cm="1">
        <f t="array" ref="U18">计算得分(INDEX([1]Sheet1!$G:$G, MATCH(A18, [1]Sheet1!$B:$B,0)), 固定数据!AN15, 固定数据!AO15, 0.5, 3,0, 0)</f>
        <v>--</v>
      </c>
      <c r="V18" s="2" t="str" cm="1">
        <f t="array" ref="V18">计算得分(INDEX([1]Sheet1!$H:$H, MATCH(A18, [1]Sheet1!$B:$B,0)), 固定数据!AP15, 固定数据!AQ15, 0.4, 5,0, 1)</f>
        <v>--</v>
      </c>
      <c r="W18" s="2" t="str" cm="1">
        <f t="array" ref="W18">计算得分(INDEX([1]Sheet1!$J:$J, MATCH(A18, [1]Sheet1!$B:$B,0)), 固定数据!AR15, 固定数据!AS15, 0.2, 2,2, 4)</f>
        <v>--</v>
      </c>
      <c r="X18" s="2" t="str" cm="1">
        <f t="array" ref="X18">计算得分(INDEX([1]Sheet1!$K:$K, MATCH(A18, [1]Sheet1!$B:$B,0)), 固定数据!AT15, 固定数据!AU15, 0.2, 1.5,1.5, 4)</f>
        <v>--</v>
      </c>
      <c r="Y18" s="2" t="str" cm="1">
        <f t="array" ref="Y18">计算得分(INDEX([1]Sheet1!$AA:$AA, MATCH(A18, [1]Sheet1!$B:$B,0)), 固定数据!AV15, 固定数据!AW15, 0.05, IF(固定数据!AV15&lt;&gt;"--",固定数据!AV15,0),0, 3)</f>
        <v>--</v>
      </c>
      <c r="Z18" s="2" t="str" cm="1">
        <f t="array" ref="Z18">计算得分(INDEX([1]Sheet1!$AB:$AB, MATCH(A18, [1]Sheet1!$B:$B,0)), 固定数据!AX15, 固定数据!AY15, 0.05, IF(固定数据!AX15&lt;&gt;"--",固定数据!AX15,0),0, 3)</f>
        <v>--</v>
      </c>
      <c r="AA18" s="2" t="str" cm="1">
        <f t="array" ref="AA18">计算得分(INDEX([1]Sheet1!$AC:$AC, MATCH(A18, [1]Sheet1!$B:$B,0)), 固定数据!AZ15, 固定数据!BA15, 0.04, IF(固定数据!AZ15&lt;&gt;"--",固定数据!AZ15,0),0, 3)</f>
        <v>--</v>
      </c>
      <c r="AB18" s="2" t="str" cm="1">
        <f t="array" ref="AB18">计算得分(INDEX([1]Sheet1!$AD:$AD, MATCH(A18, [1]Sheet1!$B:$B,0)), 固定数据!BB15, 固定数据!BC15, 0.03, IF(固定数据!BB15&lt;&gt;"--",固定数据!BB15,0),0, 3)</f>
        <v>--</v>
      </c>
      <c r="AC18" s="2" t="str" cm="1">
        <f t="array" ref="AC18">计算得分(INDEX([1]Sheet1!$AE:$AE, MATCH(A18, [1]Sheet1!$B:$B,0)), 固定数据!BD15, 固定数据!BE15, 0.04, IF(固定数据!BD15&lt;&gt;"--",固定数据!BD15,0),0, 3)</f>
        <v>--</v>
      </c>
      <c r="AD18" s="2" t="str" cm="1">
        <f t="array" ref="AD18">计算得分(INDEX([1]Sheet1!$L:$L, MATCH(A18, [1]Sheet1!$B:$B,0)), 固定数据!BF15, 固定数据!BG15, 0.1, 12.5,0, 3)</f>
        <v>--</v>
      </c>
      <c r="AE18" s="2" t="str" cm="1">
        <f t="array" ref="AE18">计算得分(INDEX([1]Sheet1!$N:$N, MATCH(A18, [1]Sheet1!$B:$B,0)), 固定数据!BH15, 固定数据!BI15, 0.2, 7,0, 0)</f>
        <v>--</v>
      </c>
      <c r="AF18" s="2" t="str" cm="1">
        <f t="array" ref="AF18">计算得分(INDEX([1]Sheet1!$Q:$Q, MATCH(A18, [1]Sheet1!$B:$B,0)), 固定数据!BJ15, 固定数据!BK15, 0.2, 7,0, 0)</f>
        <v>--</v>
      </c>
      <c r="AG18" s="2" t="str" cm="1">
        <f t="array" ref="AG18">计算得分(INDEX([1]Sheet1!$S:$S, MATCH(A18, [1]Sheet1!$B:$B,0)), 固定数据!BL15, 固定数据!BM15, 0.2, 20,0, 0)</f>
        <v>--</v>
      </c>
      <c r="AH18" s="6" t="str" cm="1">
        <f t="array" ref="AH18">计算得分(INDEX([1]Sheet1!$AF:$AF, MATCH(A18, [1]Sheet1!$B:$B,0)), 固定数据!BN15, 固定数据!BO15, 0.1, 10,0, 3)</f>
        <v>--</v>
      </c>
      <c r="AI18" s="2" t="str" cm="1">
        <f t="array" ref="AI18">计算得分(INDEX([1]Sheet1!$M:$M, MATCH(A18, [1]Sheet1!$B:$B,0)), 固定数据!BP15, 固定数据!BQ15, 0.2, 20,0, 3)</f>
        <v>--</v>
      </c>
      <c r="AJ18" s="2" t="str" cm="1">
        <f t="array" ref="AJ18">计算得分(INDEX([1]Sheet1!$Z:$Z, MATCH(A18, [1]Sheet1!$B:$B,0)), 固定数据!BR15, 固定数据!BS15, 10, 50,0, 0)</f>
        <v>--</v>
      </c>
      <c r="AK18" s="2" t="str" cm="1">
        <f t="array" ref="AK18">计算得分(INDEX([1]Sheet1!$O:$O, MATCH(A18, [1]Sheet1!$B:$B,0)), 固定数据!BT15, 固定数据!BU15, 0.2, 15,0, 0)</f>
        <v>--</v>
      </c>
      <c r="AL18" s="2" t="str" cm="1">
        <f t="array" ref="AL18">计算得分(INDEX([1]Sheet1!$R:$R, MATCH(A18, [1]Sheet1!$B:$B,0)), 固定数据!BV15, 固定数据!BW15, 0.2, 10,0, 0)</f>
        <v>--</v>
      </c>
      <c r="AM18" s="2" t="str" cm="1">
        <f t="array" ref="AM18">计算得分(INDEX([1]Sheet1!$T:$T, MATCH(A18, [1]Sheet1!$B:$B,0)), 固定数据!BX15, 固定数据!BY15, 0.2, 20,0, 0)</f>
        <v>--</v>
      </c>
      <c r="AN18" s="2" t="str" cm="1">
        <f t="array" ref="AN18">计算得分([3]Sheet1!$F$3, 固定数据!BZ15, 固定数据!CA15, 0.5, 15,0, 0)</f>
        <v>--</v>
      </c>
      <c r="AO18" s="6" t="str" cm="1">
        <f t="array" ref="AO18">计算得分([3]Sheet1!$G$3, 固定数据!CB15, 固定数据!CC15, 0.01, 5,0, 1)</f>
        <v>--</v>
      </c>
      <c r="AP18" s="6" t="str" cm="1">
        <f t="array" ref="AP18">计算得分([3]Sheet1!$H$3, 固定数据!CD15, 固定数据!CE15, 0.001, 5,0, 1)</f>
        <v>--</v>
      </c>
      <c r="AQ18" s="6" t="str" cm="1">
        <f t="array" ref="AQ18">计算得分([3]Sheet1!$D$3,固定数据!CF15,固定数据!CG15,0.05,5,0,3)</f>
        <v>--</v>
      </c>
      <c r="AR18" s="6" t="str" cm="1">
        <f t="array" ref="AR18">计算得分([3]Sheet1!$E$3,固定数据!CH15,固定数据!CI15,0.1,10,0,3)</f>
        <v>--</v>
      </c>
      <c r="AS18" s="7" t="s">
        <v>74</v>
      </c>
      <c r="AT18" s="6" t="str" cm="1">
        <f t="array" ref="AT18">计算得分(INDEX([3]Sheet1!$J:$J, MATCH(A18, [3]Sheet1!$B:$B,0)), 固定数据!CL15, 固定数据!CM15, 2, 0,-10, 0)</f>
        <v>--</v>
      </c>
      <c r="AU18" s="2" t="str" cm="1">
        <f t="array" ref="AU18">计算得分(INDEX([3]Sheet1!$K:$K, MATCH(A18, [3]Sheet1!$B:$B,0)), 固定数据!CN15, 固定数据!CO15, 3, 0,-10, 0)</f>
        <v>--</v>
      </c>
      <c r="AV18" s="2" t="str" cm="1">
        <f t="array" ref="AV18">计算得分(INDEX([3]Sheet1!$L:$L, MATCH(A18, [3]Sheet1!$B:$B,0)), 固定数据!CP15, 固定数据!CQ15, 3, 0,-10, 0)</f>
        <v>--</v>
      </c>
      <c r="AW18" s="2" t="str" cm="1">
        <f t="array" ref="AW18">计算得分(INDEX([3]Sheet1!$M:$M, MATCH(A18, [3]Sheet1!$B:$B,0)), 固定数据!CR15, 固定数据!CS15, 100, 0,-100, 0)</f>
        <v>--</v>
      </c>
      <c r="AX18" s="2" t="str" cm="1">
        <f t="array" ref="AX18">计算得分(INDEX([3]Sheet1!$N:$N, MATCH(A18, [3]Sheet1!$B:$B,0)), 固定数据!CT15, 固定数据!CU15, 3, 0,-10, 0)</f>
        <v>--</v>
      </c>
      <c r="AY18" s="7" t="s">
        <v>74</v>
      </c>
      <c r="AZ18" s="7" t="s">
        <v>74</v>
      </c>
      <c r="BA18" s="2" t="str">
        <f>IFERROR(VLOOKUP(A18,[4]KPI评分!B:C,2,FALSE)*60%,"--")</f>
        <v>--</v>
      </c>
    </row>
    <row r="19" spans="1:53" ht="24.75" customHeight="1" x14ac:dyDescent="0.25">
      <c r="A19" s="3" t="s">
        <v>87</v>
      </c>
      <c r="B19" s="4" t="str" cm="1">
        <f t="array" ref="B19">计算得分(INDEX([1]Sheet1!$W:$W, MATCH(A19, [1]Sheet1!$B:$B,0)), 固定数据!B16, 固定数据!C16, 0.5, 0,-10, 0)</f>
        <v>--</v>
      </c>
      <c r="C19" s="4" t="str" cm="1">
        <f t="array" ref="C19">计算得分(INDEX([1]Sheet1!$X:$X, MATCH(A19, [1]Sheet1!$B:$B,0)), 固定数据!D16, 固定数据!E16, 1, 0,-10, 0)</f>
        <v>--</v>
      </c>
      <c r="D19" s="4" t="str" cm="1">
        <f t="array" ref="D19">计算得分(INDEX([1]Sheet1!$Y:$Y, MATCH(A19, [1]Sheet1!$B:$B,0)), 固定数据!F16, 固定数据!G16, 2, 0,-10, 0)</f>
        <v>--</v>
      </c>
      <c r="E19" s="4" t="str" cm="1">
        <f t="array" ref="E19">计算得分(INDEX([1]Sheet1!$C:$C, MATCH(A19, [1]Sheet1!$B:$B,0)), 固定数据!H16, 固定数据!I16, 0.02, 10,0, 1)</f>
        <v>--</v>
      </c>
      <c r="F19" s="4" t="str" cm="1">
        <f t="array" ref="F19">计算得分(INDEX([1]Sheet1!$D:$D, MATCH(A19, [1]Sheet1!$B:$B,0)), 固定数据!J16, 固定数据!K16, 0, 0,0, 0)</f>
        <v>--</v>
      </c>
      <c r="G19" s="4" t="str" cm="1">
        <f t="array" ref="G19">计算得分(INDEX([1]Sheet1!$E:$E, MATCH(A19, [1]Sheet1!$B:$B,0)), 固定数据!L16, 固定数据!M16, 0.3, 3,0, 5)</f>
        <v>--</v>
      </c>
      <c r="H19" s="4" t="str" cm="1">
        <f t="array" ref="H19">计算得分(INDEX([1]Sheet1!$AG:$AG, MATCH(A19, [1]Sheet1!$B:$B,0)), 固定数据!N16, 固定数据!O16, 0.03, 3,0, 3)</f>
        <v>--</v>
      </c>
      <c r="I19" s="4" t="str" cm="1">
        <f t="array" ref="I19">计算得分(INDEX([1]Sheet1!$V:$V, MATCH(A19, [1]Sheet1!$B:$B,0)), 固定数据!P16, 固定数据!Q16, 1, 0,-100, 0)</f>
        <v>--</v>
      </c>
      <c r="J19" s="4" t="str" cm="1">
        <f t="array" ref="J19">计算得分(INDEX([1]Sheet1!$AI:$AI, MATCH(A19, [1]Sheet1!$B:$B,0)), 固定数据!R16, 固定数据!S16, 0.04, 12,0, 3)</f>
        <v>--</v>
      </c>
      <c r="K19" s="4" t="str" cm="1">
        <f t="array" ref="K19">计算得分(INDEX([1]Sheet1!$F:$F, MATCH(A19, [1]Sheet1!$B:$B,0)), 固定数据!T16, 固定数据!U16, 0.02, 3,0, 1)</f>
        <v>--</v>
      </c>
      <c r="L19" s="4" t="str" cm="1">
        <f t="array" ref="L19">计算得分(INDEX([1]Sheet1!$U:$U, MATCH(A19, [1]Sheet1!$B:$B,0)), 固定数据!V16, 固定数据!W16, 0.2, 20,0, 0)</f>
        <v>--</v>
      </c>
      <c r="M19" s="4" t="str" cm="1">
        <f t="array" ref="M19">计算得分(100, 固定数据!X16, 固定数据!Y16, 0, 5,0, 0)</f>
        <v>--</v>
      </c>
      <c r="N19" s="4" t="str" cm="1">
        <f t="array" ref="N19">计算得分(100, 固定数据!Z16, 固定数据!AA16, 0, 5,0, 0)</f>
        <v>--</v>
      </c>
      <c r="O19" s="4" t="str" cm="1">
        <f t="array" ref="O19">计算得分(100, 固定数据!AB16, 固定数据!AC16, 0, 7,0, 0)</f>
        <v>--</v>
      </c>
      <c r="P19" s="4" t="str" cm="1">
        <f t="array" ref="P19">计算得分(INDEX([1]Sheet1!$P:$P, MATCH(A19, [1]Sheet1!$B:$B,0)), 固定数据!AD16, 固定数据!AE16, 0.2, 7,0, 0)</f>
        <v>--</v>
      </c>
      <c r="Q19" s="4" t="str" cm="1">
        <f t="array" ref="Q19">计算得分(INDEX([1]Sheet1!$I:$I, MATCH(A19, [1]Sheet1!$B:$B,0)), 固定数据!AF16, 固定数据!AG16,0.2, IF(固定数据!AF16&lt;&gt;"--",固定数据!AF16,0),2, 5)</f>
        <v>--</v>
      </c>
      <c r="R19" s="4" t="str" cm="1">
        <f t="array" ref="R19">计算得分(INDEX([2]Sheet1!$AL:$AL, MATCH(A19, [2]Sheet1!$A:$A,0)), 固定数据!AH16, 固定数据!AI16, 0.02, 6,6, 1)</f>
        <v>--</v>
      </c>
      <c r="S19" s="4" t="str" cm="1">
        <f t="array" ref="S19">计算得分(INDEX([2]Sheet1!$I:$I, MATCH(A19, [2]Sheet1!$A:$A,0)), 固定数据!AJ16, 固定数据!AK16, 0.005, 6,0, 1)</f>
        <v>--</v>
      </c>
      <c r="T19" s="4" t="str" cm="1">
        <f t="array" ref="T19">计算得分(98, 固定数据!AL16, 固定数据!AM16, 0.03, IF(固定数据!AL16&lt;&gt;"--",固定数据!AL16,0),0, 3)</f>
        <v>--</v>
      </c>
      <c r="U19" s="4" t="str" cm="1">
        <f t="array" ref="U19">计算得分(INDEX([1]Sheet1!$G:$G, MATCH(A19, [1]Sheet1!$B:$B,0)), 固定数据!AN16, 固定数据!AO16, 0.5, 3,0, 0)</f>
        <v>--</v>
      </c>
      <c r="V19" s="4" t="str" cm="1">
        <f t="array" ref="V19">计算得分(INDEX([1]Sheet1!$H:$H, MATCH(A19, [1]Sheet1!$B:$B,0)), 固定数据!AP16, 固定数据!AQ16, 0.4, 5,0, 1)</f>
        <v>--</v>
      </c>
      <c r="W19" s="4" t="str" cm="1">
        <f t="array" ref="W19">计算得分(INDEX([1]Sheet1!$J:$J, MATCH(A19, [1]Sheet1!$B:$B,0)), 固定数据!AR16, 固定数据!AS16, 0.2, 2,2, 4)</f>
        <v>--</v>
      </c>
      <c r="X19" s="4" t="str" cm="1">
        <f t="array" ref="X19">计算得分(INDEX([1]Sheet1!$K:$K, MATCH(A19, [1]Sheet1!$B:$B,0)), 固定数据!AT16, 固定数据!AU16, 0.2, 1.5,1.5, 4)</f>
        <v>--</v>
      </c>
      <c r="Y19" s="4" t="str" cm="1">
        <f t="array" ref="Y19">计算得分(INDEX([1]Sheet1!$AA:$AA, MATCH(A19, [1]Sheet1!$B:$B,0)), 固定数据!AV16, 固定数据!AW16, 0.05, IF(固定数据!AV16&lt;&gt;"--",固定数据!AV16,0),0, 3)</f>
        <v>--</v>
      </c>
      <c r="Z19" s="4" t="str" cm="1">
        <f t="array" ref="Z19">计算得分(INDEX([1]Sheet1!$AB:$AB, MATCH(A19, [1]Sheet1!$B:$B,0)), 固定数据!AX16, 固定数据!AY16, 0.05, IF(固定数据!AX16&lt;&gt;"--",固定数据!AX16,0),0, 3)</f>
        <v>--</v>
      </c>
      <c r="AA19" s="4" t="str" cm="1">
        <f t="array" ref="AA19">计算得分(INDEX([1]Sheet1!$AC:$AC, MATCH(A19, [1]Sheet1!$B:$B,0)), 固定数据!AZ16, 固定数据!BA16, 0.04, IF(固定数据!AZ16&lt;&gt;"--",固定数据!AZ16,0),0, 3)</f>
        <v>--</v>
      </c>
      <c r="AB19" s="4" t="str" cm="1">
        <f t="array" ref="AB19">计算得分(INDEX([1]Sheet1!$AD:$AD, MATCH(A19, [1]Sheet1!$B:$B,0)), 固定数据!BB16, 固定数据!BC16, 0.03, IF(固定数据!BB16&lt;&gt;"--",固定数据!BB16,0),0, 3)</f>
        <v>--</v>
      </c>
      <c r="AC19" s="4" t="str" cm="1">
        <f t="array" ref="AC19">计算得分(INDEX([1]Sheet1!$AE:$AE, MATCH(A19, [1]Sheet1!$B:$B,0)), 固定数据!BD16, 固定数据!BE16, 0.04, IF(固定数据!BD16&lt;&gt;"--",固定数据!BD16,0),0, 3)</f>
        <v>--</v>
      </c>
      <c r="AD19" s="4" t="str" cm="1">
        <f t="array" ref="AD19">计算得分(INDEX([1]Sheet1!$L:$L, MATCH(A19, [1]Sheet1!$B:$B,0)), 固定数据!BF16, 固定数据!BG16, 0.1, 12.5,0, 3)</f>
        <v>--</v>
      </c>
      <c r="AE19" s="4" t="str" cm="1">
        <f t="array" ref="AE19">计算得分(INDEX([1]Sheet1!$N:$N, MATCH(A19, [1]Sheet1!$B:$B,0)), 固定数据!BH16, 固定数据!BI16, 0.2, 7,0, 0)</f>
        <v>--</v>
      </c>
      <c r="AF19" s="4" t="str" cm="1">
        <f t="array" ref="AF19">计算得分(INDEX([1]Sheet1!$Q:$Q, MATCH(A19, [1]Sheet1!$B:$B,0)), 固定数据!BJ16, 固定数据!BK16, 0.2, 7,0, 0)</f>
        <v>--</v>
      </c>
      <c r="AG19" s="4" t="str" cm="1">
        <f t="array" ref="AG19">计算得分(INDEX([1]Sheet1!$S:$S, MATCH(A19, [1]Sheet1!$B:$B,0)), 固定数据!BL16, 固定数据!BM16, 0.2, 20,0, 0)</f>
        <v>--</v>
      </c>
      <c r="AH19" s="4" t="str" cm="1">
        <f t="array" ref="AH19">计算得分(INDEX([1]Sheet1!$AF:$AF, MATCH(A19, [1]Sheet1!$B:$B,0)), 固定数据!BN16, 固定数据!BO16, 0.1, 10,0, 3)</f>
        <v>--</v>
      </c>
      <c r="AI19" s="4" t="str" cm="1">
        <f t="array" ref="AI19">计算得分(INDEX([1]Sheet1!$M:$M, MATCH(A19, [1]Sheet1!$B:$B,0)), 固定数据!BP16, 固定数据!BQ16, 0.2, 20,0, 3)</f>
        <v>--</v>
      </c>
      <c r="AJ19" s="4" t="str" cm="1">
        <f t="array" ref="AJ19">计算得分(INDEX([1]Sheet1!$Z:$Z, MATCH(A19, [1]Sheet1!$B:$B,0)), 固定数据!BR16, 固定数据!BS16, 10, 50,0, 0)</f>
        <v>--</v>
      </c>
      <c r="AK19" s="4" t="str" cm="1">
        <f t="array" ref="AK19">计算得分(INDEX([1]Sheet1!$O:$O, MATCH(A19, [1]Sheet1!$B:$B,0)), 固定数据!BT16, 固定数据!BU16, 0.2, 15,0, 0)</f>
        <v>--</v>
      </c>
      <c r="AL19" s="4" t="str" cm="1">
        <f t="array" ref="AL19">计算得分(INDEX([1]Sheet1!$R:$R, MATCH(A19, [1]Sheet1!$B:$B,0)), 固定数据!BV16, 固定数据!BW16, 0.2, 10,0, 0)</f>
        <v>--</v>
      </c>
      <c r="AM19" s="4" t="str" cm="1">
        <f t="array" ref="AM19">计算得分(INDEX([1]Sheet1!$T:$T, MATCH(A19, [1]Sheet1!$B:$B,0)), 固定数据!BX16, 固定数据!BY16, 0.2, 20,0, 0)</f>
        <v>--</v>
      </c>
      <c r="AN19" s="4" cm="1">
        <f t="array" ref="AN19">计算得分([3]Sheet1!$F$3, 固定数据!BZ16, 固定数据!CA16, 0.5, 15,0, 0)</f>
        <v>104.4</v>
      </c>
      <c r="AO19" s="4" cm="1">
        <f t="array" ref="AO19">计算得分([3]Sheet1!$G$3, 固定数据!CB16, 固定数据!CC16, 0.01, 5,0, 1)</f>
        <v>3675</v>
      </c>
      <c r="AP19" s="4" cm="1">
        <f t="array" ref="AP19">计算得分([3]Sheet1!$H$3, 固定数据!CD16, 固定数据!CE16, 0.001, 5,0, 1)</f>
        <v>18357</v>
      </c>
      <c r="AQ19" s="4" cm="1">
        <f t="array" ref="AQ19">计算得分([3]Sheet1!$D$3,固定数据!CF16,固定数据!CG16,0.05,5,0,3)</f>
        <v>186.8</v>
      </c>
      <c r="AR19" s="4" cm="1">
        <f t="array" ref="AR19">计算得分([3]Sheet1!$E$3,固定数据!CH16,固定数据!CI16,0.1,10,0,3)</f>
        <v>7574.53</v>
      </c>
      <c r="AS19" s="8" t="s">
        <v>74</v>
      </c>
      <c r="AT19" s="4" cm="1">
        <f t="array" ref="AT19">计算得分(INDEX([3]Sheet1!$J:$J, MATCH(A19, [3]Sheet1!$B:$B,0)), 固定数据!CL16, 固定数据!CM16, 2, 0,-10, 0)</f>
        <v>100</v>
      </c>
      <c r="AU19" s="4" cm="1">
        <f t="array" ref="AU19">计算得分(INDEX([3]Sheet1!$K:$K, MATCH(A19, [3]Sheet1!$B:$B,0)), 固定数据!CN16, 固定数据!CO16, 3, 0,-10, 0)</f>
        <v>100</v>
      </c>
      <c r="AV19" s="4" cm="1">
        <f t="array" ref="AV19">计算得分(INDEX([3]Sheet1!$L:$L, MATCH(A19, [3]Sheet1!$B:$B,0)), 固定数据!CP16, 固定数据!CQ16, 3, 0,-10, 0)</f>
        <v>100</v>
      </c>
      <c r="AW19" s="4" cm="1">
        <f t="array" ref="AW19">计算得分(INDEX([3]Sheet1!$M:$M, MATCH(A19, [3]Sheet1!$B:$B,0)), 固定数据!CR16, 固定数据!CS16, 100, 0,-100, 0)</f>
        <v>100</v>
      </c>
      <c r="AX19" s="4" cm="1">
        <f t="array" ref="AX19">计算得分(INDEX([3]Sheet1!$N:$N, MATCH(A19, [3]Sheet1!$B:$B,0)), 固定数据!CT16, 固定数据!CU16, 3, 0,-10, 0)</f>
        <v>100</v>
      </c>
      <c r="AY19" s="8" t="s">
        <v>74</v>
      </c>
      <c r="AZ19" s="8" t="s">
        <v>74</v>
      </c>
      <c r="BA19" s="4">
        <f>IFERROR(VLOOKUP(A19,[4]KPI评分!B:C,2,FALSE)*60%,"--")</f>
        <v>57.48</v>
      </c>
    </row>
    <row r="20" spans="1:53" ht="24.75" customHeight="1" x14ac:dyDescent="0.25">
      <c r="A20" s="1" t="s">
        <v>88</v>
      </c>
      <c r="B20" s="2" cm="1">
        <f t="array" ref="B20">计算得分(INDEX([1]Sheet1!$W:$W, MATCH(A20, [1]Sheet1!$B:$B,0)), 固定数据!B17, 固定数据!C17, 0.5, 0,-10, 0)</f>
        <v>0</v>
      </c>
      <c r="C20" s="2" cm="1">
        <f t="array" ref="C20">计算得分(INDEX([1]Sheet1!$X:$X, MATCH(A20, [1]Sheet1!$B:$B,0)), 固定数据!D17, 固定数据!E17, 1, 0,-10, 0)</f>
        <v>0</v>
      </c>
      <c r="D20" s="2" cm="1">
        <f t="array" ref="D20">计算得分(INDEX([1]Sheet1!$Y:$Y, MATCH(A20, [1]Sheet1!$B:$B,0)), 固定数据!F17, 固定数据!G17, 2, 0,-10, 0)</f>
        <v>0</v>
      </c>
      <c r="E20" s="6" t="str" cm="1">
        <f t="array" ref="E20">计算得分(INDEX([1]Sheet1!$C:$C, MATCH(A20, [1]Sheet1!$B:$B,0)), 固定数据!H17, 固定数据!I17, 0.02, 10,0, 1)</f>
        <v>--</v>
      </c>
      <c r="F20" s="2" t="str" cm="1">
        <f t="array" ref="F20">计算得分(INDEX([1]Sheet1!$D:$D, MATCH(A20, [1]Sheet1!$B:$B,0)), 固定数据!J17, 固定数据!K17, 0, 0,0, 0)</f>
        <v>--</v>
      </c>
      <c r="G20" s="2" cm="1">
        <f t="array" ref="G20">计算得分(INDEX([1]Sheet1!$E:$E, MATCH(A20, [1]Sheet1!$B:$B,0)), 固定数据!L17, 固定数据!M17,  0.3, 3,0, 5)</f>
        <v>29623.37</v>
      </c>
      <c r="H20" s="2" cm="1">
        <f t="array" ref="H20">计算得分(INDEX([1]Sheet1!$AG:$AG, MATCH(A20, [1]Sheet1!$B:$B,0)), 固定数据!N17, 固定数据!O17, 0.03, 3,0, 3)</f>
        <v>100</v>
      </c>
      <c r="I20" s="2" cm="1">
        <f t="array" ref="I20">计算得分(INDEX([1]Sheet1!$V:$V, MATCH(A20, [1]Sheet1!$B:$B,0)), 固定数据!P17, 固定数据!Q17, 1, 0,-100, 0)</f>
        <v>0</v>
      </c>
      <c r="J20" s="2" t="str" cm="1">
        <f t="array" ref="J20">计算得分(INDEX([1]Sheet1!$AI:$AI, MATCH(A20, [1]Sheet1!$B:$B,0)), 固定数据!R17, 固定数据!S17, 0.04, 12,0, 3)</f>
        <v>--</v>
      </c>
      <c r="K20" s="2" cm="1">
        <f t="array" ref="K20">计算得分(INDEX([1]Sheet1!$F:$F, MATCH(A20, [1]Sheet1!$B:$B,0)), 固定数据!T17, 固定数据!U17, 0.02, 3,0, 1)</f>
        <v>43.25</v>
      </c>
      <c r="L20" s="2" t="str" cm="1">
        <f t="array" ref="L20">计算得分(INDEX([1]Sheet1!$U:$U, MATCH(A20, [1]Sheet1!$B:$B,0)), 固定数据!V17, 固定数据!W17, 0.2, 20,0, 0)</f>
        <v>--</v>
      </c>
      <c r="M20" s="2" t="str" cm="1">
        <f t="array" ref="M20">计算得分(100, 固定数据!X17, 固定数据!Y17, 0, 5,0, 0)</f>
        <v>--</v>
      </c>
      <c r="N20" s="2" t="str" cm="1">
        <f t="array" ref="N20">计算得分(100, 固定数据!Z17, 固定数据!AA17, 0, 5,0, 0)</f>
        <v>--</v>
      </c>
      <c r="O20" s="2" t="str" cm="1">
        <f t="array" ref="O20">计算得分(100, 固定数据!AB17, 固定数据!AC17, 0, 7,0, 0)</f>
        <v>--</v>
      </c>
      <c r="P20" s="2" t="str" cm="1">
        <f t="array" ref="P20">计算得分(INDEX([1]Sheet1!$P:$P, MATCH(A20, [1]Sheet1!$B:$B,0)), 固定数据!AD17, 固定数据!AE17, 0.2, 7,0, 0)</f>
        <v>--</v>
      </c>
      <c r="Q20" s="2" cm="1">
        <f t="array" ref="Q20">计算得分(INDEX([1]Sheet1!$I:$I, MATCH(A20, [1]Sheet1!$B:$B,0)), 固定数据!AF17, 固定数据!AG17,0.2, IF(固定数据!AF17&lt;&gt;"--",固定数据!AF17,0),2, 5)</f>
        <v>226.35</v>
      </c>
      <c r="R20" s="2" cm="1">
        <f t="array" ref="R20">计算得分(INDEX([2]Sheet1!$AL:$AL, MATCH(A20, [2]Sheet1!$A:$A,0)), 固定数据!AH17, 固定数据!AI17, 0.02, 6,6, 1)</f>
        <v>132</v>
      </c>
      <c r="S20" s="2" cm="1">
        <f t="array" ref="S20">计算得分(INDEX([2]Sheet1!$I:$I, MATCH(A20, [2]Sheet1!$A:$A,0)), 固定数据!AJ17, 固定数据!AK17, 0.005, 6,0, 1)</f>
        <v>1408</v>
      </c>
      <c r="T20" s="2" cm="1">
        <f t="array" ref="T20">计算得分(98, 固定数据!AL17, 固定数据!AM17, 0.03, IF(固定数据!AL17&lt;&gt;"--",固定数据!AL17,0),0, 3)</f>
        <v>98</v>
      </c>
      <c r="U20" s="2" cm="1">
        <f t="array" ref="U20">计算得分(INDEX([1]Sheet1!$G:$G, MATCH(A20, [1]Sheet1!$B:$B,0)), 固定数据!AN17, 固定数据!AO17, 0.5, 3,0, 0)</f>
        <v>7.86</v>
      </c>
      <c r="V20" s="2" cm="1">
        <f t="array" ref="V20">计算得分(INDEX([1]Sheet1!$H:$H, MATCH(A20, [1]Sheet1!$B:$B,0)), 固定数据!AP17, 固定数据!AQ17, 0.4, 5,0, 1)</f>
        <v>2.3199999999999998</v>
      </c>
      <c r="W20" s="2" cm="1">
        <f t="array" ref="W20">计算得分(INDEX([1]Sheet1!$J:$J, MATCH(A20, [1]Sheet1!$B:$B,0)), 固定数据!AR17, 固定数据!AS17, 0.2, 2,2, 4)</f>
        <v>226.35</v>
      </c>
      <c r="X20" s="2" cm="1">
        <f t="array" ref="X20">计算得分(INDEX([1]Sheet1!$K:$K, MATCH(A20, [1]Sheet1!$B:$B,0)), 固定数据!AT17, 固定数据!AU17, 0.2, 1.5,1.5, 4)</f>
        <v>11495.67</v>
      </c>
      <c r="Y20" s="2" cm="1">
        <f t="array" ref="Y20">计算得分(INDEX([1]Sheet1!$AA:$AA, MATCH(A20, [1]Sheet1!$B:$B,0)), 固定数据!AV17, 固定数据!AW17, 0.05, IF(固定数据!AV17&lt;&gt;"--",固定数据!AV17,0),0, 3)</f>
        <v>96.5</v>
      </c>
      <c r="Z20" s="2" cm="1">
        <f t="array" ref="Z20">计算得分(INDEX([1]Sheet1!$AB:$AB, MATCH(A20, [1]Sheet1!$B:$B,0)), 固定数据!AX17, 固定数据!AY17, 0.05, IF(固定数据!AX17&lt;&gt;"--",固定数据!AX17,0),0, 3)</f>
        <v>96.5</v>
      </c>
      <c r="AA20" s="2" cm="1">
        <f t="array" ref="AA20">计算得分(INDEX([1]Sheet1!$AC:$AC, MATCH(A20, [1]Sheet1!$B:$B,0)), 固定数据!AZ17, 固定数据!BA17, 0.04, IF(固定数据!AZ17&lt;&gt;"--",固定数据!AZ17,0),0, 3)</f>
        <v>96</v>
      </c>
      <c r="AB20" s="2" cm="1">
        <f t="array" ref="AB20">计算得分(INDEX([1]Sheet1!$AD:$AD, MATCH(A20, [1]Sheet1!$B:$B,0)), 固定数据!BB17, 固定数据!BC17, 0.03, IF(固定数据!BB17&lt;&gt;"--",固定数据!BB17,0),0, 3)</f>
        <v>99.4</v>
      </c>
      <c r="AC20" s="2" cm="1">
        <f t="array" ref="AC20">计算得分(INDEX([1]Sheet1!$AE:$AE, MATCH(A20, [1]Sheet1!$B:$B,0)), 固定数据!BD17, 固定数据!BE17, 0.04, IF(固定数据!BD17&lt;&gt;"--",固定数据!BD17,0),0, 3)</f>
        <v>95</v>
      </c>
      <c r="AD20" s="2" cm="1">
        <f t="array" ref="AD20">计算得分(INDEX([1]Sheet1!$L:$L, MATCH(A20, [1]Sheet1!$B:$B,0)), 固定数据!BF17, 固定数据!BG17, 0.1, 12.5,0, 3)</f>
        <v>9679.94</v>
      </c>
      <c r="AE20" s="2" cm="1">
        <f t="array" ref="AE20">计算得分(INDEX([1]Sheet1!$N:$N, MATCH(A20, [1]Sheet1!$B:$B,0)), 固定数据!BH17, 固定数据!BI17, 0.2, 7,0, 0)</f>
        <v>20.95</v>
      </c>
      <c r="AF20" s="2" cm="1">
        <f t="array" ref="AF20">计算得分(INDEX([1]Sheet1!$Q:$Q, MATCH(A20, [1]Sheet1!$B:$B,0)), 固定数据!BJ17, 固定数据!BK17, 0.2, 7,0, 0)</f>
        <v>4.6900000000000004</v>
      </c>
      <c r="AG20" s="2" cm="1">
        <f t="array" ref="AG20">计算得分(INDEX([1]Sheet1!$S:$S, MATCH(A20, [1]Sheet1!$B:$B,0)), 固定数据!BL17, 固定数据!BM17, 0.2, 20,0, 0)</f>
        <v>63.33</v>
      </c>
      <c r="AH20" s="6" t="str" cm="1">
        <f t="array" ref="AH20">计算得分(INDEX([1]Sheet1!$AF:$AF, MATCH(A20, [1]Sheet1!$B:$B,0)), 固定数据!BN17, 固定数据!BO17, 0.1, 10,0, 3)</f>
        <v>--</v>
      </c>
      <c r="AI20" s="2" t="str" cm="1">
        <f t="array" ref="AI20">计算得分(INDEX([1]Sheet1!$M:$M, MATCH(A20, [1]Sheet1!$B:$B,0)), 固定数据!BP17, 固定数据!BQ17, 0.2, 20,0, 3)</f>
        <v>--</v>
      </c>
      <c r="AJ20" s="2" cm="1">
        <f t="array" ref="AJ20">计算得分(INDEX([1]Sheet1!$Z:$Z, MATCH(A20, [1]Sheet1!$B:$B,0)), 固定数据!BR17, 固定数据!BS17, 10, 50,0, 0)</f>
        <v>0</v>
      </c>
      <c r="AK20" s="2" t="str" cm="1">
        <f t="array" ref="AK20">计算得分(INDEX([1]Sheet1!$O:$O, MATCH(A20, [1]Sheet1!$B:$B,0)), 固定数据!BT17, 固定数据!BU17, 0.2, 15,0, 0)</f>
        <v>--</v>
      </c>
      <c r="AL20" s="2" t="str" cm="1">
        <f t="array" ref="AL20">计算得分(INDEX([1]Sheet1!$R:$R, MATCH(A20, [1]Sheet1!$B:$B,0)), 固定数据!BV17, 固定数据!BW17, 0.2, 10,0, 0)</f>
        <v>--</v>
      </c>
      <c r="AM20" s="2" t="str" cm="1">
        <f t="array" ref="AM20">计算得分(INDEX([1]Sheet1!$T:$T, MATCH(A20, [1]Sheet1!$B:$B,0)), 固定数据!BX17, 固定数据!BY17, 0.2, 20,0, 0)</f>
        <v>--</v>
      </c>
      <c r="AN20" s="2" t="str" cm="1">
        <f t="array" ref="AN20">计算得分([3]Sheet1!$F$3, 固定数据!BZ17, 固定数据!CA17, 0.5, 15,0, 0)</f>
        <v>--</v>
      </c>
      <c r="AO20" s="6" t="str" cm="1">
        <f t="array" ref="AO20">计算得分([3]Sheet1!$G$3, 固定数据!CB17, 固定数据!CC17, 0.01, 5,0, 1)</f>
        <v>--</v>
      </c>
      <c r="AP20" s="6" t="str" cm="1">
        <f t="array" ref="AP20">计算得分([3]Sheet1!$H$3, 固定数据!CD17, 固定数据!CE17, 0.001, 5,0, 1)</f>
        <v>--</v>
      </c>
      <c r="AQ20" s="6" t="str" cm="1">
        <f t="array" ref="AQ20">计算得分([3]Sheet1!$D$3,固定数据!CF17,固定数据!CG17,0.05,5,0,3)</f>
        <v>--</v>
      </c>
      <c r="AR20" s="6" t="str" cm="1">
        <f t="array" ref="AR20">计算得分([3]Sheet1!$E$3,固定数据!CH17,固定数据!CI17,0.1,10,0,3)</f>
        <v>--</v>
      </c>
      <c r="AS20" s="7" t="s">
        <v>74</v>
      </c>
      <c r="AT20" s="6" t="str" cm="1">
        <f t="array" ref="AT20">计算得分(INDEX([3]Sheet1!$J:$J, MATCH(A20, [3]Sheet1!$B:$B,0)), 固定数据!CL17, 固定数据!CM17, 2, 0,-10, 0)</f>
        <v>--</v>
      </c>
      <c r="AU20" s="2" t="str" cm="1">
        <f t="array" ref="AU20">计算得分(INDEX([3]Sheet1!$K:$K, MATCH(A20, [3]Sheet1!$B:$B,0)), 固定数据!CN17, 固定数据!CO17, 3, 0,-10, 0)</f>
        <v>--</v>
      </c>
      <c r="AV20" s="2" t="str" cm="1">
        <f t="array" ref="AV20">计算得分(INDEX([3]Sheet1!$L:$L, MATCH(A20, [3]Sheet1!$B:$B,0)), 固定数据!CP17, 固定数据!CQ17, 3, 0,-10, 0)</f>
        <v>--</v>
      </c>
      <c r="AW20" s="2" t="str" cm="1">
        <f t="array" ref="AW20">计算得分(INDEX([3]Sheet1!$M:$M, MATCH(A20, [3]Sheet1!$B:$B,0)), 固定数据!CR17, 固定数据!CS17, 100, 0,-100, 0)</f>
        <v>--</v>
      </c>
      <c r="AX20" s="2" t="str" cm="1">
        <f t="array" ref="AX20">计算得分(INDEX([3]Sheet1!$N:$N, MATCH(A20, [3]Sheet1!$B:$B,0)), 固定数据!CT17, 固定数据!CU17, 3, 0,-10, 0)</f>
        <v>--</v>
      </c>
      <c r="AY20" s="7" t="s">
        <v>74</v>
      </c>
      <c r="AZ20" s="7" t="s">
        <v>74</v>
      </c>
      <c r="BA20" s="2" t="str">
        <f>IFERROR(VLOOKUP(A20,[4]KPI评分!B:C,2,FALSE)*60%,"--")</f>
        <v>--</v>
      </c>
    </row>
    <row r="21" spans="1:53" ht="24.75" customHeight="1" x14ac:dyDescent="0.25">
      <c r="A21" s="3" t="s">
        <v>89</v>
      </c>
      <c r="B21" s="4" cm="1">
        <f t="array" ref="B21">计算得分(INDEX([1]Sheet1!$W:$W, MATCH(A21, [1]Sheet1!$B:$B,0)), 固定数据!B18, 固定数据!C18, 0.5, 0,-10, 0)</f>
        <v>0</v>
      </c>
      <c r="C21" s="4" cm="1">
        <f t="array" ref="C21">计算得分(INDEX([1]Sheet1!$X:$X, MATCH(A21, [1]Sheet1!$B:$B,0)), 固定数据!D18, 固定数据!E18, 1, 0,-10, 0)</f>
        <v>0</v>
      </c>
      <c r="D21" s="4" cm="1">
        <f t="array" ref="D21">计算得分(INDEX([1]Sheet1!$Y:$Y, MATCH(A21, [1]Sheet1!$B:$B,0)), 固定数据!F18, 固定数据!G18, 2, 0,-10, 0)</f>
        <v>0</v>
      </c>
      <c r="E21" s="4" t="str" cm="1">
        <f t="array" ref="E21">计算得分(INDEX([1]Sheet1!$C:$C, MATCH(A21, [1]Sheet1!$B:$B,0)), 固定数据!H18, 固定数据!I18, 0.02, 10,0, 1)</f>
        <v>--</v>
      </c>
      <c r="F21" s="4" t="str" cm="1">
        <f t="array" ref="F21">计算得分(INDEX([1]Sheet1!$D:$D, MATCH(A21, [1]Sheet1!$B:$B,0)), 固定数据!J18, 固定数据!K18, 0, 0,0, 0)</f>
        <v>--</v>
      </c>
      <c r="G21" s="4" t="str" cm="1">
        <f t="array" ref="G21">计算得分(INDEX([1]Sheet1!$E:$E, MATCH(A21, [1]Sheet1!$B:$B,0)), 固定数据!L18, 固定数据!M18, 0.3, 3,0, 5)</f>
        <v>--</v>
      </c>
      <c r="H21" s="4" cm="1">
        <f t="array" ref="H21">计算得分(INDEX([1]Sheet1!$AG:$AG, MATCH(A21, [1]Sheet1!$B:$B,0)), 固定数据!N18, 固定数据!O18, 0.03, 3,0, 3)</f>
        <v>100</v>
      </c>
      <c r="I21" s="4" cm="1">
        <f t="array" ref="I21">计算得分(INDEX([1]Sheet1!$V:$V, MATCH(A21, [1]Sheet1!$B:$B,0)), 固定数据!P18, 固定数据!Q18, 1, 0,-100, 0)</f>
        <v>0</v>
      </c>
      <c r="J21" s="4" t="str" cm="1">
        <f t="array" ref="J21">计算得分(INDEX([1]Sheet1!$AI:$AI, MATCH(A21, [1]Sheet1!$B:$B,0)), 固定数据!R18, 固定数据!S18, 0.04, 12,0, 3)</f>
        <v>--</v>
      </c>
      <c r="K21" s="4" t="str" cm="1">
        <f t="array" ref="K21">计算得分(INDEX([1]Sheet1!$F:$F, MATCH(A21, [1]Sheet1!$B:$B,0)), 固定数据!T18, 固定数据!U18, 0.02, 3,0, 1)</f>
        <v>--</v>
      </c>
      <c r="L21" s="4" t="str" cm="1">
        <f t="array" ref="L21">计算得分(INDEX([1]Sheet1!$U:$U, MATCH(A21, [1]Sheet1!$B:$B,0)), 固定数据!V18, 固定数据!W18, 0.2, 20,0, 0)</f>
        <v>--</v>
      </c>
      <c r="M21" s="4" t="str" cm="1">
        <f t="array" ref="M21">计算得分(100, 固定数据!X18, 固定数据!Y18, 0, 5,0, 0)</f>
        <v>--</v>
      </c>
      <c r="N21" s="4" t="str" cm="1">
        <f t="array" ref="N21">计算得分(100, 固定数据!Z18, 固定数据!AA18, 0, 5,0, 0)</f>
        <v>--</v>
      </c>
      <c r="O21" s="4" t="str" cm="1">
        <f t="array" ref="O21">计算得分(100, 固定数据!AB18, 固定数据!AC18, 0, 7,0, 0)</f>
        <v>--</v>
      </c>
      <c r="P21" s="4" t="str" cm="1">
        <f t="array" ref="P21">计算得分(INDEX([1]Sheet1!$P:$P, MATCH(A21, [1]Sheet1!$B:$B,0)), 固定数据!AD18, 固定数据!AE18, 0.2, 7,0, 0)</f>
        <v>--</v>
      </c>
      <c r="Q21" s="4" cm="1">
        <f t="array" ref="Q21">计算得分(INDEX([1]Sheet1!$I:$I, MATCH(A21, [1]Sheet1!$B:$B,0)), 固定数据!AF18, 固定数据!AG18,0.2, IF(固定数据!AF18&lt;&gt;"--",固定数据!AF18,0),0, 5)</f>
        <v>357.22</v>
      </c>
      <c r="R21" s="4" t="str" cm="1">
        <f t="array" ref="R21">计算得分(INDEX([2]Sheet1!$AL:$AL, MATCH(A21, [2]Sheet1!$A:$A,0)), 固定数据!AH18, 固定数据!AI18, 0.02, 6,6, 1)</f>
        <v>--</v>
      </c>
      <c r="S21" s="4" cm="1">
        <f t="array" ref="S21">计算得分(INDEX([2]Sheet1!$I:$I, MATCH(A21, [2]Sheet1!$A:$A,0)), 固定数据!AJ18, 固定数据!AK18, 0.005, 10,0, 1)</f>
        <v>906</v>
      </c>
      <c r="T21" s="4" cm="1">
        <f t="array" ref="T21">计算得分(98, 固定数据!AL18, 固定数据!AM18, 0.03, IF(固定数据!AL18&lt;&gt;"--",固定数据!AL18,0),0, 3)</f>
        <v>98</v>
      </c>
      <c r="U21" s="4" t="str" cm="1">
        <f t="array" ref="U21">计算得分(INDEX([1]Sheet1!$G:$G, MATCH(A21, [1]Sheet1!$B:$B,0)), 固定数据!AN18, 固定数据!AO18, 0.5, 3,0, 0)</f>
        <v>--</v>
      </c>
      <c r="V21" s="4" t="str" cm="1">
        <f t="array" ref="V21">计算得分(INDEX([1]Sheet1!$H:$H, MATCH(A21, [1]Sheet1!$B:$B,0)), 固定数据!AP18, 固定数据!AQ18, 0.4, 5,0, 1)</f>
        <v>--</v>
      </c>
      <c r="W21" s="4" cm="1">
        <f t="array" ref="W21">计算得分(INDEX([1]Sheet1!$J:$J, MATCH(A21, [1]Sheet1!$B:$B,0)), 固定数据!AR18, 固定数据!AS18, 0.2, 2.5,0, 4)</f>
        <v>357.22</v>
      </c>
      <c r="X21" s="4" t="str" cm="1">
        <f t="array" ref="X21">计算得分(INDEX([1]Sheet1!$K:$K, MATCH(A21, [1]Sheet1!$B:$B,0)), 固定数据!AT18, 固定数据!AU18, 0.2, 1.5,1.5, 4)</f>
        <v>--</v>
      </c>
      <c r="Y21" s="4" cm="1">
        <f t="array" ref="Y21">计算得分(INDEX([1]Sheet1!$AA:$AA, MATCH(A21, [1]Sheet1!$B:$B,0)), 固定数据!AV18, 固定数据!AW18, 0.05, IF(固定数据!AV18&lt;&gt;"--",固定数据!AV18,0),0, 3)</f>
        <v>100</v>
      </c>
      <c r="Z21" s="4" t="str" cm="1">
        <f t="array" ref="Z21">计算得分(INDEX([1]Sheet1!$AB:$AB, MATCH(A21, [1]Sheet1!$B:$B,0)), 固定数据!AX18, 固定数据!AY18, 0.05, IF(固定数据!AX18&lt;&gt;"--",固定数据!AX18,0),0, 3)</f>
        <v>--</v>
      </c>
      <c r="AA21" s="4" cm="1">
        <f t="array" ref="AA21">计算得分(INDEX([1]Sheet1!$AC:$AC, MATCH(A21, [1]Sheet1!$B:$B,0)), 固定数据!AZ18, 固定数据!BA18, 0.04, IF(固定数据!AZ18&lt;&gt;"--",固定数据!AZ18,0),0, 3)</f>
        <v>100</v>
      </c>
      <c r="AB21" s="4" cm="1">
        <f t="array" ref="AB21">计算得分(INDEX([1]Sheet1!$AD:$AD, MATCH(A21, [1]Sheet1!$B:$B,0)), 固定数据!BB18, 固定数据!BC18, 0.03, IF(固定数据!BB18&lt;&gt;"--",固定数据!BB18,0),0, 3)</f>
        <v>100</v>
      </c>
      <c r="AC21" s="4" cm="1">
        <f t="array" ref="AC21">计算得分(INDEX([1]Sheet1!$AE:$AE, MATCH(A21, [1]Sheet1!$B:$B,0)), 固定数据!BD18, 固定数据!BE18, 0.04, IF(固定数据!BD18&lt;&gt;"--",固定数据!BD18,0),0, 3)</f>
        <v>100</v>
      </c>
      <c r="AD21" s="4" t="str" cm="1">
        <f t="array" ref="AD21">计算得分(INDEX([1]Sheet1!$L:$L, MATCH(A21, [1]Sheet1!$B:$B,0)), 固定数据!BF18, 固定数据!BG18, 0.1, 12.5,0, 3)</f>
        <v>--</v>
      </c>
      <c r="AE21" s="4" t="str" cm="1">
        <f t="array" ref="AE21">计算得分(INDEX([1]Sheet1!$N:$N, MATCH(A21, [1]Sheet1!$B:$B,0)), 固定数据!BH18, 固定数据!BI18, 0.2, 7,0, 0)</f>
        <v>--</v>
      </c>
      <c r="AF21" s="4" t="str" cm="1">
        <f t="array" ref="AF21">计算得分(INDEX([1]Sheet1!$Q:$Q, MATCH(A21, [1]Sheet1!$B:$B,0)), 固定数据!BJ18, 固定数据!BK18, 0.2, 7,0, 0)</f>
        <v>--</v>
      </c>
      <c r="AG21" s="4" t="str" cm="1">
        <f t="array" ref="AG21">计算得分(INDEX([1]Sheet1!$S:$S, MATCH(A21, [1]Sheet1!$B:$B,0)), 固定数据!BL18, 固定数据!BM18, 0.2, 20,0, 0)</f>
        <v>--</v>
      </c>
      <c r="AH21" s="4" t="str" cm="1">
        <f t="array" ref="AH21">计算得分(INDEX([1]Sheet1!$AF:$AF, MATCH(A21, [1]Sheet1!$B:$B,0)), 固定数据!BN18, 固定数据!BO18, 0.1, 10,0, 3)</f>
        <v>--</v>
      </c>
      <c r="AI21" s="4" cm="1">
        <f t="array" ref="AI21">计算得分(INDEX([1]Sheet1!$M:$M, MATCH(A21, [1]Sheet1!$B:$B,0)), 固定数据!BP18, 固定数据!BQ18, 0.15, 15,0, 3)</f>
        <v>21.41</v>
      </c>
      <c r="AJ21" s="4" cm="1">
        <f t="array" ref="AJ21">计算得分(INDEX([1]Sheet1!$Z:$Z, MATCH(A21, [1]Sheet1!$B:$B,0)), 固定数据!BR18, 固定数据!BS18, 10, 50,0, 0)</f>
        <v>0</v>
      </c>
      <c r="AK21" s="4" cm="1">
        <f t="array" ref="AK21">计算得分(INDEX([1]Sheet1!$O:$O, MATCH(A21, [1]Sheet1!$B:$B,0)), 固定数据!BT18, 固定数据!BU18, 0.2, 15,0, 0)</f>
        <v>0.75</v>
      </c>
      <c r="AL21" s="4" cm="1">
        <f t="array" ref="AL21">计算得分(INDEX([1]Sheet1!$R:$R, MATCH(A21, [1]Sheet1!$B:$B,0)), 固定数据!BV18, 固定数据!BW18, 0.2, 10,0, 0)</f>
        <v>15.82</v>
      </c>
      <c r="AM21" s="4" cm="1">
        <f t="array" ref="AM21">计算得分(INDEX([1]Sheet1!$T:$T, MATCH(A21, [1]Sheet1!$B:$B,0)), 固定数据!BX18, 固定数据!BY18, 0.2, 30,0, 0)</f>
        <v>71.45</v>
      </c>
      <c r="AN21" s="4" t="str" cm="1">
        <f t="array" ref="AN21">计算得分([3]Sheet1!$F$3, 固定数据!BZ18, 固定数据!CA18, 0.5, 15,0, 0)</f>
        <v>--</v>
      </c>
      <c r="AO21" s="4" t="str" cm="1">
        <f t="array" ref="AO21">计算得分([3]Sheet1!$G$3, 固定数据!CB18, 固定数据!CC18, 0.01, 5,0, 1)</f>
        <v>--</v>
      </c>
      <c r="AP21" s="4" t="str" cm="1">
        <f t="array" ref="AP21">计算得分([3]Sheet1!$H$3, 固定数据!CD18, 固定数据!CE18, 0.001, 5,0, 1)</f>
        <v>--</v>
      </c>
      <c r="AQ21" s="4" t="str" cm="1">
        <f t="array" ref="AQ21">计算得分([3]Sheet1!$D$3,固定数据!CF18,固定数据!CG18,0.05,5,0,3)</f>
        <v>--</v>
      </c>
      <c r="AR21" s="4" t="str" cm="1">
        <f t="array" ref="AR21">计算得分([3]Sheet1!$E$3,固定数据!CH18,固定数据!CI18,0.1,10,0,3)</f>
        <v>--</v>
      </c>
      <c r="AS21" s="8" t="s">
        <v>74</v>
      </c>
      <c r="AT21" s="4" t="str" cm="1">
        <f t="array" ref="AT21">计算得分(INDEX([3]Sheet1!$J:$J, MATCH(A21, [3]Sheet1!$B:$B,0)), 固定数据!CL18, 固定数据!CM18, 2, 0,-10, 0)</f>
        <v>--</v>
      </c>
      <c r="AU21" s="4" t="str" cm="1">
        <f t="array" ref="AU21">计算得分(INDEX([3]Sheet1!$K:$K, MATCH(A21, [3]Sheet1!$B:$B,0)), 固定数据!CN18, 固定数据!CO18, 3, 0,-10, 0)</f>
        <v>--</v>
      </c>
      <c r="AV21" s="4" t="str" cm="1">
        <f t="array" ref="AV21">计算得分(INDEX([3]Sheet1!$L:$L, MATCH(A21, [3]Sheet1!$B:$B,0)), 固定数据!CP18, 固定数据!CQ18, 3, 0,-10, 0)</f>
        <v>--</v>
      </c>
      <c r="AW21" s="4" t="str" cm="1">
        <f t="array" ref="AW21">计算得分(INDEX([3]Sheet1!$M:$M, MATCH(A21, [3]Sheet1!$B:$B,0)), 固定数据!CR18, 固定数据!CS18, 100, 0,-100, 0)</f>
        <v>--</v>
      </c>
      <c r="AX21" s="4" t="str" cm="1">
        <f t="array" ref="AX21">计算得分(INDEX([3]Sheet1!$N:$N, MATCH(A21, [3]Sheet1!$B:$B,0)), 固定数据!CT18, 固定数据!CU18, 3, 0,-10, 0)</f>
        <v>--</v>
      </c>
      <c r="AY21" s="8" t="s">
        <v>74</v>
      </c>
      <c r="AZ21" s="8" t="s">
        <v>74</v>
      </c>
      <c r="BA21" s="4" t="str">
        <f>IFERROR(VLOOKUP(A21,[4]KPI评分!B:C,2,FALSE)*60%,"--")</f>
        <v>--</v>
      </c>
    </row>
    <row r="22" spans="1:53" ht="24.75" customHeight="1" x14ac:dyDescent="0.25">
      <c r="A22" s="1" t="s">
        <v>90</v>
      </c>
      <c r="B22" s="2" t="str" cm="1">
        <f t="array" ref="B22">计算得分(INDEX([1]Sheet1!$W:$W, MATCH(A22, [1]Sheet1!$B:$B,0)), 固定数据!B19, 固定数据!C19, 0.5, 0,-10, 0)</f>
        <v>--</v>
      </c>
      <c r="C22" s="2" t="str" cm="1">
        <f t="array" ref="C22">计算得分(INDEX([1]Sheet1!$X:$X, MATCH(A22, [1]Sheet1!$B:$B,0)), 固定数据!D19, 固定数据!E19, 1, 0,-10, 0)</f>
        <v>--</v>
      </c>
      <c r="D22" s="2" t="str" cm="1">
        <f t="array" ref="D22">计算得分(INDEX([1]Sheet1!$Y:$Y, MATCH(A22, [1]Sheet1!$B:$B,0)), 固定数据!F19, 固定数据!G19, 2, 0,-10, 0)</f>
        <v>--</v>
      </c>
      <c r="E22" s="6" t="str" cm="1">
        <f t="array" ref="E22">计算得分(INDEX([1]Sheet1!$C:$C, MATCH(A22, [1]Sheet1!$B:$B,0)), 固定数据!H19, 固定数据!I19, 0.02, 10,0, 1)</f>
        <v>--</v>
      </c>
      <c r="F22" s="2" t="str" cm="1">
        <f t="array" ref="F22">计算得分(INDEX([1]Sheet1!$D:$D, MATCH(A22, [1]Sheet1!$B:$B,0)), 固定数据!J19, 固定数据!K19, 0, 0,0, 0)</f>
        <v>--</v>
      </c>
      <c r="G22" s="2" t="str" cm="1">
        <f t="array" ref="G22">计算得分(INDEX([1]Sheet1!$E:$E, MATCH(A22, [1]Sheet1!$B:$B,0)), 固定数据!L19, 固定数据!M19,  0.3, 3,0, 5)</f>
        <v>--</v>
      </c>
      <c r="H22" s="2" t="str" cm="1">
        <f t="array" ref="H22">计算得分(INDEX([1]Sheet1!$AG:$AG, MATCH(A22, [1]Sheet1!$B:$B,0)), 固定数据!N19, 固定数据!O19, 0.03, 3,0, 3)</f>
        <v>--</v>
      </c>
      <c r="I22" s="2" t="str" cm="1">
        <f t="array" ref="I22">计算得分(INDEX([1]Sheet1!$V:$V, MATCH(A22, [1]Sheet1!$B:$B,0)), 固定数据!P19, 固定数据!Q19, 1, 0,-100, 0)</f>
        <v>--</v>
      </c>
      <c r="J22" s="2" t="str" cm="1">
        <f t="array" ref="J22">计算得分(INDEX([1]Sheet1!$AI:$AI, MATCH(A22, [1]Sheet1!$B:$B,0)), 固定数据!R19, 固定数据!S19, 0.04, 12,0, 3)</f>
        <v>--</v>
      </c>
      <c r="K22" s="2" t="str" cm="1">
        <f t="array" ref="K22">计算得分(INDEX([1]Sheet1!$F:$F, MATCH(A22, [1]Sheet1!$B:$B,0)), 固定数据!T19, 固定数据!U19, 0.02, 3,0, 1)</f>
        <v>--</v>
      </c>
      <c r="L22" s="2" t="str" cm="1">
        <f t="array" ref="L22">计算得分(INDEX([1]Sheet1!$U:$U, MATCH(A22, [1]Sheet1!$B:$B,0)), 固定数据!V19, 固定数据!W19, 0.2, 20,0, 0)</f>
        <v>--</v>
      </c>
      <c r="M22" s="2" t="str" cm="1">
        <f t="array" ref="M22">计算得分(100, 固定数据!X19, 固定数据!Y19, 0, 5,0, 0)</f>
        <v>--</v>
      </c>
      <c r="N22" s="2" t="str" cm="1">
        <f t="array" ref="N22">计算得分(100, 固定数据!Z19, 固定数据!AA19, 0, 5,0, 0)</f>
        <v>--</v>
      </c>
      <c r="O22" s="2" t="str" cm="1">
        <f t="array" ref="O22">计算得分(100, 固定数据!AB19, 固定数据!AC19, 0, 7,0, 0)</f>
        <v>--</v>
      </c>
      <c r="P22" s="2" t="str" cm="1">
        <f t="array" ref="P22">计算得分(INDEX([1]Sheet1!$P:$P, MATCH(A22, [1]Sheet1!$B:$B,0)), 固定数据!AD19, 固定数据!AE19, 0.2, 7,0, 0)</f>
        <v>--</v>
      </c>
      <c r="Q22" s="2" t="str" cm="1">
        <f t="array" ref="Q22">计算得分(INDEX([1]Sheet1!$I:$I, MATCH(A22, [1]Sheet1!$B:$B,0)), 固定数据!AF19, 固定数据!AG19,0.2, IF(固定数据!AF19&lt;&gt;"--",固定数据!AF19,0),2, 5)</f>
        <v>--</v>
      </c>
      <c r="R22" s="2" t="str" cm="1">
        <f t="array" ref="R22">计算得分(INDEX([2]Sheet1!$AL:$AL, MATCH(A22, [2]Sheet1!$A:$A,0)), 固定数据!AH19, 固定数据!AI19, 0.02, 6,6, 1)</f>
        <v>--</v>
      </c>
      <c r="S22" s="2" t="str" cm="1">
        <f t="array" ref="S22">计算得分(INDEX([2]Sheet1!$I:$I, MATCH(A22, [2]Sheet1!$A:$A,0)), 固定数据!AJ19, 固定数据!AK19, 0.005, 6,0, 1)</f>
        <v>--</v>
      </c>
      <c r="T22" s="2" t="str" cm="1">
        <f t="array" ref="T22">计算得分(98, 固定数据!AL19, 固定数据!AM19, 0.03, IF(固定数据!AL19&lt;&gt;"--",固定数据!AL19,0),0, 3)</f>
        <v>--</v>
      </c>
      <c r="U22" s="2" t="str" cm="1">
        <f t="array" ref="U22">计算得分(INDEX([1]Sheet1!$G:$G, MATCH(A22, [1]Sheet1!$B:$B,0)), 固定数据!AN19, 固定数据!AO19, 0.5, 3,0, 0)</f>
        <v>--</v>
      </c>
      <c r="V22" s="2" t="str" cm="1">
        <f t="array" ref="V22">计算得分(INDEX([1]Sheet1!$H:$H, MATCH(A22, [1]Sheet1!$B:$B,0)), 固定数据!AP19, 固定数据!AQ19, 0.4, 5,0, 1)</f>
        <v>--</v>
      </c>
      <c r="W22" s="2" t="str" cm="1">
        <f t="array" ref="W22">计算得分(INDEX([1]Sheet1!$J:$J, MATCH(A22, [1]Sheet1!$B:$B,0)), 固定数据!AR19, 固定数据!AS19, 0.2, 2,2, 4)</f>
        <v>--</v>
      </c>
      <c r="X22" s="2" t="str" cm="1">
        <f t="array" ref="X22">计算得分(INDEX([1]Sheet1!$K:$K, MATCH(A22, [1]Sheet1!$B:$B,0)), 固定数据!AT19, 固定数据!AU19, 0.2, 1.5,1.5, 4)</f>
        <v>--</v>
      </c>
      <c r="Y22" s="2" t="str" cm="1">
        <f t="array" ref="Y22">计算得分(INDEX([1]Sheet1!$AA:$AA, MATCH(A22, [1]Sheet1!$B:$B,0)), 固定数据!AV19, 固定数据!AW19, 0.05, IF(固定数据!AV19&lt;&gt;"--",固定数据!AV19,0),0, 3)</f>
        <v>--</v>
      </c>
      <c r="Z22" s="2" t="str" cm="1">
        <f t="array" ref="Z22">计算得分(INDEX([1]Sheet1!$AB:$AB, MATCH(A22, [1]Sheet1!$B:$B,0)), 固定数据!AX19, 固定数据!AY19, 0.05, IF(固定数据!AX19&lt;&gt;"--",固定数据!AX19,0),0, 3)</f>
        <v>--</v>
      </c>
      <c r="AA22" s="2" t="str" cm="1">
        <f t="array" ref="AA22">计算得分(INDEX([1]Sheet1!$AC:$AC, MATCH(A22, [1]Sheet1!$B:$B,0)), 固定数据!AZ19, 固定数据!BA19, 0.04, IF(固定数据!AZ19&lt;&gt;"--",固定数据!AZ19,0),0, 3)</f>
        <v>--</v>
      </c>
      <c r="AB22" s="2" t="str" cm="1">
        <f t="array" ref="AB22">计算得分(INDEX([1]Sheet1!$AD:$AD, MATCH(A22, [1]Sheet1!$B:$B,0)), 固定数据!BB19, 固定数据!BC19, 0.03, IF(固定数据!BB19&lt;&gt;"--",固定数据!BB19,0),0, 3)</f>
        <v>--</v>
      </c>
      <c r="AC22" s="2" t="str" cm="1">
        <f t="array" ref="AC22">计算得分(INDEX([1]Sheet1!$AE:$AE, MATCH(A22, [1]Sheet1!$B:$B,0)), 固定数据!BD19, 固定数据!BE19, 0.04, IF(固定数据!BD19&lt;&gt;"--",固定数据!BD19,0),0, 3)</f>
        <v>--</v>
      </c>
      <c r="AD22" s="2" t="str" cm="1">
        <f t="array" ref="AD22">计算得分(INDEX([1]Sheet1!$L:$L, MATCH(A22, [1]Sheet1!$B:$B,0)), 固定数据!BF19, 固定数据!BG19, 0.1, 12.5,0, 3)</f>
        <v>--</v>
      </c>
      <c r="AE22" s="2" t="str" cm="1">
        <f t="array" ref="AE22">计算得分(INDEX([1]Sheet1!$N:$N, MATCH(A22, [1]Sheet1!$B:$B,0)), 固定数据!BH19, 固定数据!BI19, 0.2, 7,0, 0)</f>
        <v>--</v>
      </c>
      <c r="AF22" s="2" t="str" cm="1">
        <f t="array" ref="AF22">计算得分(INDEX([1]Sheet1!$Q:$Q, MATCH(A22, [1]Sheet1!$B:$B,0)), 固定数据!BJ19, 固定数据!BK19, 0.2, 7,0, 0)</f>
        <v>--</v>
      </c>
      <c r="AG22" s="2" t="str" cm="1">
        <f t="array" ref="AG22">计算得分(INDEX([1]Sheet1!$S:$S, MATCH(A22, [1]Sheet1!$B:$B,0)), 固定数据!BL19, 固定数据!BM19, 0.2, 20,0, 0)</f>
        <v>--</v>
      </c>
      <c r="AH22" s="6" t="str" cm="1">
        <f t="array" ref="AH22">计算得分(INDEX([1]Sheet1!$AF:$AF, MATCH(A22, [1]Sheet1!$B:$B,0)), 固定数据!BN19, 固定数据!BO19, 0.1, 10,0, 3)</f>
        <v>--</v>
      </c>
      <c r="AI22" s="2" t="str" cm="1">
        <f t="array" ref="AI22">计算得分(INDEX([1]Sheet1!$M:$M, MATCH(A22, [1]Sheet1!$B:$B,0)), 固定数据!BP19, 固定数据!BQ19, 0.2, 20,0, 3)</f>
        <v>--</v>
      </c>
      <c r="AJ22" s="2" t="str" cm="1">
        <f t="array" ref="AJ22">计算得分(INDEX([1]Sheet1!$Z:$Z, MATCH(A22, [1]Sheet1!$B:$B,0)), 固定数据!BR19, 固定数据!BS19, 10, 50,0, 0)</f>
        <v>--</v>
      </c>
      <c r="AK22" s="2" t="str" cm="1">
        <f t="array" ref="AK22">计算得分(INDEX([1]Sheet1!$O:$O, MATCH(A22, [1]Sheet1!$B:$B,0)), 固定数据!BT19, 固定数据!BU19, 0.2, 15,0, 0)</f>
        <v>--</v>
      </c>
      <c r="AL22" s="2" t="str" cm="1">
        <f t="array" ref="AL22">计算得分(INDEX([1]Sheet1!$R:$R, MATCH(A22, [1]Sheet1!$B:$B,0)), 固定数据!BV19, 固定数据!BW19, 0.2, 10,0, 0)</f>
        <v>--</v>
      </c>
      <c r="AM22" s="2" t="str" cm="1">
        <f t="array" ref="AM22">计算得分(INDEX([1]Sheet1!$T:$T, MATCH(A22, [1]Sheet1!$B:$B,0)), 固定数据!BX19, 固定数据!BY19, 0.2, 20,0, 0)</f>
        <v>--</v>
      </c>
      <c r="AN22" s="2" cm="1">
        <f t="array" ref="AN22">计算得分([3]Sheet1!$F$3, 固定数据!BZ19, 固定数据!CA19, 0.5, 15,0, 0)</f>
        <v>104.4</v>
      </c>
      <c r="AO22" s="6" cm="1">
        <f t="array" ref="AO22">计算得分([3]Sheet1!$G$3, 固定数据!CB19, 固定数据!CC19, 0.01, 5,0, 1)</f>
        <v>3675</v>
      </c>
      <c r="AP22" s="6" cm="1">
        <f t="array" ref="AP22">计算得分([3]Sheet1!$H$3, 固定数据!CD19, 固定数据!CE19, 0.001, 5,0, 1)</f>
        <v>18357</v>
      </c>
      <c r="AQ22" s="6" cm="1">
        <f t="array" ref="AQ22">计算得分([3]Sheet1!$D$3,固定数据!CF19,固定数据!CG19,0.05,5,0,3)</f>
        <v>186.8</v>
      </c>
      <c r="AR22" s="6" cm="1">
        <f t="array" ref="AR22">计算得分([3]Sheet1!$E$3,固定数据!CH19,固定数据!CI19,0.1,10,0,3)</f>
        <v>7574.53</v>
      </c>
      <c r="AS22" s="7" t="s">
        <v>74</v>
      </c>
      <c r="AT22" s="6" cm="1">
        <f t="array" ref="AT22">计算得分(INDEX([3]Sheet1!$J:$J, MATCH(A22, [3]Sheet1!$B:$B,0)), 固定数据!CL19, 固定数据!CM19, 2, 0,-10, 0)</f>
        <v>100</v>
      </c>
      <c r="AU22" s="2" cm="1">
        <f t="array" ref="AU22">计算得分(INDEX([3]Sheet1!$K:$K, MATCH(A22, [3]Sheet1!$B:$B,0)), 固定数据!CN19, 固定数据!CO19, 3, 0,-10, 0)</f>
        <v>100</v>
      </c>
      <c r="AV22" s="2" cm="1">
        <f t="array" ref="AV22">计算得分(INDEX([3]Sheet1!$L:$L, MATCH(A22, [3]Sheet1!$B:$B,0)), 固定数据!CP19, 固定数据!CQ19, 3, 0,-10, 0)</f>
        <v>100</v>
      </c>
      <c r="AW22" s="2" cm="1">
        <f t="array" ref="AW22">计算得分(INDEX([3]Sheet1!$M:$M, MATCH(A22, [3]Sheet1!$B:$B,0)), 固定数据!CR19, 固定数据!CS19, 100, 0,-100, 0)</f>
        <v>100</v>
      </c>
      <c r="AX22" s="2" cm="1">
        <f t="array" ref="AX22">计算得分(INDEX([3]Sheet1!$N:$N, MATCH(A22, [3]Sheet1!$B:$B,0)), 固定数据!CT19, 固定数据!CU19, 3, 0,-10, 0)</f>
        <v>100</v>
      </c>
      <c r="AY22" s="7" t="s">
        <v>74</v>
      </c>
      <c r="AZ22" s="7" t="s">
        <v>74</v>
      </c>
      <c r="BA22" s="2">
        <f>IFERROR(VLOOKUP(A22,[4]KPI评分!B:C,2,FALSE)*60%,"--")</f>
        <v>57.359999999999992</v>
      </c>
    </row>
    <row r="23" spans="1:53" ht="24.75" customHeight="1" x14ac:dyDescent="0.25">
      <c r="A23" s="3" t="s">
        <v>91</v>
      </c>
      <c r="B23" s="4" cm="1">
        <f t="array" ref="B23">计算得分(INDEX([1]Sheet1!$W:$W, MATCH(A23, [1]Sheet1!$B:$B,0)), 固定数据!B20, 固定数据!C20, 0.5, 0,-10, 0)</f>
        <v>0</v>
      </c>
      <c r="C23" s="4" cm="1">
        <f t="array" ref="C23">计算得分(INDEX([1]Sheet1!$X:$X, MATCH(A23, [1]Sheet1!$B:$B,0)), 固定数据!D20, 固定数据!E20, 1, 0,-10, 0)</f>
        <v>0</v>
      </c>
      <c r="D23" s="4" cm="1">
        <f t="array" ref="D23">计算得分(INDEX([1]Sheet1!$Y:$Y, MATCH(A23, [1]Sheet1!$B:$B,0)), 固定数据!F20, 固定数据!G20, 2, 0,-10, 0)</f>
        <v>0</v>
      </c>
      <c r="E23" s="4" t="str" cm="1">
        <f t="array" ref="E23">计算得分(INDEX([1]Sheet1!$C:$C, MATCH(A23, [1]Sheet1!$B:$B,0)), 固定数据!H20, 固定数据!I20, 0.02, 10,0, 1)</f>
        <v>--</v>
      </c>
      <c r="F23" s="4" t="str" cm="1">
        <f t="array" ref="F23">计算得分(INDEX([1]Sheet1!$D:$D, MATCH(A23, [1]Sheet1!$B:$B,0)), 固定数据!J20, 固定数据!K20, 0, 0,0, 0)</f>
        <v>--</v>
      </c>
      <c r="G23" s="4" cm="1">
        <f t="array" ref="G23">计算得分(INDEX([1]Sheet1!$E:$E, MATCH(A23, [1]Sheet1!$B:$B,0)), 固定数据!L20, 固定数据!M20, 0.3, 3,0, 5)</f>
        <v>40100.29</v>
      </c>
      <c r="H23" s="4" cm="1">
        <f t="array" ref="H23">计算得分(INDEX([1]Sheet1!$AG:$AG, MATCH(A23, [1]Sheet1!$B:$B,0)), 固定数据!N20, 固定数据!O20, 0.03, 3,0, 3)</f>
        <v>88</v>
      </c>
      <c r="I23" s="4" cm="1">
        <f t="array" ref="I23">计算得分(INDEX([1]Sheet1!$V:$V, MATCH(A23, [1]Sheet1!$B:$B,0)), 固定数据!P20, 固定数据!Q20, 1, 0,-100, 0)</f>
        <v>0</v>
      </c>
      <c r="J23" s="4" t="str" cm="1">
        <f t="array" ref="J23">计算得分(INDEX([1]Sheet1!$AI:$AI, MATCH(A23, [1]Sheet1!$B:$B,0)), 固定数据!R20, 固定数据!S20, 0.04, 12,0, 3)</f>
        <v>--</v>
      </c>
      <c r="K23" s="4" cm="1">
        <f t="array" ref="K23">计算得分(INDEX([1]Sheet1!$F:$F, MATCH(A23, [1]Sheet1!$B:$B,0)), 固定数据!T20, 固定数据!U20, 0.02, 3,0, 1)</f>
        <v>20.28</v>
      </c>
      <c r="L23" s="4" t="str" cm="1">
        <f t="array" ref="L23">计算得分(INDEX([1]Sheet1!$U:$U, MATCH(A23, [1]Sheet1!$B:$B,0)), 固定数据!V20, 固定数据!W20, 0.2, 20,0, 0)</f>
        <v>--</v>
      </c>
      <c r="M23" s="4" t="str" cm="1">
        <f t="array" ref="M23">计算得分(100, 固定数据!X20, 固定数据!Y20, 0, 5,0, 0)</f>
        <v>--</v>
      </c>
      <c r="N23" s="4" t="str" cm="1">
        <f t="array" ref="N23">计算得分(100, 固定数据!Z20, 固定数据!AA20, 0, 5,0, 0)</f>
        <v>--</v>
      </c>
      <c r="O23" s="4" t="str" cm="1">
        <f t="array" ref="O23">计算得分(100, 固定数据!AB20, 固定数据!AC20, 0, 7,0, 0)</f>
        <v>--</v>
      </c>
      <c r="P23" s="4" t="str" cm="1">
        <f t="array" ref="P23">计算得分(INDEX([1]Sheet1!$P:$P, MATCH(A23, [1]Sheet1!$B:$B,0)), 固定数据!AD20, 固定数据!AE20, 0.2, 7,0, 0)</f>
        <v>--</v>
      </c>
      <c r="Q23" s="4" cm="1">
        <f t="array" ref="Q23">计算得分(INDEX([1]Sheet1!$I:$I, MATCH(A23, [1]Sheet1!$B:$B,0)), 固定数据!AF20, 固定数据!AG20,0.2, IF(固定数据!AF20&lt;&gt;"--",固定数据!AF20,0),2, 5)</f>
        <v>591.79</v>
      </c>
      <c r="R23" s="4" cm="1">
        <f t="array" ref="R23">计算得分(INDEX([2]Sheet1!$AL:$AL, MATCH(A23, [2]Sheet1!$A:$A,0)), 固定数据!AH20, 固定数据!AI20, 0.02, 6,6, 1)</f>
        <v>58</v>
      </c>
      <c r="S23" s="4" cm="1">
        <f t="array" ref="S23">计算得分(INDEX([2]Sheet1!$I:$I, MATCH(A23, [2]Sheet1!$A:$A,0)), 固定数据!AJ20, 固定数据!AK20, 0.005, 6,0, 1)</f>
        <v>351</v>
      </c>
      <c r="T23" s="4" cm="1">
        <f t="array" ref="T23">计算得分(98, 固定数据!AL20, 固定数据!AM20, 0.03, IF(固定数据!AL20&lt;&gt;"--",固定数据!AL20,0),0, 3)</f>
        <v>98</v>
      </c>
      <c r="U23" s="4" cm="1">
        <f t="array" ref="U23">计算得分(INDEX([1]Sheet1!$G:$G, MATCH(A23, [1]Sheet1!$B:$B,0)), 固定数据!AN20, 固定数据!AO20, 0.5, 3,0, 0)</f>
        <v>8.74</v>
      </c>
      <c r="V23" s="4" cm="1">
        <f t="array" ref="V23">计算得分(INDEX([1]Sheet1!$H:$H, MATCH(A23, [1]Sheet1!$B:$B,0)), 固定数据!AP20, 固定数据!AQ20, 0.4, 5,0, 1)</f>
        <v>2.64</v>
      </c>
      <c r="W23" s="4" cm="1">
        <f t="array" ref="W23">计算得分(INDEX([1]Sheet1!$J:$J, MATCH(A23, [1]Sheet1!$B:$B,0)), 固定数据!AR20, 固定数据!AS20, 0.2, 2,2, 4)</f>
        <v>591.79</v>
      </c>
      <c r="X23" s="4" cm="1">
        <f t="array" ref="X23">计算得分(INDEX([1]Sheet1!$K:$K, MATCH(A23, [1]Sheet1!$B:$B,0)), 固定数据!AT20, 固定数据!AU20, 0.2, 1.5,1.5, 4)</f>
        <v>14003.8</v>
      </c>
      <c r="Y23" s="4" cm="1">
        <f t="array" ref="Y23">计算得分(INDEX([1]Sheet1!$AA:$AA, MATCH(A23, [1]Sheet1!$B:$B,0)), 固定数据!AV20, 固定数据!AW20, 0.05, IF(固定数据!AV20&lt;&gt;"--",固定数据!AV20,0),0, 3)</f>
        <v>91.5</v>
      </c>
      <c r="Z23" s="4" cm="1">
        <f t="array" ref="Z23">计算得分(INDEX([1]Sheet1!$AB:$AB, MATCH(A23, [1]Sheet1!$B:$B,0)), 固定数据!AX20, 固定数据!AY20, 0.05, IF(固定数据!AX20&lt;&gt;"--",固定数据!AX20,0),0, 3)</f>
        <v>96.5</v>
      </c>
      <c r="AA23" s="4" cm="1">
        <f t="array" ref="AA23">计算得分(INDEX([1]Sheet1!$AC:$AC, MATCH(A23, [1]Sheet1!$B:$B,0)), 固定数据!AZ20, 固定数据!BA20, 0.04, IF(固定数据!AZ20&lt;&gt;"--",固定数据!AZ20,0),0, 3)</f>
        <v>94</v>
      </c>
      <c r="AB23" s="4" cm="1">
        <f t="array" ref="AB23">计算得分(INDEX([1]Sheet1!$AD:$AD, MATCH(A23, [1]Sheet1!$B:$B,0)), 固定数据!BB20, 固定数据!BC20, 0.03, IF(固定数据!BB20&lt;&gt;"--",固定数据!BB20,0),0, 3)</f>
        <v>100</v>
      </c>
      <c r="AC23" s="4" cm="1">
        <f t="array" ref="AC23">计算得分(INDEX([1]Sheet1!$AE:$AE, MATCH(A23, [1]Sheet1!$B:$B,0)), 固定数据!BD20, 固定数据!BE20, 0.04, IF(固定数据!BD20&lt;&gt;"--",固定数据!BD20,0),0, 3)</f>
        <v>95.81</v>
      </c>
      <c r="AD23" s="4" cm="1">
        <f t="array" ref="AD23">计算得分(INDEX([1]Sheet1!$L:$L, MATCH(A23, [1]Sheet1!$B:$B,0)), 固定数据!BF20, 固定数据!BG20, 0.1, 12.5,0, 3)</f>
        <v>11452.46</v>
      </c>
      <c r="AE23" s="4" cm="1">
        <f t="array" ref="AE23">计算得分(INDEX([1]Sheet1!$N:$N, MATCH(A23, [1]Sheet1!$B:$B,0)), 固定数据!BH20, 固定数据!BI20, 0.2, 7,0, 0)</f>
        <v>9.9700000000000006</v>
      </c>
      <c r="AF23" s="4" cm="1">
        <f t="array" ref="AF23">计算得分(INDEX([1]Sheet1!$Q:$Q, MATCH(A23, [1]Sheet1!$B:$B,0)), 固定数据!BJ20, 固定数据!BK20, 0.2, 7,0, 0)</f>
        <v>18.48</v>
      </c>
      <c r="AG23" s="4" cm="1">
        <f t="array" ref="AG23">计算得分(INDEX([1]Sheet1!$S:$S, MATCH(A23, [1]Sheet1!$B:$B,0)), 固定数据!BL20, 固定数据!BM20, 0.2, 20,0, 0)</f>
        <v>42.6</v>
      </c>
      <c r="AH23" s="4" t="str" cm="1">
        <f t="array" ref="AH23">计算得分(INDEX([1]Sheet1!$AF:$AF, MATCH(A23, [1]Sheet1!$B:$B,0)), 固定数据!BN20, 固定数据!BO20, 0.1, 10,0, 3)</f>
        <v>--</v>
      </c>
      <c r="AI23" s="4" t="str" cm="1">
        <f t="array" ref="AI23">计算得分(INDEX([1]Sheet1!$M:$M, MATCH(A23, [1]Sheet1!$B:$B,0)), 固定数据!BP20, 固定数据!BQ20, 0.2, 20,0, 3)</f>
        <v>--</v>
      </c>
      <c r="AJ23" s="4" cm="1">
        <f t="array" ref="AJ23">计算得分(INDEX([1]Sheet1!$Z:$Z, MATCH(A23, [1]Sheet1!$B:$B,0)), 固定数据!BR20, 固定数据!BS20, 10, 50,0, 0)</f>
        <v>0</v>
      </c>
      <c r="AK23" s="4" t="str" cm="1">
        <f t="array" ref="AK23">计算得分(INDEX([1]Sheet1!$O:$O, MATCH(A23, [1]Sheet1!$B:$B,0)), 固定数据!BT20, 固定数据!BU20, 0.2, 15,0, 0)</f>
        <v>--</v>
      </c>
      <c r="AL23" s="4" t="str" cm="1">
        <f t="array" ref="AL23">计算得分(INDEX([1]Sheet1!$R:$R, MATCH(A23, [1]Sheet1!$B:$B,0)), 固定数据!BV20, 固定数据!BW20, 0.2, 10,0, 0)</f>
        <v>--</v>
      </c>
      <c r="AM23" s="4" t="str" cm="1">
        <f t="array" ref="AM23">计算得分(INDEX([1]Sheet1!$T:$T, MATCH(A23, [1]Sheet1!$B:$B,0)), 固定数据!BX20, 固定数据!BY20, 0.2, 20,0, 0)</f>
        <v>--</v>
      </c>
      <c r="AN23" s="4" t="str" cm="1">
        <f t="array" ref="AN23">计算得分([3]Sheet1!$F$3, 固定数据!BZ20, 固定数据!CA20, 0.5, 15,0, 0)</f>
        <v>--</v>
      </c>
      <c r="AO23" s="4" t="str" cm="1">
        <f t="array" ref="AO23">计算得分([3]Sheet1!$G$3, 固定数据!CB20, 固定数据!CC20, 0.01, 5,0, 1)</f>
        <v>--</v>
      </c>
      <c r="AP23" s="4" t="str" cm="1">
        <f t="array" ref="AP23">计算得分([3]Sheet1!$H$3, 固定数据!CD20, 固定数据!CE20, 0.001, 5,0, 1)</f>
        <v>--</v>
      </c>
      <c r="AQ23" s="4" t="str" cm="1">
        <f t="array" ref="AQ23">计算得分([3]Sheet1!$D$3,固定数据!CF20,固定数据!CG20,0.05,5,0,3)</f>
        <v>--</v>
      </c>
      <c r="AR23" s="4" t="str" cm="1">
        <f t="array" ref="AR23">计算得分([3]Sheet1!$E$3,固定数据!CH20,固定数据!CI20,0.1,10,0,3)</f>
        <v>--</v>
      </c>
      <c r="AS23" s="8" t="s">
        <v>74</v>
      </c>
      <c r="AT23" s="4" t="str" cm="1">
        <f t="array" ref="AT23">计算得分(INDEX([3]Sheet1!$J:$J, MATCH(A23, [3]Sheet1!$B:$B,0)), 固定数据!CL20, 固定数据!CM20, 2, 0,-10, 0)</f>
        <v>--</v>
      </c>
      <c r="AU23" s="4" t="str" cm="1">
        <f t="array" ref="AU23">计算得分(INDEX([3]Sheet1!$K:$K, MATCH(A23, [3]Sheet1!$B:$B,0)), 固定数据!CN20, 固定数据!CO20, 3, 0,-10, 0)</f>
        <v>--</v>
      </c>
      <c r="AV23" s="4" t="str" cm="1">
        <f t="array" ref="AV23">计算得分(INDEX([3]Sheet1!$L:$L, MATCH(A23, [3]Sheet1!$B:$B,0)), 固定数据!CP20, 固定数据!CQ20, 3, 0,-10, 0)</f>
        <v>--</v>
      </c>
      <c r="AW23" s="4" t="str" cm="1">
        <f t="array" ref="AW23">计算得分(INDEX([3]Sheet1!$M:$M, MATCH(A23, [3]Sheet1!$B:$B,0)), 固定数据!CR20, 固定数据!CS20, 100, 0,-100, 0)</f>
        <v>--</v>
      </c>
      <c r="AX23" s="4" t="str" cm="1">
        <f t="array" ref="AX23">计算得分(INDEX([3]Sheet1!$N:$N, MATCH(A23, [3]Sheet1!$B:$B,0)), 固定数据!CT20, 固定数据!CU20, 3, 0,-10, 0)</f>
        <v>--</v>
      </c>
      <c r="AY23" s="8" t="s">
        <v>74</v>
      </c>
      <c r="AZ23" s="8" t="s">
        <v>74</v>
      </c>
      <c r="BA23" s="4" t="str">
        <f>IFERROR(VLOOKUP(A23,[4]KPI评分!B:C,2,FALSE)*60%,"--")</f>
        <v>--</v>
      </c>
    </row>
    <row r="24" spans="1:53" ht="34.5" customHeight="1" x14ac:dyDescent="0.25">
      <c r="A24" s="1" t="s">
        <v>92</v>
      </c>
      <c r="B24" s="2" t="str" cm="1">
        <f t="array" ref="B24">计算得分(INDEX([1]Sheet1!$W:$W, MATCH(A24, [1]Sheet1!$B:$B,0)), 固定数据!B21, 固定数据!C21, 0.5, 0,-10, 0)</f>
        <v>--</v>
      </c>
      <c r="C24" s="2" t="str" cm="1">
        <f t="array" ref="C24">计算得分(INDEX([1]Sheet1!$X:$X, MATCH(A24, [1]Sheet1!$B:$B,0)), 固定数据!D21, 固定数据!E21, 1, 0,-10, 0)</f>
        <v>--</v>
      </c>
      <c r="D24" s="2" t="str" cm="1">
        <f t="array" ref="D24">计算得分(INDEX([1]Sheet1!$Y:$Y, MATCH(A24, [1]Sheet1!$B:$B,0)), 固定数据!F21, 固定数据!G21, 2, 0,-10, 0)</f>
        <v>--</v>
      </c>
      <c r="E24" s="6" t="str" cm="1">
        <f t="array" ref="E24">计算得分(INDEX([1]Sheet1!$C:$C, MATCH(A24, [1]Sheet1!$B:$B,0)), 固定数据!H21, 固定数据!I21, 0.02, 10,0, 1)</f>
        <v>--</v>
      </c>
      <c r="F24" s="2" t="str" cm="1">
        <f t="array" ref="F24">计算得分(INDEX([1]Sheet1!$D:$D, MATCH(A24, [1]Sheet1!$B:$B,0)), 固定数据!J21, 固定数据!K21, 0, 0,0, 0)</f>
        <v>--</v>
      </c>
      <c r="G24" s="2" t="str" cm="1">
        <f t="array" ref="G24">计算得分(INDEX([1]Sheet1!$E:$E, MATCH(A24, [1]Sheet1!$B:$B,0)), 固定数据!L21, 固定数据!M21,  0.3, 3,0, 5)</f>
        <v>--</v>
      </c>
      <c r="H24" s="2" t="str" cm="1">
        <f t="array" ref="H24">计算得分(INDEX([1]Sheet1!$AG:$AG, MATCH(A24, [1]Sheet1!$B:$B,0)), 固定数据!N21, 固定数据!O21, 0.03, 3,0, 3)</f>
        <v>--</v>
      </c>
      <c r="I24" s="2" t="str" cm="1">
        <f t="array" ref="I24">计算得分(INDEX([1]Sheet1!$V:$V, MATCH(A24, [1]Sheet1!$B:$B,0)), 固定数据!P21, 固定数据!Q21, 1, 0,-100, 0)</f>
        <v>--</v>
      </c>
      <c r="J24" s="2" t="str" cm="1">
        <f t="array" ref="J24">计算得分(INDEX([1]Sheet1!$AI:$AI, MATCH(A24, [1]Sheet1!$B:$B,0)), 固定数据!R21, 固定数据!S21, 0.04, 12,0, 3)</f>
        <v>--</v>
      </c>
      <c r="K24" s="2" t="str" cm="1">
        <f t="array" ref="K24">计算得分(INDEX([1]Sheet1!$F:$F, MATCH(A24, [1]Sheet1!$B:$B,0)), 固定数据!T21, 固定数据!U21, 0.02, 3,0, 1)</f>
        <v>--</v>
      </c>
      <c r="L24" s="2" t="str" cm="1">
        <f t="array" ref="L24">计算得分(INDEX([1]Sheet1!$U:$U, MATCH(A24, [1]Sheet1!$B:$B,0)), 固定数据!V21, 固定数据!W21, 0.2, 20,0, 0)</f>
        <v>--</v>
      </c>
      <c r="M24" s="2" t="str" cm="1">
        <f t="array" ref="M24">计算得分(100, 固定数据!X21, 固定数据!Y21, 0, 5,0, 0)</f>
        <v>--</v>
      </c>
      <c r="N24" s="2" t="str" cm="1">
        <f t="array" ref="N24">计算得分(100, 固定数据!Z21, 固定数据!AA21, 0, 5,0, 0)</f>
        <v>--</v>
      </c>
      <c r="O24" s="2" t="str" cm="1">
        <f t="array" ref="O24">计算得分(100, 固定数据!AB21, 固定数据!AC21, 0, 7,0, 0)</f>
        <v>--</v>
      </c>
      <c r="P24" s="2" t="str" cm="1">
        <f t="array" ref="P24">计算得分(INDEX([1]Sheet1!$P:$P, MATCH(A24, [1]Sheet1!$B:$B,0)), 固定数据!AD21, 固定数据!AE21, 0.2, 7,0, 0)</f>
        <v>--</v>
      </c>
      <c r="Q24" s="2" t="str" cm="1">
        <f t="array" ref="Q24">计算得分(INDEX([1]Sheet1!$I:$I, MATCH(A24, [1]Sheet1!$B:$B,0)), 固定数据!AF21, 固定数据!AG21,0.2, IF(固定数据!AF21&lt;&gt;"--",固定数据!AF21,0),2, 5)</f>
        <v>--</v>
      </c>
      <c r="R24" s="2" t="str" cm="1">
        <f t="array" ref="R24">计算得分(INDEX([2]Sheet1!$AL:$AL, MATCH(A24, [2]Sheet1!$A:$A,0)), 固定数据!AH21, 固定数据!AI21, 0.02, 6,6, 1)</f>
        <v>--</v>
      </c>
      <c r="S24" s="2" t="str" cm="1">
        <f t="array" ref="S24">计算得分(INDEX([2]Sheet1!$I:$I, MATCH(A24, [2]Sheet1!$A:$A,0)), 固定数据!AJ21, 固定数据!AK21, 0.005, 6,0, 1)</f>
        <v>--</v>
      </c>
      <c r="T24" s="2" t="str" cm="1">
        <f t="array" ref="T24">计算得分(98, 固定数据!AL21, 固定数据!AM21, 0.03, IF(固定数据!AL21&lt;&gt;"--",固定数据!AL21,0),0, 3)</f>
        <v>--</v>
      </c>
      <c r="U24" s="2" t="str" cm="1">
        <f t="array" ref="U24">计算得分(INDEX([1]Sheet1!$G:$G, MATCH(A24, [1]Sheet1!$B:$B,0)), 固定数据!AN21, 固定数据!AO21, 0.5, 3,0, 0)</f>
        <v>--</v>
      </c>
      <c r="V24" s="2" t="str" cm="1">
        <f t="array" ref="V24">计算得分(INDEX([1]Sheet1!$H:$H, MATCH(A24, [1]Sheet1!$B:$B,0)), 固定数据!AP21, 固定数据!AQ21, 0.4, 5,0, 1)</f>
        <v>--</v>
      </c>
      <c r="W24" s="2" t="str" cm="1">
        <f t="array" ref="W24">计算得分(INDEX([1]Sheet1!$J:$J, MATCH(A24, [1]Sheet1!$B:$B,0)), 固定数据!AR21, 固定数据!AS21, 0.2, 2,2, 4)</f>
        <v>--</v>
      </c>
      <c r="X24" s="2" t="str" cm="1">
        <f t="array" ref="X24">计算得分(INDEX([1]Sheet1!$K:$K, MATCH(A24, [1]Sheet1!$B:$B,0)), 固定数据!AT21, 固定数据!AU21, 0.2, 1.5,1.5, 4)</f>
        <v>--</v>
      </c>
      <c r="Y24" s="2" t="str" cm="1">
        <f t="array" ref="Y24">计算得分(INDEX([1]Sheet1!$AA:$AA, MATCH(A24, [1]Sheet1!$B:$B,0)), 固定数据!AV21, 固定数据!AW21, 0.05, IF(固定数据!AV21&lt;&gt;"--",固定数据!AV21,0),0, 3)</f>
        <v>--</v>
      </c>
      <c r="Z24" s="2" t="str" cm="1">
        <f t="array" ref="Z24">计算得分(INDEX([1]Sheet1!$AB:$AB, MATCH(A24, [1]Sheet1!$B:$B,0)), 固定数据!AX21, 固定数据!AY21, 0.05, IF(固定数据!AX21&lt;&gt;"--",固定数据!AX21,0),0, 3)</f>
        <v>--</v>
      </c>
      <c r="AA24" s="2" t="str" cm="1">
        <f t="array" ref="AA24">计算得分(INDEX([1]Sheet1!$AC:$AC, MATCH(A24, [1]Sheet1!$B:$B,0)), 固定数据!AZ21, 固定数据!BA21, 0.04, IF(固定数据!AZ21&lt;&gt;"--",固定数据!AZ21,0),0, 3)</f>
        <v>--</v>
      </c>
      <c r="AB24" s="2" t="str" cm="1">
        <f t="array" ref="AB24">计算得分(INDEX([1]Sheet1!$AD:$AD, MATCH(A24, [1]Sheet1!$B:$B,0)), 固定数据!BB21, 固定数据!BC21, 0.03, IF(固定数据!BB21&lt;&gt;"--",固定数据!BB21,0),0, 3)</f>
        <v>--</v>
      </c>
      <c r="AC24" s="2" t="str" cm="1">
        <f t="array" ref="AC24">计算得分(INDEX([1]Sheet1!$AE:$AE, MATCH(A24, [1]Sheet1!$B:$B,0)), 固定数据!BD21, 固定数据!BE21, 0.04, IF(固定数据!BD21&lt;&gt;"--",固定数据!BD21,0),0, 3)</f>
        <v>--</v>
      </c>
      <c r="AD24" s="2" t="str" cm="1">
        <f t="array" ref="AD24">计算得分(INDEX([1]Sheet1!$L:$L, MATCH(A24, [1]Sheet1!$B:$B,0)), 固定数据!BF21, 固定数据!BG21, 0.1, 12.5,0, 3)</f>
        <v>--</v>
      </c>
      <c r="AE24" s="2" t="str" cm="1">
        <f t="array" ref="AE24">计算得分(INDEX([1]Sheet1!$N:$N, MATCH(A24, [1]Sheet1!$B:$B,0)), 固定数据!BH21, 固定数据!BI21, 0.2, 7,0, 0)</f>
        <v>--</v>
      </c>
      <c r="AF24" s="2" t="str" cm="1">
        <f t="array" ref="AF24">计算得分(INDEX([1]Sheet1!$Q:$Q, MATCH(A24, [1]Sheet1!$B:$B,0)), 固定数据!BJ21, 固定数据!BK21, 0.2, 7,0, 0)</f>
        <v>--</v>
      </c>
      <c r="AG24" s="2" t="str" cm="1">
        <f t="array" ref="AG24">计算得分(INDEX([1]Sheet1!$S:$S, MATCH(A24, [1]Sheet1!$B:$B,0)), 固定数据!BL21, 固定数据!BM21, 0.2, 20,0, 0)</f>
        <v>--</v>
      </c>
      <c r="AH24" s="6" t="str" cm="1">
        <f t="array" ref="AH24">计算得分(INDEX([1]Sheet1!$AF:$AF, MATCH(A24, [1]Sheet1!$B:$B,0)), 固定数据!BN21, 固定数据!BO21, 0.1, 10,0, 3)</f>
        <v>--</v>
      </c>
      <c r="AI24" s="2" t="str" cm="1">
        <f t="array" ref="AI24">计算得分(INDEX([1]Sheet1!$M:$M, MATCH(A24, [1]Sheet1!$B:$B,0)), 固定数据!BP21, 固定数据!BQ21, 0.2, 20,0, 3)</f>
        <v>--</v>
      </c>
      <c r="AJ24" s="2" t="str" cm="1">
        <f t="array" ref="AJ24">计算得分(INDEX([1]Sheet1!$Z:$Z, MATCH(A24, [1]Sheet1!$B:$B,0)), 固定数据!BR21, 固定数据!BS21, 10, 50,0, 0)</f>
        <v>--</v>
      </c>
      <c r="AK24" s="2" t="str" cm="1">
        <f t="array" ref="AK24">计算得分(INDEX([1]Sheet1!$O:$O, MATCH(A24, [1]Sheet1!$B:$B,0)), 固定数据!BT21, 固定数据!BU21, 0.2, 15,0, 0)</f>
        <v>--</v>
      </c>
      <c r="AL24" s="2" t="str" cm="1">
        <f t="array" ref="AL24">计算得分(INDEX([1]Sheet1!$R:$R, MATCH(A24, [1]Sheet1!$B:$B,0)), 固定数据!BV21, 固定数据!BW21, 0.2, 10,0, 0)</f>
        <v>--</v>
      </c>
      <c r="AM24" s="2" t="str" cm="1">
        <f t="array" ref="AM24">计算得分(INDEX([1]Sheet1!$T:$T, MATCH(A24, [1]Sheet1!$B:$B,0)), 固定数据!BX21, 固定数据!BY21, 0.2, 20,0, 0)</f>
        <v>--</v>
      </c>
      <c r="AN24" s="2" t="str" cm="1">
        <f t="array" ref="AN24">计算得分([3]Sheet1!$F$3, 固定数据!BZ21, 固定数据!CA21, 0.5, 15,0, 0)</f>
        <v>--</v>
      </c>
      <c r="AO24" s="6" t="str" cm="1">
        <f t="array" ref="AO24">计算得分([3]Sheet1!$G$3, 固定数据!CB21, 固定数据!CC21, 0.01, 5,0, 1)</f>
        <v>--</v>
      </c>
      <c r="AP24" s="6" t="str" cm="1">
        <f t="array" ref="AP24">计算得分([3]Sheet1!$H$3, 固定数据!CD21, 固定数据!CE21, 0.001, 5,0, 1)</f>
        <v>--</v>
      </c>
      <c r="AQ24" s="6" t="str" cm="1">
        <f t="array" ref="AQ24">计算得分([3]Sheet1!$D$3,固定数据!CF21,固定数据!CG21,0.05,5,0,3)</f>
        <v>--</v>
      </c>
      <c r="AR24" s="6" t="str" cm="1">
        <f t="array" ref="AR24">计算得分([3]Sheet1!$E$3,固定数据!CH21,固定数据!CI21,0.1,10,0,3)</f>
        <v>--</v>
      </c>
      <c r="AS24" s="7" t="s">
        <v>74</v>
      </c>
      <c r="AT24" s="6" t="str" cm="1">
        <f t="array" ref="AT24">计算得分(INDEX([3]Sheet1!$J:$J, MATCH(A24, [3]Sheet1!$B:$B,0)), 固定数据!CL21, 固定数据!CM21, 2, 0,-10, 0)</f>
        <v>--</v>
      </c>
      <c r="AU24" s="2" t="str" cm="1">
        <f t="array" ref="AU24">计算得分(INDEX([3]Sheet1!$K:$K, MATCH(A24, [3]Sheet1!$B:$B,0)), 固定数据!CN21, 固定数据!CO21, 3, 0,-10, 0)</f>
        <v>--</v>
      </c>
      <c r="AV24" s="2" t="str" cm="1">
        <f t="array" ref="AV24">计算得分(INDEX([3]Sheet1!$L:$L, MATCH(A24, [3]Sheet1!$B:$B,0)), 固定数据!CP21, 固定数据!CQ21, 3, 0,-10, 0)</f>
        <v>--</v>
      </c>
      <c r="AW24" s="2" t="str" cm="1">
        <f t="array" ref="AW24">计算得分(INDEX([3]Sheet1!$M:$M, MATCH(A24, [3]Sheet1!$B:$B,0)), 固定数据!CR21, 固定数据!CS21, 100, 0,-100, 0)</f>
        <v>--</v>
      </c>
      <c r="AX24" s="2" t="str" cm="1">
        <f t="array" ref="AX24">计算得分(INDEX([3]Sheet1!$N:$N, MATCH(A24, [3]Sheet1!$B:$B,0)), 固定数据!CT21, 固定数据!CU21, 3, 0,-10, 0)</f>
        <v>--</v>
      </c>
      <c r="AY24" s="7" t="s">
        <v>74</v>
      </c>
      <c r="AZ24" s="7" t="s">
        <v>74</v>
      </c>
      <c r="BA24" s="2" t="str">
        <f>IFERROR(VLOOKUP(A24,[4]KPI评分!B:C,2,FALSE)*60%,"--")</f>
        <v>--</v>
      </c>
    </row>
    <row r="25" spans="1:53" ht="24.75" customHeight="1" x14ac:dyDescent="0.25">
      <c r="A25" s="3" t="s">
        <v>93</v>
      </c>
      <c r="B25" s="4" t="str" cm="1">
        <f t="array" ref="B25">计算得分(INDEX([1]Sheet1!$W:$W, MATCH(A25, [1]Sheet1!$B:$B,0)), 固定数据!B22, 固定数据!C22, 0.5, 0,-10, 0)</f>
        <v>--</v>
      </c>
      <c r="C25" s="4" t="str" cm="1">
        <f t="array" ref="C25">计算得分(INDEX([1]Sheet1!$X:$X, MATCH(A25, [1]Sheet1!$B:$B,0)), 固定数据!D22, 固定数据!E22, 1, 0,-10, 0)</f>
        <v>--</v>
      </c>
      <c r="D25" s="4" t="str" cm="1">
        <f t="array" ref="D25">计算得分(INDEX([1]Sheet1!$Y:$Y, MATCH(A25, [1]Sheet1!$B:$B,0)), 固定数据!F22, 固定数据!G22, 2, 0,-10, 0)</f>
        <v>--</v>
      </c>
      <c r="E25" s="4" t="str" cm="1">
        <f t="array" ref="E25">计算得分(INDEX([1]Sheet1!$C:$C, MATCH(A25, [1]Sheet1!$B:$B,0)), 固定数据!H22, 固定数据!I22, 0.02, 10,0, 1)</f>
        <v>--</v>
      </c>
      <c r="F25" s="4" t="str" cm="1">
        <f t="array" ref="F25">计算得分(INDEX([1]Sheet1!$D:$D, MATCH(A25, [1]Sheet1!$B:$B,0)), 固定数据!J22, 固定数据!K22, 0, 0,0, 0)</f>
        <v>--</v>
      </c>
      <c r="G25" s="4" t="str" cm="1">
        <f t="array" ref="G25">计算得分(INDEX([1]Sheet1!$E:$E, MATCH(A25, [1]Sheet1!$B:$B,0)), 固定数据!L22, 固定数据!M22, 0.3, 3,0, 5)</f>
        <v>--</v>
      </c>
      <c r="H25" s="4" t="str" cm="1">
        <f t="array" ref="H25">计算得分(INDEX([1]Sheet1!$AG:$AG, MATCH(A25, [1]Sheet1!$B:$B,0)), 固定数据!N22, 固定数据!O22, 0.03, 3,0, 3)</f>
        <v>--</v>
      </c>
      <c r="I25" s="4" t="str" cm="1">
        <f t="array" ref="I25">计算得分(INDEX([1]Sheet1!$V:$V, MATCH(A25, [1]Sheet1!$B:$B,0)), 固定数据!P22, 固定数据!Q22, 1, 0,-100, 0)</f>
        <v>--</v>
      </c>
      <c r="J25" s="4" t="str" cm="1">
        <f t="array" ref="J25">计算得分(INDEX([1]Sheet1!$AI:$AI, MATCH(A25, [1]Sheet1!$B:$B,0)), 固定数据!R22, 固定数据!S22, 0.04, 12,0, 3)</f>
        <v>--</v>
      </c>
      <c r="K25" s="4" t="str" cm="1">
        <f t="array" ref="K25">计算得分(INDEX([1]Sheet1!$F:$F, MATCH(A25, [1]Sheet1!$B:$B,0)), 固定数据!T22, 固定数据!U22, 0.02, 3,0, 1)</f>
        <v>--</v>
      </c>
      <c r="L25" s="4" t="str" cm="1">
        <f t="array" ref="L25">计算得分(INDEX([1]Sheet1!$U:$U, MATCH(A25, [1]Sheet1!$B:$B,0)), 固定数据!V22, 固定数据!W22, 0.2, 20,0, 0)</f>
        <v>--</v>
      </c>
      <c r="M25" s="4" t="str" cm="1">
        <f t="array" ref="M25">计算得分(100, 固定数据!X22, 固定数据!Y22, 0, 5,0, 0)</f>
        <v>--</v>
      </c>
      <c r="N25" s="4" t="str" cm="1">
        <f t="array" ref="N25">计算得分(100, 固定数据!Z22, 固定数据!AA22, 0, 5,0, 0)</f>
        <v>--</v>
      </c>
      <c r="O25" s="4" t="str" cm="1">
        <f t="array" ref="O25">计算得分(100, 固定数据!AB22, 固定数据!AC22, 0, 7,0, 0)</f>
        <v>--</v>
      </c>
      <c r="P25" s="4" t="str" cm="1">
        <f t="array" ref="P25">计算得分(INDEX([1]Sheet1!$P:$P, MATCH(A25, [1]Sheet1!$B:$B,0)), 固定数据!AD22, 固定数据!AE22, 0.2, 7,0, 0)</f>
        <v>--</v>
      </c>
      <c r="Q25" s="4" t="str" cm="1">
        <f t="array" ref="Q25">计算得分(INDEX([1]Sheet1!$I:$I, MATCH(A25, [1]Sheet1!$B:$B,0)), 固定数据!AF22, 固定数据!AG22,0.2, IF(固定数据!AF22&lt;&gt;"--",固定数据!AF22,0),2, 5)</f>
        <v>--</v>
      </c>
      <c r="R25" s="4" t="str" cm="1">
        <f t="array" ref="R25">计算得分(INDEX([2]Sheet1!$AL:$AL, MATCH(A25, [2]Sheet1!$A:$A,0)), 固定数据!AH22, 固定数据!AI22, 0.02, 6,6, 1)</f>
        <v>--</v>
      </c>
      <c r="S25" s="4" t="str" cm="1">
        <f t="array" ref="S25">计算得分(INDEX([2]Sheet1!$I:$I, MATCH(A25, [2]Sheet1!$A:$A,0)), 固定数据!AJ22, 固定数据!AK22, 0.005, 6,0, 1)</f>
        <v>--</v>
      </c>
      <c r="T25" s="4" t="str" cm="1">
        <f t="array" ref="T25">计算得分(98, 固定数据!AL22, 固定数据!AM22, 0.03, IF(固定数据!AL22&lt;&gt;"--",固定数据!AL22,0),0, 3)</f>
        <v>--</v>
      </c>
      <c r="U25" s="4" t="str" cm="1">
        <f t="array" ref="U25">计算得分(INDEX([1]Sheet1!$G:$G, MATCH(A25, [1]Sheet1!$B:$B,0)), 固定数据!AN22, 固定数据!AO22, 0.5, 3,0, 0)</f>
        <v>--</v>
      </c>
      <c r="V25" s="4" t="str" cm="1">
        <f t="array" ref="V25">计算得分(INDEX([1]Sheet1!$H:$H, MATCH(A25, [1]Sheet1!$B:$B,0)), 固定数据!AP22, 固定数据!AQ22, 0.4, 5,0, 1)</f>
        <v>--</v>
      </c>
      <c r="W25" s="4" t="str" cm="1">
        <f t="array" ref="W25">计算得分(INDEX([1]Sheet1!$J:$J, MATCH(A25, [1]Sheet1!$B:$B,0)), 固定数据!AR22, 固定数据!AS22, 0.2, 2,2, 4)</f>
        <v>--</v>
      </c>
      <c r="X25" s="4" t="str" cm="1">
        <f t="array" ref="X25">计算得分(INDEX([1]Sheet1!$K:$K, MATCH(A25, [1]Sheet1!$B:$B,0)), 固定数据!AT22, 固定数据!AU22, 0.2, 1.5,1.5, 4)</f>
        <v>--</v>
      </c>
      <c r="Y25" s="4" t="str" cm="1">
        <f t="array" ref="Y25">计算得分(INDEX([1]Sheet1!$AA:$AA, MATCH(A25, [1]Sheet1!$B:$B,0)), 固定数据!AV22, 固定数据!AW22, 0.05, IF(固定数据!AV22&lt;&gt;"--",固定数据!AV22,0),0, 3)</f>
        <v>--</v>
      </c>
      <c r="Z25" s="4" t="str" cm="1">
        <f t="array" ref="Z25">计算得分(INDEX([1]Sheet1!$AB:$AB, MATCH(A25, [1]Sheet1!$B:$B,0)), 固定数据!AX22, 固定数据!AY22, 0.05, IF(固定数据!AX22&lt;&gt;"--",固定数据!AX22,0),0, 3)</f>
        <v>--</v>
      </c>
      <c r="AA25" s="4" t="str" cm="1">
        <f t="array" ref="AA25">计算得分(INDEX([1]Sheet1!$AC:$AC, MATCH(A25, [1]Sheet1!$B:$B,0)), 固定数据!AZ22, 固定数据!BA22, 0.04, IF(固定数据!AZ22&lt;&gt;"--",固定数据!AZ22,0),0, 3)</f>
        <v>--</v>
      </c>
      <c r="AB25" s="4" t="str" cm="1">
        <f t="array" ref="AB25">计算得分(INDEX([1]Sheet1!$AD:$AD, MATCH(A25, [1]Sheet1!$B:$B,0)), 固定数据!BB22, 固定数据!BC22, 0.03, IF(固定数据!BB22&lt;&gt;"--",固定数据!BB22,0),0, 3)</f>
        <v>--</v>
      </c>
      <c r="AC25" s="4" t="str" cm="1">
        <f t="array" ref="AC25">计算得分(INDEX([1]Sheet1!$AE:$AE, MATCH(A25, [1]Sheet1!$B:$B,0)), 固定数据!BD22, 固定数据!BE22, 0.04, IF(固定数据!BD22&lt;&gt;"--",固定数据!BD22,0),0, 3)</f>
        <v>--</v>
      </c>
      <c r="AD25" s="4" t="str" cm="1">
        <f t="array" ref="AD25">计算得分(INDEX([1]Sheet1!$L:$L, MATCH(A25, [1]Sheet1!$B:$B,0)), 固定数据!BF22, 固定数据!BG22, 0.1, 12.5,0, 3)</f>
        <v>--</v>
      </c>
      <c r="AE25" s="4" t="str" cm="1">
        <f t="array" ref="AE25">计算得分(INDEX([1]Sheet1!$N:$N, MATCH(A25, [1]Sheet1!$B:$B,0)), 固定数据!BH22, 固定数据!BI22, 0.2, 7,0, 0)</f>
        <v>--</v>
      </c>
      <c r="AF25" s="4" t="str" cm="1">
        <f t="array" ref="AF25">计算得分(INDEX([1]Sheet1!$Q:$Q, MATCH(A25, [1]Sheet1!$B:$B,0)), 固定数据!BJ22, 固定数据!BK22, 0.2, 7,0, 0)</f>
        <v>--</v>
      </c>
      <c r="AG25" s="4" t="str" cm="1">
        <f t="array" ref="AG25">计算得分(INDEX([1]Sheet1!$S:$S, MATCH(A25, [1]Sheet1!$B:$B,0)), 固定数据!BL22, 固定数据!BM22, 0.2, 20,0, 0)</f>
        <v>--</v>
      </c>
      <c r="AH25" s="4" t="str" cm="1">
        <f t="array" ref="AH25">计算得分(INDEX([1]Sheet1!$AF:$AF, MATCH(A25, [1]Sheet1!$B:$B,0)), 固定数据!BN22, 固定数据!BO22, 0.1, 10,0, 3)</f>
        <v>--</v>
      </c>
      <c r="AI25" s="4" t="str" cm="1">
        <f t="array" ref="AI25">计算得分(INDEX([1]Sheet1!$M:$M, MATCH(A25, [1]Sheet1!$B:$B,0)), 固定数据!BP22, 固定数据!BQ22, 0.2, 20,0, 3)</f>
        <v>--</v>
      </c>
      <c r="AJ25" s="4" t="str" cm="1">
        <f t="array" ref="AJ25">计算得分(INDEX([1]Sheet1!$Z:$Z, MATCH(A25, [1]Sheet1!$B:$B,0)), 固定数据!BR22, 固定数据!BS22, 10, 50,0, 0)</f>
        <v>--</v>
      </c>
      <c r="AK25" s="4" t="str" cm="1">
        <f t="array" ref="AK25">计算得分(INDEX([1]Sheet1!$O:$O, MATCH(A25, [1]Sheet1!$B:$B,0)), 固定数据!BT22, 固定数据!BU22, 0.2, 15,0, 0)</f>
        <v>--</v>
      </c>
      <c r="AL25" s="4" t="str" cm="1">
        <f t="array" ref="AL25">计算得分(INDEX([1]Sheet1!$R:$R, MATCH(A25, [1]Sheet1!$B:$B,0)), 固定数据!BV22, 固定数据!BW22, 0.2, 10,0, 0)</f>
        <v>--</v>
      </c>
      <c r="AM25" s="4" t="str" cm="1">
        <f t="array" ref="AM25">计算得分(INDEX([1]Sheet1!$T:$T, MATCH(A25, [1]Sheet1!$B:$B,0)), 固定数据!BX22, 固定数据!BY22, 0.2, 20,0, 0)</f>
        <v>--</v>
      </c>
      <c r="AN25" s="4" cm="1">
        <f t="array" ref="AN25">计算得分([3]Sheet1!$F$3, 固定数据!BZ22, 固定数据!CA22, 0.5, 15,0, 0)</f>
        <v>104.4</v>
      </c>
      <c r="AO25" s="4" cm="1">
        <f t="array" ref="AO25">计算得分([3]Sheet1!$G$3, 固定数据!CB22, 固定数据!CC22, 0.01, 5,0, 1)</f>
        <v>3675</v>
      </c>
      <c r="AP25" s="4" cm="1">
        <f t="array" ref="AP25">计算得分([3]Sheet1!$H$3, 固定数据!CD22, 固定数据!CE22, 0.001, 5,0, 1)</f>
        <v>18357</v>
      </c>
      <c r="AQ25" s="4" cm="1">
        <f t="array" ref="AQ25">计算得分([3]Sheet1!$D$3,固定数据!CF22,固定数据!CG22,0.05,5,0,3)</f>
        <v>186.8</v>
      </c>
      <c r="AR25" s="4" cm="1">
        <f t="array" ref="AR25">计算得分([3]Sheet1!$E$3,固定数据!CH22,固定数据!CI22,0.1,10,0,3)</f>
        <v>7574.53</v>
      </c>
      <c r="AS25" s="8" t="s">
        <v>74</v>
      </c>
      <c r="AT25" s="4" cm="1">
        <f t="array" ref="AT25">计算得分(INDEX([3]Sheet1!$J:$J, MATCH(A25, [3]Sheet1!$B:$B,0)), 固定数据!CL22, 固定数据!CM22, 2, 0,-10, 0)</f>
        <v>100</v>
      </c>
      <c r="AU25" s="4" cm="1">
        <f t="array" ref="AU25">计算得分(INDEX([3]Sheet1!$K:$K, MATCH(A25, [3]Sheet1!$B:$B,0)), 固定数据!CN22, 固定数据!CO22, 3, 0,-10, 0)</f>
        <v>100</v>
      </c>
      <c r="AV25" s="4" cm="1">
        <f t="array" ref="AV25">计算得分(INDEX([3]Sheet1!$L:$L, MATCH(A25, [3]Sheet1!$B:$B,0)), 固定数据!CP22, 固定数据!CQ22, 3, 0,-10, 0)</f>
        <v>100</v>
      </c>
      <c r="AW25" s="4" cm="1">
        <f t="array" ref="AW25">计算得分(INDEX([3]Sheet1!$M:$M, MATCH(A25, [3]Sheet1!$B:$B,0)), 固定数据!CR22, 固定数据!CS22, 100, 0,-100, 0)</f>
        <v>100</v>
      </c>
      <c r="AX25" s="4" cm="1">
        <f t="array" ref="AX25">计算得分(INDEX([3]Sheet1!$N:$N, MATCH(A25, [3]Sheet1!$B:$B,0)), 固定数据!CT22, 固定数据!CU22, 3, 0,-10, 0)</f>
        <v>100</v>
      </c>
      <c r="AY25" s="8" t="s">
        <v>74</v>
      </c>
      <c r="AZ25" s="8" t="s">
        <v>74</v>
      </c>
      <c r="BA25" s="4">
        <f>IFERROR(VLOOKUP(A25,[4]KPI评分!B:C,2,FALSE)*60%,"--")</f>
        <v>57.48</v>
      </c>
    </row>
    <row r="26" spans="1:53" ht="24.75" customHeight="1" x14ac:dyDescent="0.25">
      <c r="A26" s="1" t="s">
        <v>94</v>
      </c>
      <c r="B26" s="2" cm="1">
        <f t="array" ref="B26">计算得分(INDEX([1]Sheet1!$W:$W, MATCH(A26, [1]Sheet1!$B:$B,0)), 固定数据!B23, 固定数据!C23, 0.5, 0,-10, 0)</f>
        <v>0</v>
      </c>
      <c r="C26" s="2" cm="1">
        <f t="array" ref="C26">计算得分(INDEX([1]Sheet1!$X:$X, MATCH(A26, [1]Sheet1!$B:$B,0)), 固定数据!D23, 固定数据!E23, 1, 0,-10, 0)</f>
        <v>0</v>
      </c>
      <c r="D26" s="2" t="str" cm="1">
        <f t="array" ref="D26">计算得分(INDEX([1]Sheet1!$Y:$Y, MATCH(A26, [1]Sheet1!$B:$B,0)), 固定数据!F23, 固定数据!G23, 2, 0,-10, 0)</f>
        <v>--</v>
      </c>
      <c r="E26" s="6" t="str" cm="1">
        <f t="array" ref="E26">计算得分(INDEX([1]Sheet1!$C:$C, MATCH(A26, [1]Sheet1!$B:$B,0)), 固定数据!H23, 固定数据!I23, 0.02, 10,0, 1)</f>
        <v>--</v>
      </c>
      <c r="F26" s="2" t="str" cm="1">
        <f t="array" ref="F26">计算得分(INDEX([1]Sheet1!$D:$D, MATCH(A26, [1]Sheet1!$B:$B,0)), 固定数据!J23, 固定数据!K23, 0, 0,0, 0)</f>
        <v>--</v>
      </c>
      <c r="G26" s="2" t="str" cm="1">
        <f t="array" ref="G26">计算得分(INDEX([1]Sheet1!$E:$E, MATCH(A26, [1]Sheet1!$B:$B,0)), 固定数据!L23, 固定数据!M23,  0.3, 3,0, 5)</f>
        <v>--</v>
      </c>
      <c r="H26" s="2" t="str" cm="1">
        <f t="array" ref="H26">计算得分(INDEX([1]Sheet1!$AG:$AG, MATCH(A26, [1]Sheet1!$B:$B,0)), 固定数据!N23, 固定数据!O23, 0.03, 3,0, 3)</f>
        <v>--</v>
      </c>
      <c r="I26" s="2" cm="1">
        <f t="array" ref="I26">计算得分(INDEX([1]Sheet1!$V:$V, MATCH(A26, [1]Sheet1!$B:$B,0)), 固定数据!P23, 固定数据!Q23, 1, 0,-100, 0)</f>
        <v>0</v>
      </c>
      <c r="J26" s="2" cm="1">
        <f t="array" ref="J26">计算得分(INDEX([1]Sheet1!$AI:$AI, MATCH(A26, [1]Sheet1!$B:$B,0)), 固定数据!R23, 固定数据!S23, 0.04, 12,0, 3)</f>
        <v>100</v>
      </c>
      <c r="K26" s="2" t="str" cm="1">
        <f t="array" ref="K26">计算得分(INDEX([1]Sheet1!$F:$F, MATCH(A26, [1]Sheet1!$B:$B,0)), 固定数据!T23, 固定数据!U23, 0.02, 3,0, 1)</f>
        <v>--</v>
      </c>
      <c r="L26" s="2" t="str" cm="1">
        <f t="array" ref="L26">计算得分(INDEX([1]Sheet1!$U:$U, MATCH(A26, [1]Sheet1!$B:$B,0)), 固定数据!V23, 固定数据!W23, 0.2, 20,0, 0)</f>
        <v>--</v>
      </c>
      <c r="M26" s="2" cm="1">
        <f t="array" ref="M26">计算得分(100, 固定数据!X23, 固定数据!Y23, 0, 5,0, 0)</f>
        <v>100</v>
      </c>
      <c r="N26" s="2" t="str" cm="1">
        <f t="array" ref="N26">计算得分(100, 固定数据!Z23, 固定数据!AA23, 0, 5,0, 0)</f>
        <v>--</v>
      </c>
      <c r="O26" s="2" t="str" cm="1">
        <f t="array" ref="O26">计算得分(100, 固定数据!AB23, 固定数据!AC23, 0, 7,0, 0)</f>
        <v>--</v>
      </c>
      <c r="P26" s="2" cm="1">
        <f t="array" ref="P26">计算得分(INDEX([1]Sheet1!$P:$P, MATCH(A26, [1]Sheet1!$B:$B,0)), 固定数据!AD23, 固定数据!AE23, 0.2, 10,0, 0)</f>
        <v>37.1</v>
      </c>
      <c r="Q26" s="2" t="str" cm="1">
        <f t="array" ref="Q26">计算得分(INDEX([1]Sheet1!$I:$I, MATCH(A26, [1]Sheet1!$B:$B,0)), 固定数据!AF23, 固定数据!AG23,0.2, IF(固定数据!AF23&lt;&gt;"--",固定数据!AF23,0),2, 5)</f>
        <v>--</v>
      </c>
      <c r="R26" s="2" t="str" cm="1">
        <f t="array" ref="R26">计算得分(INDEX([2]Sheet1!$AL:$AL, MATCH(A26, [2]Sheet1!$A:$A,0)), 固定数据!AH23, 固定数据!AI23, 0.02, 6,6, 1)</f>
        <v>--</v>
      </c>
      <c r="S26" s="2" t="str" cm="1">
        <f t="array" ref="S26">计算得分(INDEX([2]Sheet1!$I:$I, MATCH(A26, [2]Sheet1!$A:$A,0)), 固定数据!AJ23, 固定数据!AK23, 0.005, 6,0, 1)</f>
        <v>--</v>
      </c>
      <c r="T26" s="2" cm="1">
        <f t="array" ref="T26">计算得分(98, 固定数据!AL23, 固定数据!AM23, 0.03, IF(固定数据!AL23&lt;&gt;"--",固定数据!AL23,0),0, 3)</f>
        <v>98</v>
      </c>
      <c r="U26" s="2" t="str" cm="1">
        <f t="array" ref="U26">计算得分(INDEX([1]Sheet1!$G:$G, MATCH(A26, [1]Sheet1!$B:$B,0)), 固定数据!AN23, 固定数据!AO23, 0.5, 3,0, 0)</f>
        <v>--</v>
      </c>
      <c r="V26" s="2" t="str" cm="1">
        <f t="array" ref="V26">计算得分(INDEX([1]Sheet1!$H:$H, MATCH(A26, [1]Sheet1!$B:$B,0)), 固定数据!AP23, 固定数据!AQ23, 0.4, 5,0, 1)</f>
        <v>--</v>
      </c>
      <c r="W26" s="2" t="str" cm="1">
        <f t="array" ref="W26">计算得分(INDEX([1]Sheet1!$J:$J, MATCH(A26, [1]Sheet1!$B:$B,0)), 固定数据!AR23, 固定数据!AS23, 0.2, 2,2, 4)</f>
        <v>--</v>
      </c>
      <c r="X26" s="2" t="str" cm="1">
        <f t="array" ref="X26">计算得分(INDEX([1]Sheet1!$K:$K, MATCH(A26, [1]Sheet1!$B:$B,0)), 固定数据!AT23, 固定数据!AU23, 0.2, 1.5,1.5, 4)</f>
        <v>--</v>
      </c>
      <c r="Y26" s="2" cm="1">
        <f t="array" ref="Y26">计算得分(INDEX([1]Sheet1!$AA:$AA, MATCH(A26, [1]Sheet1!$B:$B,0)), 固定数据!AV23, 固定数据!AW23, 0.05, IF(固定数据!AV23&lt;&gt;"--",固定数据!AV23,0),0, 3)</f>
        <v>98</v>
      </c>
      <c r="Z26" s="2" t="str" cm="1">
        <f t="array" ref="Z26">计算得分(INDEX([1]Sheet1!$AB:$AB, MATCH(A26, [1]Sheet1!$B:$B,0)), 固定数据!AX23, 固定数据!AY23, 0.05, IF(固定数据!AX23&lt;&gt;"--",固定数据!AX23,0),0, 3)</f>
        <v>--</v>
      </c>
      <c r="AA26" s="2" t="str" cm="1">
        <f t="array" ref="AA26">计算得分(INDEX([1]Sheet1!$AC:$AC, MATCH(A26, [1]Sheet1!$B:$B,0)), 固定数据!AZ23, 固定数据!BA23, 0.04, IF(固定数据!AZ23&lt;&gt;"--",固定数据!AZ23,0),0, 3)</f>
        <v>--</v>
      </c>
      <c r="AB26" s="2" cm="1">
        <f t="array" ref="AB26">计算得分(INDEX([1]Sheet1!$AD:$AD, MATCH(A26, [1]Sheet1!$B:$B,0)), 固定数据!BB23, 固定数据!BC23, 0.03, IF(固定数据!BB23&lt;&gt;"--",固定数据!BB23,0),0, 3)</f>
        <v>95</v>
      </c>
      <c r="AC26" s="2" cm="1">
        <f t="array" ref="AC26">计算得分(INDEX([1]Sheet1!$AE:$AE, MATCH(A26, [1]Sheet1!$B:$B,0)), 固定数据!BD23, 固定数据!BE23, 0.04, IF(固定数据!BD23&lt;&gt;"--",固定数据!BD23,0),0, 3)</f>
        <v>100</v>
      </c>
      <c r="AD26" s="2" t="str" cm="1">
        <f t="array" ref="AD26">计算得分(INDEX([1]Sheet1!$L:$L, MATCH(A26, [1]Sheet1!$B:$B,0)), 固定数据!BF23, 固定数据!BG23, 0.1, 12.5,0, 3)</f>
        <v>--</v>
      </c>
      <c r="AE26" s="2" t="str" cm="1">
        <f t="array" ref="AE26">计算得分(INDEX([1]Sheet1!$N:$N, MATCH(A26, [1]Sheet1!$B:$B,0)), 固定数据!BH23, 固定数据!BI23, 0.2, 7,0, 0)</f>
        <v>--</v>
      </c>
      <c r="AF26" s="2" t="str" cm="1">
        <f t="array" ref="AF26">计算得分(INDEX([1]Sheet1!$Q:$Q, MATCH(A26, [1]Sheet1!$B:$B,0)), 固定数据!BJ23, 固定数据!BK23, 0.2, 7,0, 0)</f>
        <v>--</v>
      </c>
      <c r="AG26" s="2" t="str" cm="1">
        <f t="array" ref="AG26">计算得分(INDEX([1]Sheet1!$S:$S, MATCH(A26, [1]Sheet1!$B:$B,0)), 固定数据!BL23, 固定数据!BM23, 0.2, 20,0, 0)</f>
        <v>--</v>
      </c>
      <c r="AH26" s="6" cm="1">
        <f t="array" ref="AH26">计算得分(INDEX([1]Sheet1!$AF:$AF, MATCH(A26, [1]Sheet1!$B:$B,0)), 固定数据!BN23, 固定数据!BO23, 0.1, 10,0, 3)</f>
        <v>98</v>
      </c>
      <c r="AI26" s="2" cm="1">
        <f t="array" ref="AI26">计算得分(INDEX([1]Sheet1!$M:$M, MATCH(A26, [1]Sheet1!$B:$B,0)), 固定数据!BP23, 固定数据!BQ23, 0.2, 20,0, 3)</f>
        <v>89.23</v>
      </c>
      <c r="AJ26" s="2" cm="1">
        <f t="array" ref="AJ26">计算得分(INDEX([1]Sheet1!$Z:$Z, MATCH(A26, [1]Sheet1!$B:$B,0)), 固定数据!BR23, 固定数据!BS23, 10, 50,0, 0)</f>
        <v>0</v>
      </c>
      <c r="AK26" s="2" cm="1">
        <f t="array" ref="AK26">计算得分(INDEX([1]Sheet1!$O:$O, MATCH(A26, [1]Sheet1!$B:$B,0)), 固定数据!BT23, 固定数据!BU23, 0.2, 15,0, 0)</f>
        <v>41.22</v>
      </c>
      <c r="AL26" s="2" t="str" cm="1">
        <f t="array" ref="AL26">计算得分(INDEX([1]Sheet1!$R:$R, MATCH(A26, [1]Sheet1!$B:$B,0)), 固定数据!BV23, 固定数据!BW23, 0.2, 10,0, 0)</f>
        <v>--</v>
      </c>
      <c r="AM26" s="2" cm="1">
        <f t="array" ref="AM26">计算得分(INDEX([1]Sheet1!$T:$T, MATCH(A26, [1]Sheet1!$B:$B,0)), 固定数据!BX23, 固定数据!BY23, 0.2, 15,0, 0)</f>
        <v>60.01</v>
      </c>
      <c r="AN26" s="2" t="str" cm="1">
        <f t="array" ref="AN26">计算得分([3]Sheet1!$F$3, 固定数据!BZ23, 固定数据!CA23, 0.5, 15,0, 0)</f>
        <v>--</v>
      </c>
      <c r="AO26" s="6" t="str" cm="1">
        <f t="array" ref="AO26">计算得分([3]Sheet1!$G$3, 固定数据!CB23, 固定数据!CC23, 0.01, 5,0, 1)</f>
        <v>--</v>
      </c>
      <c r="AP26" s="6" t="str" cm="1">
        <f t="array" ref="AP26">计算得分([3]Sheet1!$H$3, 固定数据!CD23, 固定数据!CE23, 0.001, 5,0, 1)</f>
        <v>--</v>
      </c>
      <c r="AQ26" s="6" t="str" cm="1">
        <f t="array" ref="AQ26">计算得分([3]Sheet1!$D$3,固定数据!CF23,固定数据!CG23,0.05,5,0,3)</f>
        <v>--</v>
      </c>
      <c r="AR26" s="6" t="str" cm="1">
        <f t="array" ref="AR26">计算得分([3]Sheet1!$E$3,固定数据!CH23,固定数据!CI23,0.1,10,0,3)</f>
        <v>--</v>
      </c>
      <c r="AS26" s="7" t="s">
        <v>74</v>
      </c>
      <c r="AT26" s="6" t="str" cm="1">
        <f t="array" ref="AT26">计算得分(INDEX([3]Sheet1!$J:$J, MATCH(A26, [3]Sheet1!$B:$B,0)), 固定数据!CL23, 固定数据!CM23, 2, 0,-10, 0)</f>
        <v>--</v>
      </c>
      <c r="AU26" s="2" t="str" cm="1">
        <f t="array" ref="AU26">计算得分(INDEX([3]Sheet1!$K:$K, MATCH(A26, [3]Sheet1!$B:$B,0)), 固定数据!CN23, 固定数据!CO23, 3, 0,-10, 0)</f>
        <v>--</v>
      </c>
      <c r="AV26" s="2" t="str" cm="1">
        <f t="array" ref="AV26">计算得分(INDEX([3]Sheet1!$L:$L, MATCH(A26, [3]Sheet1!$B:$B,0)), 固定数据!CP23, 固定数据!CQ23, 3, 0,-10, 0)</f>
        <v>--</v>
      </c>
      <c r="AW26" s="2" t="str" cm="1">
        <f t="array" ref="AW26">计算得分(INDEX([3]Sheet1!$M:$M, MATCH(A26, [3]Sheet1!$B:$B,0)), 固定数据!CR23, 固定数据!CS23, 100, 0,-100, 0)</f>
        <v>--</v>
      </c>
      <c r="AX26" s="2" t="str" cm="1">
        <f t="array" ref="AX26">计算得分(INDEX([3]Sheet1!$N:$N, MATCH(A26, [3]Sheet1!$B:$B,0)), 固定数据!CT23, 固定数据!CU23, 3, 0,-10, 0)</f>
        <v>--</v>
      </c>
      <c r="AY26" s="7" t="s">
        <v>74</v>
      </c>
      <c r="AZ26" s="7" t="s">
        <v>74</v>
      </c>
      <c r="BA26" s="2" t="str">
        <f>IFERROR(VLOOKUP(A26,[4]KPI评分!B:C,2,FALSE)*60%,"--")</f>
        <v>--</v>
      </c>
    </row>
    <row r="27" spans="1:53" ht="24.75" customHeight="1" x14ac:dyDescent="0.25">
      <c r="A27" s="3" t="s">
        <v>95</v>
      </c>
      <c r="B27" s="4" t="str" cm="1">
        <f t="array" ref="B27">计算得分(INDEX([1]Sheet1!$W:$W, MATCH(A27, [1]Sheet1!$B:$B,0)), 固定数据!B24, 固定数据!C24, 0.5, 0,-10, 0)</f>
        <v>--</v>
      </c>
      <c r="C27" s="4" t="str" cm="1">
        <f t="array" ref="C27">计算得分(INDEX([1]Sheet1!$X:$X, MATCH(A27, [1]Sheet1!$B:$B,0)), 固定数据!D24, 固定数据!E24, 1, 0,-10, 0)</f>
        <v>--</v>
      </c>
      <c r="D27" s="4" t="str" cm="1">
        <f t="array" ref="D27">计算得分(INDEX([1]Sheet1!$Y:$Y, MATCH(A27, [1]Sheet1!$B:$B,0)), 固定数据!F24, 固定数据!G24, 2, 0,-10, 0)</f>
        <v>--</v>
      </c>
      <c r="E27" s="4" t="str" cm="1">
        <f t="array" ref="E27">计算得分(INDEX([1]Sheet1!$C:$C, MATCH(A27, [1]Sheet1!$B:$B,0)), 固定数据!H24, 固定数据!I24, 0.02, 10,0, 1)</f>
        <v>--</v>
      </c>
      <c r="F27" s="4" t="str" cm="1">
        <f t="array" ref="F27">计算得分(INDEX([1]Sheet1!$D:$D, MATCH(A27, [1]Sheet1!$B:$B,0)), 固定数据!J24, 固定数据!K24, 0, 0,0, 0)</f>
        <v>--</v>
      </c>
      <c r="G27" s="4" t="str" cm="1">
        <f t="array" ref="G27">计算得分(INDEX([1]Sheet1!$E:$E, MATCH(A27, [1]Sheet1!$B:$B,0)), 固定数据!L24, 固定数据!M24, 0.3, 3,0, 5)</f>
        <v>--</v>
      </c>
      <c r="H27" s="4" t="str" cm="1">
        <f t="array" ref="H27">计算得分(INDEX([1]Sheet1!$AG:$AG, MATCH(A27, [1]Sheet1!$B:$B,0)), 固定数据!N24, 固定数据!O24, 0.03, 3,0, 3)</f>
        <v>--</v>
      </c>
      <c r="I27" s="4" t="str" cm="1">
        <f t="array" ref="I27">计算得分(INDEX([1]Sheet1!$V:$V, MATCH(A27, [1]Sheet1!$B:$B,0)), 固定数据!P24, 固定数据!Q24, 1, 0,-100, 0)</f>
        <v>--</v>
      </c>
      <c r="J27" s="4" t="str" cm="1">
        <f t="array" ref="J27">计算得分(INDEX([1]Sheet1!$AI:$AI, MATCH(A27, [1]Sheet1!$B:$B,0)), 固定数据!R24, 固定数据!S24, 0.04, 12,0, 3)</f>
        <v>--</v>
      </c>
      <c r="K27" s="4" t="str" cm="1">
        <f t="array" ref="K27">计算得分(INDEX([1]Sheet1!$F:$F, MATCH(A27, [1]Sheet1!$B:$B,0)), 固定数据!T24, 固定数据!U24, 0.02, 3,0, 1)</f>
        <v>--</v>
      </c>
      <c r="L27" s="4" t="str" cm="1">
        <f t="array" ref="L27">计算得分(INDEX([1]Sheet1!$U:$U, MATCH(A27, [1]Sheet1!$B:$B,0)), 固定数据!V24, 固定数据!W24, 0.2, 20,0, 0)</f>
        <v>--</v>
      </c>
      <c r="M27" s="4" t="str" cm="1">
        <f t="array" ref="M27">计算得分(100, 固定数据!X24, 固定数据!Y24, 0, 5,0, 0)</f>
        <v>--</v>
      </c>
      <c r="N27" s="4" t="str" cm="1">
        <f t="array" ref="N27">计算得分(100, 固定数据!Z24, 固定数据!AA24, 0, 5,0, 0)</f>
        <v>--</v>
      </c>
      <c r="O27" s="4" t="str" cm="1">
        <f t="array" ref="O27">计算得分(100, 固定数据!AB24, 固定数据!AC24, 0, 7,0, 0)</f>
        <v>--</v>
      </c>
      <c r="P27" s="4" t="str" cm="1">
        <f t="array" ref="P27">计算得分(INDEX([1]Sheet1!$P:$P, MATCH(A27, [1]Sheet1!$B:$B,0)), 固定数据!AD24, 固定数据!AE24, 0.2, 7,0, 0)</f>
        <v>--</v>
      </c>
      <c r="Q27" s="4" t="str" cm="1">
        <f t="array" ref="Q27">计算得分(INDEX([1]Sheet1!$I:$I, MATCH(A27, [1]Sheet1!$B:$B,0)), 固定数据!AF24, 固定数据!AG24,0.2, IF(固定数据!AF24&lt;&gt;"--",固定数据!AF24,0),2, 5)</f>
        <v>--</v>
      </c>
      <c r="R27" s="4" t="str" cm="1">
        <f t="array" ref="R27">计算得分(INDEX([2]Sheet1!$AL:$AL, MATCH(A27, [2]Sheet1!$A:$A,0)), 固定数据!AH24, 固定数据!AI24, 0.02, 6,6, 1)</f>
        <v>--</v>
      </c>
      <c r="S27" s="4" t="str" cm="1">
        <f t="array" ref="S27">计算得分(INDEX([2]Sheet1!$I:$I, MATCH(A27, [2]Sheet1!$A:$A,0)), 固定数据!AJ24, 固定数据!AK24, 0.005, 6,0, 1)</f>
        <v>--</v>
      </c>
      <c r="T27" s="4" t="str" cm="1">
        <f t="array" ref="T27">计算得分(98, 固定数据!AL24, 固定数据!AM24, 0.03, IF(固定数据!AL24&lt;&gt;"--",固定数据!AL24,0),0, 3)</f>
        <v>--</v>
      </c>
      <c r="U27" s="4" t="str" cm="1">
        <f t="array" ref="U27">计算得分(INDEX([1]Sheet1!$G:$G, MATCH(A27, [1]Sheet1!$B:$B,0)), 固定数据!AN24, 固定数据!AO24, 0.5, 3,0, 0)</f>
        <v>--</v>
      </c>
      <c r="V27" s="4" t="str" cm="1">
        <f t="array" ref="V27">计算得分(INDEX([1]Sheet1!$H:$H, MATCH(A27, [1]Sheet1!$B:$B,0)), 固定数据!AP24, 固定数据!AQ24, 0.4, 5,0, 1)</f>
        <v>--</v>
      </c>
      <c r="W27" s="4" t="str" cm="1">
        <f t="array" ref="W27">计算得分(INDEX([1]Sheet1!$J:$J, MATCH(A27, [1]Sheet1!$B:$B,0)), 固定数据!AR24, 固定数据!AS24, 0.2, 2,2, 4)</f>
        <v>--</v>
      </c>
      <c r="X27" s="4" t="str" cm="1">
        <f t="array" ref="X27">计算得分(INDEX([1]Sheet1!$K:$K, MATCH(A27, [1]Sheet1!$B:$B,0)), 固定数据!AT24, 固定数据!AU24, 0.2, 1.5,1.5, 4)</f>
        <v>--</v>
      </c>
      <c r="Y27" s="4" t="str" cm="1">
        <f t="array" ref="Y27">计算得分(INDEX([1]Sheet1!$AA:$AA, MATCH(A27, [1]Sheet1!$B:$B,0)), 固定数据!AV24, 固定数据!AW24, 0.05, IF(固定数据!AV24&lt;&gt;"--",固定数据!AV24,0),0, 3)</f>
        <v>--</v>
      </c>
      <c r="Z27" s="4" t="str" cm="1">
        <f t="array" ref="Z27">计算得分(INDEX([1]Sheet1!$AB:$AB, MATCH(A27, [1]Sheet1!$B:$B,0)), 固定数据!AX24, 固定数据!AY24, 0.05, IF(固定数据!AX24&lt;&gt;"--",固定数据!AX24,0),0, 3)</f>
        <v>--</v>
      </c>
      <c r="AA27" s="4" t="str" cm="1">
        <f t="array" ref="AA27">计算得分(INDEX([1]Sheet1!$AC:$AC, MATCH(A27, [1]Sheet1!$B:$B,0)), 固定数据!AZ24, 固定数据!BA24, 0.04, IF(固定数据!AZ24&lt;&gt;"--",固定数据!AZ24,0),0, 3)</f>
        <v>--</v>
      </c>
      <c r="AB27" s="4" t="str" cm="1">
        <f t="array" ref="AB27">计算得分(INDEX([1]Sheet1!$AD:$AD, MATCH(A27, [1]Sheet1!$B:$B,0)), 固定数据!BB24, 固定数据!BC24, 0.03, IF(固定数据!BB24&lt;&gt;"--",固定数据!BB24,0),0, 3)</f>
        <v>--</v>
      </c>
      <c r="AC27" s="4" t="str" cm="1">
        <f t="array" ref="AC27">计算得分(INDEX([1]Sheet1!$AE:$AE, MATCH(A27, [1]Sheet1!$B:$B,0)), 固定数据!BD24, 固定数据!BE24, 0.04, IF(固定数据!BD24&lt;&gt;"--",固定数据!BD24,0),0, 3)</f>
        <v>--</v>
      </c>
      <c r="AD27" s="4" t="str" cm="1">
        <f t="array" ref="AD27">计算得分(INDEX([1]Sheet1!$L:$L, MATCH(A27, [1]Sheet1!$B:$B,0)), 固定数据!BF24, 固定数据!BG24, 0.1, 12.5,0, 3)</f>
        <v>--</v>
      </c>
      <c r="AE27" s="4" t="str" cm="1">
        <f t="array" ref="AE27">计算得分(INDEX([1]Sheet1!$N:$N, MATCH(A27, [1]Sheet1!$B:$B,0)), 固定数据!BH24, 固定数据!BI24, 0.2, 7,0, 0)</f>
        <v>--</v>
      </c>
      <c r="AF27" s="4" t="str" cm="1">
        <f t="array" ref="AF27">计算得分(INDEX([1]Sheet1!$Q:$Q, MATCH(A27, [1]Sheet1!$B:$B,0)), 固定数据!BJ24, 固定数据!BK24, 0.2, 7,0, 0)</f>
        <v>--</v>
      </c>
      <c r="AG27" s="4" t="str" cm="1">
        <f t="array" ref="AG27">计算得分(INDEX([1]Sheet1!$S:$S, MATCH(A27, [1]Sheet1!$B:$B,0)), 固定数据!BL24, 固定数据!BM24, 0.2, 20,0, 0)</f>
        <v>--</v>
      </c>
      <c r="AH27" s="4" t="str" cm="1">
        <f t="array" ref="AH27">计算得分(INDEX([1]Sheet1!$AF:$AF, MATCH(A27, [1]Sheet1!$B:$B,0)), 固定数据!BN24, 固定数据!BO24, 0.1, 10,0, 3)</f>
        <v>--</v>
      </c>
      <c r="AI27" s="4" t="str" cm="1">
        <f t="array" ref="AI27">计算得分(INDEX([1]Sheet1!$M:$M, MATCH(A27, [1]Sheet1!$B:$B,0)), 固定数据!BP24, 固定数据!BQ24, 0.2, 20,0, 3)</f>
        <v>--</v>
      </c>
      <c r="AJ27" s="4" t="str" cm="1">
        <f t="array" ref="AJ27">计算得分(INDEX([1]Sheet1!$Z:$Z, MATCH(A27, [1]Sheet1!$B:$B,0)), 固定数据!BR24, 固定数据!BS24, 10, 50,0, 0)</f>
        <v>--</v>
      </c>
      <c r="AK27" s="4" t="str" cm="1">
        <f t="array" ref="AK27">计算得分(INDEX([1]Sheet1!$O:$O, MATCH(A27, [1]Sheet1!$B:$B,0)), 固定数据!BT24, 固定数据!BU24, 0.2, 15,0, 0)</f>
        <v>--</v>
      </c>
      <c r="AL27" s="4" t="str" cm="1">
        <f t="array" ref="AL27">计算得分(INDEX([1]Sheet1!$R:$R, MATCH(A27, [1]Sheet1!$B:$B,0)), 固定数据!BV24, 固定数据!BW24, 0.2, 10,0, 0)</f>
        <v>--</v>
      </c>
      <c r="AM27" s="4" t="str" cm="1">
        <f t="array" ref="AM27">计算得分(INDEX([1]Sheet1!$T:$T, MATCH(A27, [1]Sheet1!$B:$B,0)), 固定数据!BX24, 固定数据!BY24, 0.2, 20,0, 0)</f>
        <v>--</v>
      </c>
      <c r="AN27" s="4" cm="1">
        <f t="array" ref="AN27">计算得分([3]Sheet1!$F$3, 固定数据!BZ24, 固定数据!CA24, 0.5, 15,0, 0)</f>
        <v>104.4</v>
      </c>
      <c r="AO27" s="4" cm="1">
        <f t="array" ref="AO27">计算得分([3]Sheet1!$G$3, 固定数据!CB24, 固定数据!CC24, 0.01, 5,0, 1)</f>
        <v>3675</v>
      </c>
      <c r="AP27" s="4" cm="1">
        <f t="array" ref="AP27">计算得分([3]Sheet1!$H$3, 固定数据!CD24, 固定数据!CE24, 0.001, 5,0, 1)</f>
        <v>18357</v>
      </c>
      <c r="AQ27" s="4" cm="1">
        <f t="array" ref="AQ27">计算得分([3]Sheet1!$D$3,固定数据!CF24,固定数据!CG24,0.05,5,0,3)</f>
        <v>186.8</v>
      </c>
      <c r="AR27" s="4" cm="1">
        <f t="array" ref="AR27">计算得分([3]Sheet1!$E$3,固定数据!CH24,固定数据!CI24,0.1,10,0,3)</f>
        <v>7574.53</v>
      </c>
      <c r="AS27" s="8" t="s">
        <v>74</v>
      </c>
      <c r="AT27" s="4" cm="1">
        <f t="array" ref="AT27">计算得分(INDEX([3]Sheet1!$J:$J, MATCH(A27, [3]Sheet1!$B:$B,0)), 固定数据!CL24, 固定数据!CM24, 2, 0,-10, 0)</f>
        <v>100</v>
      </c>
      <c r="AU27" s="4" cm="1">
        <f t="array" ref="AU27">计算得分(INDEX([3]Sheet1!$K:$K, MATCH(A27, [3]Sheet1!$B:$B,0)), 固定数据!CN24, 固定数据!CO24, 3, 0,-10, 0)</f>
        <v>100</v>
      </c>
      <c r="AV27" s="4" cm="1">
        <f t="array" ref="AV27">计算得分(INDEX([3]Sheet1!$L:$L, MATCH(A27, [3]Sheet1!$B:$B,0)), 固定数据!CP24, 固定数据!CQ24, 3, 0,-10, 0)</f>
        <v>100</v>
      </c>
      <c r="AW27" s="4" cm="1">
        <f t="array" ref="AW27">计算得分(INDEX([3]Sheet1!$M:$M, MATCH(A27, [3]Sheet1!$B:$B,0)), 固定数据!CR24, 固定数据!CS24, 100, 0,-100, 0)</f>
        <v>100</v>
      </c>
      <c r="AX27" s="4" cm="1">
        <f t="array" ref="AX27">计算得分(INDEX([3]Sheet1!$N:$N, MATCH(A27, [3]Sheet1!$B:$B,0)), 固定数据!CT24, 固定数据!CU24, 3, 0,-10, 0)</f>
        <v>100</v>
      </c>
      <c r="AY27" s="8" t="s">
        <v>74</v>
      </c>
      <c r="AZ27" s="8" t="s">
        <v>74</v>
      </c>
      <c r="BA27" s="4">
        <f>IFERROR(VLOOKUP(A27,[4]KPI评分!B:C,2,FALSE)*60%,"--")</f>
        <v>57.24</v>
      </c>
    </row>
    <row r="28" spans="1:53" ht="24.75" customHeight="1" x14ac:dyDescent="0.25">
      <c r="A28" s="1" t="s">
        <v>96</v>
      </c>
      <c r="B28" s="2" cm="1">
        <f t="array" ref="B28">计算得分(INDEX([1]Sheet1!$W:$W, MATCH(A28, [1]Sheet1!$B:$B,0)), 固定数据!B25, 固定数据!C25, 0.5, 0,-10, 0)</f>
        <v>0</v>
      </c>
      <c r="C28" s="2" cm="1">
        <f t="array" ref="C28">计算得分(INDEX([1]Sheet1!$X:$X, MATCH(A28, [1]Sheet1!$B:$B,0)), 固定数据!D25, 固定数据!E25, 1, 0,-10, 0)</f>
        <v>0</v>
      </c>
      <c r="D28" s="2" cm="1">
        <f t="array" ref="D28">计算得分(INDEX([1]Sheet1!$Y:$Y, MATCH(A28, [1]Sheet1!$B:$B,0)), 固定数据!F25, 固定数据!G25, 2, 0,-10, 0)</f>
        <v>0</v>
      </c>
      <c r="E28" s="6" t="str" cm="1">
        <f t="array" ref="E28">计算得分(INDEX([1]Sheet1!$C:$C, MATCH(A28, [1]Sheet1!$B:$B,0)), 固定数据!H25, 固定数据!I25, 0.02, 10,0, 1)</f>
        <v>--</v>
      </c>
      <c r="F28" s="2" t="str" cm="1">
        <f t="array" ref="F28">计算得分(INDEX([1]Sheet1!$D:$D, MATCH(A28, [1]Sheet1!$B:$B,0)), 固定数据!J25, 固定数据!K25, 0, 0,0, 0)</f>
        <v>--</v>
      </c>
      <c r="G28" s="2" cm="1">
        <f t="array" ref="G28">计算得分(INDEX([1]Sheet1!$E:$E, MATCH(A28, [1]Sheet1!$B:$B,0)), 固定数据!L25, 固定数据!M25,  0.3, 3,0, 5)</f>
        <v>28437.46</v>
      </c>
      <c r="H28" s="2" cm="1">
        <f t="array" ref="H28">计算得分(INDEX([1]Sheet1!$AG:$AG, MATCH(A28, [1]Sheet1!$B:$B,0)), 固定数据!N25, 固定数据!O25, 0.03, 3,0, 3)</f>
        <v>100</v>
      </c>
      <c r="I28" s="2" cm="1">
        <f t="array" ref="I28">计算得分(INDEX([1]Sheet1!$V:$V, MATCH(A28, [1]Sheet1!$B:$B,0)), 固定数据!P25, 固定数据!Q25, 1, 0,-100, 0)</f>
        <v>0</v>
      </c>
      <c r="J28" s="2" t="str" cm="1">
        <f t="array" ref="J28">计算得分(INDEX([1]Sheet1!$AI:$AI, MATCH(A28, [1]Sheet1!$B:$B,0)), 固定数据!R25, 固定数据!S25, 0.04, 12,0, 3)</f>
        <v>--</v>
      </c>
      <c r="K28" s="2" cm="1">
        <f t="array" ref="K28">计算得分(INDEX([1]Sheet1!$F:$F, MATCH(A28, [1]Sheet1!$B:$B,0)), 固定数据!T25, 固定数据!U25, 0.02, 3,0, 1)</f>
        <v>40</v>
      </c>
      <c r="L28" s="2" t="str" cm="1">
        <f t="array" ref="L28">计算得分(INDEX([1]Sheet1!$U:$U, MATCH(A28, [1]Sheet1!$B:$B,0)), 固定数据!V25, 固定数据!W25, 0.2, 20,0, 0)</f>
        <v>--</v>
      </c>
      <c r="M28" s="2" t="str" cm="1">
        <f t="array" ref="M28">计算得分(100, 固定数据!X25, 固定数据!Y25, 0, 5,0, 0)</f>
        <v>--</v>
      </c>
      <c r="N28" s="2" t="str" cm="1">
        <f t="array" ref="N28">计算得分(100, 固定数据!Z25, 固定数据!AA25, 0, 5,0, 0)</f>
        <v>--</v>
      </c>
      <c r="O28" s="2" t="str" cm="1">
        <f t="array" ref="O28">计算得分(100, 固定数据!AB25, 固定数据!AC25, 0, 7,0, 0)</f>
        <v>--</v>
      </c>
      <c r="P28" s="2" t="str" cm="1">
        <f t="array" ref="P28">计算得分(INDEX([1]Sheet1!$P:$P, MATCH(A28, [1]Sheet1!$B:$B,0)), 固定数据!AD25, 固定数据!AE25, 0.2, 7,0, 0)</f>
        <v>--</v>
      </c>
      <c r="Q28" s="2" cm="1">
        <f t="array" ref="Q28">计算得分(INDEX([1]Sheet1!$I:$I, MATCH(A28, [1]Sheet1!$B:$B,0)), 固定数据!AF25, 固定数据!AG25,0.2, IF(固定数据!AF25&lt;&gt;"--",固定数据!AF25,0),2, 5)</f>
        <v>540.57000000000005</v>
      </c>
      <c r="R28" s="2" cm="1">
        <f t="array" ref="R28">计算得分(INDEX([2]Sheet1!$AL:$AL, MATCH(A28, [2]Sheet1!$A:$A,0)), 固定数据!AH25, 固定数据!AI25, 0.02, 6,6, 1)</f>
        <v>140</v>
      </c>
      <c r="S28" s="2" cm="1">
        <f t="array" ref="S28">计算得分(INDEX([2]Sheet1!$I:$I, MATCH(A28, [2]Sheet1!$A:$A,0)), 固定数据!AJ25, 固定数据!AK25, 0.005, 6,0, 1)</f>
        <v>556</v>
      </c>
      <c r="T28" s="2" cm="1">
        <f t="array" ref="T28">计算得分(98, 固定数据!AL25, 固定数据!AM25, 0.03, IF(固定数据!AL25&lt;&gt;"--",固定数据!AL25,0),0, 3)</f>
        <v>98</v>
      </c>
      <c r="U28" s="2" cm="1">
        <f t="array" ref="U28">计算得分(INDEX([1]Sheet1!$G:$G, MATCH(A28, [1]Sheet1!$B:$B,0)), 固定数据!AN25, 固定数据!AO25, 0.5, 3,0, 0)</f>
        <v>6.29</v>
      </c>
      <c r="V28" s="2" cm="1">
        <f t="array" ref="V28">计算得分(INDEX([1]Sheet1!$H:$H, MATCH(A28, [1]Sheet1!$B:$B,0)), 固定数据!AP25, 固定数据!AQ25, 0.4, 5,0, 1)</f>
        <v>2.46</v>
      </c>
      <c r="W28" s="2" cm="1">
        <f t="array" ref="W28">计算得分(INDEX([1]Sheet1!$J:$J, MATCH(A28, [1]Sheet1!$B:$B,0)), 固定数据!AR25, 固定数据!AS25, 0.2, 2,2, 4)</f>
        <v>540.57000000000005</v>
      </c>
      <c r="X28" s="2" cm="1">
        <f t="array" ref="X28">计算得分(INDEX([1]Sheet1!$K:$K, MATCH(A28, [1]Sheet1!$B:$B,0)), 固定数据!AT25, 固定数据!AU25, 0.2, 1.5,1.5, 4)</f>
        <v>11142.72</v>
      </c>
      <c r="Y28" s="2" cm="1">
        <f t="array" ref="Y28">计算得分(INDEX([1]Sheet1!$AA:$AA, MATCH(A28, [1]Sheet1!$B:$B,0)), 固定数据!AV25, 固定数据!AW25, 0.05, IF(固定数据!AV25&lt;&gt;"--",固定数据!AV25,0),0, 3)</f>
        <v>100</v>
      </c>
      <c r="Z28" s="2" cm="1">
        <f t="array" ref="Z28">计算得分(INDEX([1]Sheet1!$AB:$AB, MATCH(A28, [1]Sheet1!$B:$B,0)), 固定数据!AX25, 固定数据!AY25, 0.05, IF(固定数据!AX25&lt;&gt;"--",固定数据!AX25,0),0, 3)</f>
        <v>95.8</v>
      </c>
      <c r="AA28" s="2" cm="1">
        <f t="array" ref="AA28">计算得分(INDEX([1]Sheet1!$AC:$AC, MATCH(A28, [1]Sheet1!$B:$B,0)), 固定数据!AZ25, 固定数据!BA25, 0.04, IF(固定数据!AZ25&lt;&gt;"--",固定数据!AZ25,0),0, 3)</f>
        <v>96</v>
      </c>
      <c r="AB28" s="2" cm="1">
        <f t="array" ref="AB28">计算得分(INDEX([1]Sheet1!$AD:$AD, MATCH(A28, [1]Sheet1!$B:$B,0)), 固定数据!BB25, 固定数据!BC25, 0.03, IF(固定数据!BB25&lt;&gt;"--",固定数据!BB25,0),0, 3)</f>
        <v>93</v>
      </c>
      <c r="AC28" s="2" cm="1">
        <f t="array" ref="AC28">计算得分(INDEX([1]Sheet1!$AE:$AE, MATCH(A28, [1]Sheet1!$B:$B,0)), 固定数据!BD25, 固定数据!BE25, 0.04, IF(固定数据!BD25&lt;&gt;"--",固定数据!BD25,0),0, 3)</f>
        <v>97.56</v>
      </c>
      <c r="AD28" s="2" cm="1">
        <f t="array" ref="AD28">计算得分(INDEX([1]Sheet1!$L:$L, MATCH(A28, [1]Sheet1!$B:$B,0)), 固定数据!BF25, 固定数据!BG25, 0.1, 12.5,0, 3)</f>
        <v>7192.45</v>
      </c>
      <c r="AE28" s="2" cm="1">
        <f t="array" ref="AE28">计算得分(INDEX([1]Sheet1!$N:$N, MATCH(A28, [1]Sheet1!$B:$B,0)), 固定数据!BH25, 固定数据!BI25, 0.2, 7,0, 0)</f>
        <v>11.24</v>
      </c>
      <c r="AF28" s="2" cm="1">
        <f t="array" ref="AF28">计算得分(INDEX([1]Sheet1!$Q:$Q, MATCH(A28, [1]Sheet1!$B:$B,0)), 固定数据!BJ25, 固定数据!BK25, 0.2, 7,0, 0)</f>
        <v>24.09</v>
      </c>
      <c r="AG28" s="2" cm="1">
        <f t="array" ref="AG28">计算得分(INDEX([1]Sheet1!$S:$S, MATCH(A28, [1]Sheet1!$B:$B,0)), 固定数据!BL25, 固定数据!BM25, 0.2, 20,0, 0)</f>
        <v>56.62</v>
      </c>
      <c r="AH28" s="6" t="str" cm="1">
        <f t="array" ref="AH28">计算得分(INDEX([1]Sheet1!$AF:$AF, MATCH(A28, [1]Sheet1!$B:$B,0)), 固定数据!BN25, 固定数据!BO25, 0.1, 10,0, 3)</f>
        <v>--</v>
      </c>
      <c r="AI28" s="2" t="str" cm="1">
        <f t="array" ref="AI28">计算得分(INDEX([1]Sheet1!$M:$M, MATCH(A28, [1]Sheet1!$B:$B,0)), 固定数据!BP25, 固定数据!BQ25, 0.2, 20,0, 3)</f>
        <v>--</v>
      </c>
      <c r="AJ28" s="2" cm="1">
        <f t="array" ref="AJ28">计算得分(INDEX([1]Sheet1!$Z:$Z, MATCH(A28, [1]Sheet1!$B:$B,0)), 固定数据!BR25, 固定数据!BS25, 10, 50,0, 0)</f>
        <v>0</v>
      </c>
      <c r="AK28" s="2" t="str" cm="1">
        <f t="array" ref="AK28">计算得分(INDEX([1]Sheet1!$O:$O, MATCH(A28, [1]Sheet1!$B:$B,0)), 固定数据!BT25, 固定数据!BU25, 0.2, 15,0, 0)</f>
        <v>--</v>
      </c>
      <c r="AL28" s="2" t="str" cm="1">
        <f t="array" ref="AL28">计算得分(INDEX([1]Sheet1!$R:$R, MATCH(A28, [1]Sheet1!$B:$B,0)), 固定数据!BV25, 固定数据!BW25, 0.2, 10,0, 0)</f>
        <v>--</v>
      </c>
      <c r="AM28" s="2" t="str" cm="1">
        <f t="array" ref="AM28">计算得分(INDEX([1]Sheet1!$T:$T, MATCH(A28, [1]Sheet1!$B:$B,0)), 固定数据!BX25, 固定数据!BY25, 0.2, 20,0, 0)</f>
        <v>--</v>
      </c>
      <c r="AN28" s="2" t="str" cm="1">
        <f t="array" ref="AN28">计算得分([3]Sheet1!$F$3, 固定数据!BZ25, 固定数据!CA25, 0.5, 15,0, 0)</f>
        <v>--</v>
      </c>
      <c r="AO28" s="6" t="str" cm="1">
        <f t="array" ref="AO28">计算得分([3]Sheet1!$G$3, 固定数据!CB25, 固定数据!CC25, 0.01, 5,0, 1)</f>
        <v>--</v>
      </c>
      <c r="AP28" s="6" t="str" cm="1">
        <f t="array" ref="AP28">计算得分([3]Sheet1!$H$3, 固定数据!CD25, 固定数据!CE25, 0.001, 5,0, 1)</f>
        <v>--</v>
      </c>
      <c r="AQ28" s="6" t="str" cm="1">
        <f t="array" ref="AQ28">计算得分([3]Sheet1!$D$3,固定数据!CF25,固定数据!CG25,0.05,5,0,3)</f>
        <v>--</v>
      </c>
      <c r="AR28" s="6" t="str" cm="1">
        <f t="array" ref="AR28">计算得分([3]Sheet1!$E$3,固定数据!CH25,固定数据!CI25,0.1,10,0,3)</f>
        <v>--</v>
      </c>
      <c r="AS28" s="7" t="s">
        <v>74</v>
      </c>
      <c r="AT28" s="6" t="str" cm="1">
        <f t="array" ref="AT28">计算得分(INDEX([3]Sheet1!$J:$J, MATCH(A28, [3]Sheet1!$B:$B,0)), 固定数据!CL25, 固定数据!CM25, 2, 0,-10, 0)</f>
        <v>--</v>
      </c>
      <c r="AU28" s="2" t="str" cm="1">
        <f t="array" ref="AU28">计算得分(INDEX([3]Sheet1!$K:$K, MATCH(A28, [3]Sheet1!$B:$B,0)), 固定数据!CN25, 固定数据!CO25, 3, 0,-10, 0)</f>
        <v>--</v>
      </c>
      <c r="AV28" s="2" t="str" cm="1">
        <f t="array" ref="AV28">计算得分(INDEX([3]Sheet1!$L:$L, MATCH(A28, [3]Sheet1!$B:$B,0)), 固定数据!CP25, 固定数据!CQ25, 3, 0,-10, 0)</f>
        <v>--</v>
      </c>
      <c r="AW28" s="2" t="str" cm="1">
        <f t="array" ref="AW28">计算得分(INDEX([3]Sheet1!$M:$M, MATCH(A28, [3]Sheet1!$B:$B,0)), 固定数据!CR25, 固定数据!CS25, 100, 0,-100, 0)</f>
        <v>--</v>
      </c>
      <c r="AX28" s="2" t="str" cm="1">
        <f t="array" ref="AX28">计算得分(INDEX([3]Sheet1!$N:$N, MATCH(A28, [3]Sheet1!$B:$B,0)), 固定数据!CT25, 固定数据!CU25, 3, 0,-10, 0)</f>
        <v>--</v>
      </c>
      <c r="AY28" s="7" t="s">
        <v>74</v>
      </c>
      <c r="AZ28" s="7" t="s">
        <v>74</v>
      </c>
      <c r="BA28" s="2" t="str">
        <f>IFERROR(VLOOKUP(A28,[4]KPI评分!B:C,2,FALSE)*60%,"--")</f>
        <v>--</v>
      </c>
    </row>
    <row r="29" spans="1:53" ht="25.2" customHeight="1" x14ac:dyDescent="0.25">
      <c r="A29" s="3" t="s">
        <v>97</v>
      </c>
      <c r="B29" s="4" cm="1">
        <f t="array" ref="B29">计算得分(INDEX([1]Sheet1!$W:$W, MATCH(A29, [1]Sheet1!$B:$B,0)), 固定数据!B26, 固定数据!C26, 0.5, 0,-10, 0)</f>
        <v>0</v>
      </c>
      <c r="C29" s="4" cm="1">
        <f t="array" ref="C29">计算得分(INDEX([1]Sheet1!$X:$X, MATCH(A29, [1]Sheet1!$B:$B,0)), 固定数据!D26, 固定数据!E26, 1, 0,-10, 0)</f>
        <v>0</v>
      </c>
      <c r="D29" s="4" cm="1">
        <f t="array" ref="D29">计算得分(INDEX([1]Sheet1!$Y:$Y, MATCH(A29, [1]Sheet1!$B:$B,0)), 固定数据!F26, 固定数据!G26, 2, 0,-10, 0)</f>
        <v>0</v>
      </c>
      <c r="E29" s="4" t="str" cm="1">
        <f t="array" ref="E29">计算得分(INDEX([1]Sheet1!$C:$C, MATCH(A29, [1]Sheet1!$B:$B,0)), 固定数据!H26, 固定数据!I26, 0.02, 10,0, 1)</f>
        <v>--</v>
      </c>
      <c r="F29" s="4" t="str" cm="1">
        <f t="array" ref="F29">计算得分(INDEX([1]Sheet1!$D:$D, MATCH(A29, [1]Sheet1!$B:$B,0)), 固定数据!J26, 固定数据!K26, 0, 0,0, 0)</f>
        <v>--</v>
      </c>
      <c r="G29" s="4" t="str" cm="1">
        <f t="array" ref="G29">计算得分(INDEX([1]Sheet1!$E:$E, MATCH(A29, [1]Sheet1!$B:$B,0)), 固定数据!L26, 固定数据!M26, 0.3, 3,0, 5)</f>
        <v>--</v>
      </c>
      <c r="H29" s="4" cm="1">
        <f t="array" ref="H29">计算得分(INDEX([1]Sheet1!$AG:$AG, MATCH(A29, [1]Sheet1!$B:$B,0)), 固定数据!N26, 固定数据!O26, 0.03, 3,0, 3)</f>
        <v>100</v>
      </c>
      <c r="I29" s="4" cm="1">
        <f t="array" ref="I29">计算得分(INDEX([1]Sheet1!$V:$V, MATCH(A29, [1]Sheet1!$B:$B,0)), 固定数据!P26, 固定数据!Q26, 1, 0,-100, 0)</f>
        <v>0</v>
      </c>
      <c r="J29" s="4" t="str" cm="1">
        <f t="array" ref="J29">计算得分(INDEX([1]Sheet1!$AI:$AI, MATCH(A29, [1]Sheet1!$B:$B,0)), 固定数据!R26, 固定数据!S26, 0.04, 12,0, 3)</f>
        <v>--</v>
      </c>
      <c r="K29" s="4" t="str" cm="1">
        <f t="array" ref="K29">计算得分(INDEX([1]Sheet1!$F:$F, MATCH(A29, [1]Sheet1!$B:$B,0)), 固定数据!T26, 固定数据!U26, 0.02, 3,0, 1)</f>
        <v>--</v>
      </c>
      <c r="L29" s="4" t="str" cm="1">
        <f t="array" ref="L29">计算得分(INDEX([1]Sheet1!$U:$U, MATCH(A29, [1]Sheet1!$B:$B,0)), 固定数据!V26, 固定数据!W26, 0.2, 20,0, 0)</f>
        <v>--</v>
      </c>
      <c r="M29" s="4" t="str" cm="1">
        <f t="array" ref="M29">计算得分(100, 固定数据!X26, 固定数据!Y26, 0, 5,0, 0)</f>
        <v>--</v>
      </c>
      <c r="N29" s="4" t="str" cm="1">
        <f t="array" ref="N29">计算得分(100, 固定数据!Z26, 固定数据!AA26, 0, 5,0, 0)</f>
        <v>--</v>
      </c>
      <c r="O29" s="4" t="str" cm="1">
        <f t="array" ref="O29">计算得分(100, 固定数据!AB26, 固定数据!AC26, 0, 7,0, 0)</f>
        <v>--</v>
      </c>
      <c r="P29" s="4" t="str" cm="1">
        <f t="array" ref="P29">计算得分(INDEX([1]Sheet1!$P:$P, MATCH(A29, [1]Sheet1!$B:$B,0)), 固定数据!AD26, 固定数据!AE26, 0.2, 7,0, 0)</f>
        <v>--</v>
      </c>
      <c r="Q29" s="4" cm="1">
        <f t="array" ref="Q29">计算得分(INDEX([1]Sheet1!$I:$I, MATCH(A29, [1]Sheet1!$B:$B,0)), 固定数据!AF26, 固定数据!AG26,0.2, 0,0, 5)</f>
        <v>272.92</v>
      </c>
      <c r="R29" s="4" t="str" cm="1">
        <f t="array" ref="R29">计算得分(INDEX([2]Sheet1!$AL:$AL, MATCH(A29, [2]Sheet1!$A:$A,0)), 固定数据!AH26, 固定数据!AI26, 0.02, 6,6, 1)</f>
        <v>--</v>
      </c>
      <c r="S29" s="4" cm="1">
        <f t="array" ref="S29">计算得分(INDEX([2]Sheet1!$I:$I, MATCH(A29, [2]Sheet1!$A:$A,0)), 固定数据!AJ26, 固定数据!AK26, 0.005, 10,0, 1)</f>
        <v>1665</v>
      </c>
      <c r="T29" s="4" cm="1">
        <f t="array" ref="T29">计算得分(98, 固定数据!AL26, 固定数据!AM26, 0.03, IF(固定数据!AL26&lt;&gt;"--",固定数据!AL26,0),0, 3)</f>
        <v>98</v>
      </c>
      <c r="U29" s="4" t="str" cm="1">
        <f t="array" ref="U29">计算得分(INDEX([1]Sheet1!$G:$G, MATCH(A29, [1]Sheet1!$B:$B,0)), 固定数据!AN26, 固定数据!AO26, 0.5, 3,0, 0)</f>
        <v>--</v>
      </c>
      <c r="V29" s="4" t="str" cm="1">
        <f t="array" ref="V29">计算得分(INDEX([1]Sheet1!$H:$H, MATCH(A29, [1]Sheet1!$B:$B,0)), 固定数据!AP26, 固定数据!AQ26, 0.4, 5,0, 1)</f>
        <v>--</v>
      </c>
      <c r="W29" s="4" cm="1">
        <f t="array" ref="W29">计算得分(INDEX([1]Sheet1!$J:$J, MATCH(A29, [1]Sheet1!$B:$B,0)), 固定数据!AR26, 固定数据!AS26, 0.2, 0,0, 4)</f>
        <v>272.92</v>
      </c>
      <c r="X29" s="4" t="str" cm="1">
        <f t="array" ref="X29">计算得分(INDEX([1]Sheet1!$K:$K, MATCH(A29, [1]Sheet1!$B:$B,0)), 固定数据!AT26, 固定数据!AU26, 0.2, 1.5,1.5, 4)</f>
        <v>--</v>
      </c>
      <c r="Y29" s="4" cm="1">
        <f t="array" ref="Y29">计算得分(INDEX([1]Sheet1!$AA:$AA, MATCH(A29, [1]Sheet1!$B:$B,0)), 固定数据!AV26, 固定数据!AW26, 0.05, IF(固定数据!AV26&lt;&gt;"--",固定数据!AV26,0),0, 3)</f>
        <v>100</v>
      </c>
      <c r="Z29" s="4" t="str" cm="1">
        <f t="array" ref="Z29">计算得分(INDEX([1]Sheet1!$AB:$AB, MATCH(A29, [1]Sheet1!$B:$B,0)), 固定数据!AX26, 固定数据!AY26, 0.05, IF(固定数据!AX26&lt;&gt;"--",固定数据!AX26,0),0, 3)</f>
        <v>--</v>
      </c>
      <c r="AA29" s="4" cm="1">
        <f t="array" ref="AA29">计算得分(INDEX([1]Sheet1!$AC:$AC, MATCH(A29, [1]Sheet1!$B:$B,0)), 固定数据!AZ26, 固定数据!BA26, 0.04, IF(固定数据!AZ26&lt;&gt;"--",固定数据!AZ26,0),0, 3)</f>
        <v>98</v>
      </c>
      <c r="AB29" s="4" cm="1">
        <f t="array" ref="AB29">计算得分(INDEX([1]Sheet1!$AD:$AD, MATCH(A29, [1]Sheet1!$B:$B,0)), 固定数据!BB26, 固定数据!BC26, 0.03, IF(固定数据!BB26&lt;&gt;"--",固定数据!BB26,0),0, 3)</f>
        <v>100</v>
      </c>
      <c r="AC29" s="4" cm="1">
        <f t="array" ref="AC29">计算得分(INDEX([1]Sheet1!$AE:$AE, MATCH(A29, [1]Sheet1!$B:$B,0)), 固定数据!BD26, 固定数据!BE26, 0.04, IF(固定数据!BD26&lt;&gt;"--",固定数据!BD26,0),0, 3)</f>
        <v>100</v>
      </c>
      <c r="AD29" s="4" t="str" cm="1">
        <f t="array" ref="AD29">计算得分(INDEX([1]Sheet1!$L:$L, MATCH(A29, [1]Sheet1!$B:$B,0)), 固定数据!BF26, 固定数据!BG26, 0.1, 12.5,0, 3)</f>
        <v>--</v>
      </c>
      <c r="AE29" s="4" t="str" cm="1">
        <f t="array" ref="AE29">计算得分(INDEX([1]Sheet1!$N:$N, MATCH(A29, [1]Sheet1!$B:$B,0)), 固定数据!BH26, 固定数据!BI26, 0.2, 7,0, 0)</f>
        <v>--</v>
      </c>
      <c r="AF29" s="4" t="str" cm="1">
        <f t="array" ref="AF29">计算得分(INDEX([1]Sheet1!$Q:$Q, MATCH(A29, [1]Sheet1!$B:$B,0)), 固定数据!BJ26, 固定数据!BK26, 0.2, 7,0, 0)</f>
        <v>--</v>
      </c>
      <c r="AG29" s="4" t="str" cm="1">
        <f t="array" ref="AG29">计算得分(INDEX([1]Sheet1!$S:$S, MATCH(A29, [1]Sheet1!$B:$B,0)), 固定数据!BL26, 固定数据!BM26, 0.2, 20,0, 0)</f>
        <v>--</v>
      </c>
      <c r="AH29" s="4" t="str" cm="1">
        <f t="array" ref="AH29">计算得分(INDEX([1]Sheet1!$AF:$AF, MATCH(A29, [1]Sheet1!$B:$B,0)), 固定数据!BN26, 固定数据!BO26, 0.1, 10,0, 3)</f>
        <v>--</v>
      </c>
      <c r="AI29" s="4" cm="1">
        <f t="array" ref="AI29">计算得分(INDEX([1]Sheet1!$M:$M, MATCH(A29, [1]Sheet1!$B:$B,0)), 固定数据!BP26, 固定数据!BQ26, 0.2, 20,0, 3)</f>
        <v>46.4</v>
      </c>
      <c r="AJ29" s="4" cm="1">
        <f t="array" ref="AJ29">计算得分(INDEX([1]Sheet1!$Z:$Z, MATCH(A29, [1]Sheet1!$B:$B,0)), 固定数据!BR26, 固定数据!BS26, 10, 50,0, 0)</f>
        <v>0</v>
      </c>
      <c r="AK29" s="4" cm="1">
        <f t="array" ref="AK29">计算得分(INDEX([1]Sheet1!$O:$O, MATCH(A29, [1]Sheet1!$B:$B,0)), 固定数据!BT26, 固定数据!BU26, 0.2, 15,0, 0)</f>
        <v>0.75</v>
      </c>
      <c r="AL29" s="4" t="str" cm="1">
        <f t="array" ref="AL29">计算得分(INDEX([1]Sheet1!$R:$R, MATCH(A29, [1]Sheet1!$B:$B,0)), 固定数据!BV26, 固定数据!BW26, 0.2, 10,0, 0)</f>
        <v>--</v>
      </c>
      <c r="AM29" s="4" cm="1">
        <f t="array" ref="AM29">计算得分(INDEX([1]Sheet1!$T:$T, MATCH(A29, [1]Sheet1!$B:$B,0)), 固定数据!BX26, 固定数据!BY26, 0.2, 40,0, 0)</f>
        <v>71.45</v>
      </c>
      <c r="AN29" s="4" t="str" cm="1">
        <f t="array" ref="AN29">计算得分([3]Sheet1!$F$3, 固定数据!BZ26, 固定数据!CA26, 0.5, 15,0, 0)</f>
        <v>--</v>
      </c>
      <c r="AO29" s="4" t="str" cm="1">
        <f t="array" ref="AO29">计算得分([3]Sheet1!$G$3, 固定数据!CB26, 固定数据!CC26, 0.01, 5,0, 1)</f>
        <v>--</v>
      </c>
      <c r="AP29" s="4" t="str" cm="1">
        <f t="array" ref="AP29">计算得分([3]Sheet1!$H$3, 固定数据!CD26, 固定数据!CE26, 0.001, 5,0, 1)</f>
        <v>--</v>
      </c>
      <c r="AQ29" s="4" t="str" cm="1">
        <f t="array" ref="AQ29">计算得分([3]Sheet1!$D$3,固定数据!CF26,固定数据!CG26,0.05,5,0,3)</f>
        <v>--</v>
      </c>
      <c r="AR29" s="4" t="str" cm="1">
        <f t="array" ref="AR29">计算得分([3]Sheet1!$E$3,固定数据!CH26,固定数据!CI26,0.1,10,0,3)</f>
        <v>--</v>
      </c>
      <c r="AS29" s="8" t="s">
        <v>74</v>
      </c>
      <c r="AT29" s="4" t="str" cm="1">
        <f t="array" ref="AT29">计算得分(INDEX([3]Sheet1!$J:$J, MATCH(A29, [3]Sheet1!$B:$B,0)), 固定数据!CL26, 固定数据!CM26, 2, 0,-10, 0)</f>
        <v>--</v>
      </c>
      <c r="AU29" s="4" t="str" cm="1">
        <f t="array" ref="AU29">计算得分(INDEX([3]Sheet1!$K:$K, MATCH(A29, [3]Sheet1!$B:$B,0)), 固定数据!CN26, 固定数据!CO26, 3, 0,-10, 0)</f>
        <v>--</v>
      </c>
      <c r="AV29" s="4" t="str" cm="1">
        <f t="array" ref="AV29">计算得分(INDEX([3]Sheet1!$L:$L, MATCH(A29, [3]Sheet1!$B:$B,0)), 固定数据!CP26, 固定数据!CQ26, 3, 0,-10, 0)</f>
        <v>--</v>
      </c>
      <c r="AW29" s="4" t="str" cm="1">
        <f t="array" ref="AW29">计算得分(INDEX([3]Sheet1!$M:$M, MATCH(A29, [3]Sheet1!$B:$B,0)), 固定数据!CR26, 固定数据!CS26, 100, 0,-100, 0)</f>
        <v>--</v>
      </c>
      <c r="AX29" s="4" t="str" cm="1">
        <f t="array" ref="AX29">计算得分(INDEX([3]Sheet1!$N:$N, MATCH(A29, [3]Sheet1!$B:$B,0)), 固定数据!CT26, 固定数据!CU26, 3, 0,-10, 0)</f>
        <v>--</v>
      </c>
      <c r="AY29" s="8" t="s">
        <v>74</v>
      </c>
      <c r="AZ29" s="8" t="s">
        <v>74</v>
      </c>
      <c r="BA29" s="4" t="str">
        <f>IFERROR(VLOOKUP(A29,[4]KPI评分!B:C,2,FALSE)*60%,"--")</f>
        <v>--</v>
      </c>
    </row>
    <row r="30" spans="1:53" ht="24.75" customHeight="1" x14ac:dyDescent="0.25">
      <c r="A30" s="1" t="s">
        <v>98</v>
      </c>
      <c r="B30" s="2" t="str" cm="1">
        <f t="array" ref="B30">计算得分(INDEX([1]Sheet1!$W:$W, MATCH(A30, [1]Sheet1!$B:$B,0)), 固定数据!B27, 固定数据!C27, 0.5, 0,-10, 0)</f>
        <v>--</v>
      </c>
      <c r="C30" s="2" t="str" cm="1">
        <f t="array" ref="C30">计算得分(INDEX([1]Sheet1!$X:$X, MATCH(A30, [1]Sheet1!$B:$B,0)), 固定数据!D27, 固定数据!E27, 1, 0,-10, 0)</f>
        <v>--</v>
      </c>
      <c r="D30" s="2" t="str" cm="1">
        <f t="array" ref="D30">计算得分(INDEX([1]Sheet1!$Y:$Y, MATCH(A30, [1]Sheet1!$B:$B,0)), 固定数据!F27, 固定数据!G27, 2, 0,-10, 0)</f>
        <v>--</v>
      </c>
      <c r="E30" s="6" t="str" cm="1">
        <f t="array" ref="E30">计算得分(INDEX([1]Sheet1!$C:$C, MATCH(A30, [1]Sheet1!$B:$B,0)), 固定数据!H27, 固定数据!I27, 0.02, 10,0, 1)</f>
        <v>--</v>
      </c>
      <c r="F30" s="2" t="str" cm="1">
        <f t="array" ref="F30">计算得分(INDEX([1]Sheet1!$D:$D, MATCH(A30, [1]Sheet1!$B:$B,0)), 固定数据!J27, 固定数据!K27, 0, 0,0, 0)</f>
        <v>--</v>
      </c>
      <c r="G30" s="2" t="str" cm="1">
        <f t="array" ref="G30">计算得分(INDEX([1]Sheet1!$E:$E, MATCH(A30, [1]Sheet1!$B:$B,0)), 固定数据!L27, 固定数据!M27,  0.3, 3,0, 5)</f>
        <v>--</v>
      </c>
      <c r="H30" s="2" t="str" cm="1">
        <f t="array" ref="H30">计算得分(INDEX([1]Sheet1!$AG:$AG, MATCH(A30, [1]Sheet1!$B:$B,0)), 固定数据!N27, 固定数据!O27, 0.03, 3,0, 3)</f>
        <v>--</v>
      </c>
      <c r="I30" s="2" t="str" cm="1">
        <f t="array" ref="I30">计算得分(INDEX([1]Sheet1!$V:$V, MATCH(A30, [1]Sheet1!$B:$B,0)), 固定数据!P27, 固定数据!Q27, 1, 0,-100, 0)</f>
        <v>--</v>
      </c>
      <c r="J30" s="2" t="str" cm="1">
        <f t="array" ref="J30">计算得分(INDEX([1]Sheet1!$AI:$AI, MATCH(A30, [1]Sheet1!$B:$B,0)), 固定数据!R27, 固定数据!S27, 0.04, 12,0, 3)</f>
        <v>--</v>
      </c>
      <c r="K30" s="2" t="str" cm="1">
        <f t="array" ref="K30">计算得分(INDEX([1]Sheet1!$F:$F, MATCH(A30, [1]Sheet1!$B:$B,0)), 固定数据!T27, 固定数据!U27, 0.02, 3,0, 1)</f>
        <v>--</v>
      </c>
      <c r="L30" s="2" t="str" cm="1">
        <f t="array" ref="L30">计算得分(INDEX([1]Sheet1!$U:$U, MATCH(A30, [1]Sheet1!$B:$B,0)), 固定数据!V27, 固定数据!W27, 0.2, 20,0, 0)</f>
        <v>--</v>
      </c>
      <c r="M30" s="2" t="str" cm="1">
        <f t="array" ref="M30">计算得分(100, 固定数据!X27, 固定数据!Y27, 0, 5,0, 0)</f>
        <v>--</v>
      </c>
      <c r="N30" s="2" t="str" cm="1">
        <f t="array" ref="N30">计算得分(100, 固定数据!Z27, 固定数据!AA27, 0, 5,0, 0)</f>
        <v>--</v>
      </c>
      <c r="O30" s="2" t="str" cm="1">
        <f t="array" ref="O30">计算得分(100, 固定数据!AB27, 固定数据!AC27, 0, 7,0, 0)</f>
        <v>--</v>
      </c>
      <c r="P30" s="2" t="str" cm="1">
        <f t="array" ref="P30">计算得分(INDEX([1]Sheet1!$P:$P, MATCH(A30, [1]Sheet1!$B:$B,0)), 固定数据!AD27, 固定数据!AE27, 0.2, 7,0, 0)</f>
        <v>--</v>
      </c>
      <c r="Q30" s="2" t="str" cm="1">
        <f t="array" ref="Q30">计算得分(INDEX([1]Sheet1!$I:$I, MATCH(A30, [1]Sheet1!$B:$B,0)), 固定数据!AF27, 固定数据!AG27,0.2, IF(固定数据!AF27&lt;&gt;"--",固定数据!AF27,0),2, 5)</f>
        <v>--</v>
      </c>
      <c r="R30" s="2" t="str" cm="1">
        <f t="array" ref="R30">计算得分(INDEX([2]Sheet1!$AL:$AL, MATCH(A30, [2]Sheet1!$A:$A,0)), 固定数据!AH27, 固定数据!AI27, 0.02, 6,6, 1)</f>
        <v>--</v>
      </c>
      <c r="S30" s="2" t="str" cm="1">
        <f t="array" ref="S30">计算得分(INDEX([2]Sheet1!$I:$I, MATCH(A30, [2]Sheet1!$A:$A,0)), 固定数据!AJ27, 固定数据!AK27, 0.005, 6,0, 1)</f>
        <v>--</v>
      </c>
      <c r="T30" s="2" t="str" cm="1">
        <f t="array" ref="T30">计算得分(98, 固定数据!AL27, 固定数据!AM27, 0.03, IF(固定数据!AL27&lt;&gt;"--",固定数据!AL27,0),0, 3)</f>
        <v>--</v>
      </c>
      <c r="U30" s="2" t="str" cm="1">
        <f t="array" ref="U30">计算得分(INDEX([1]Sheet1!$G:$G, MATCH(A30, [1]Sheet1!$B:$B,0)), 固定数据!AN27, 固定数据!AO27, 0.5, 3,0, 0)</f>
        <v>--</v>
      </c>
      <c r="V30" s="2" t="str" cm="1">
        <f t="array" ref="V30">计算得分(INDEX([1]Sheet1!$H:$H, MATCH(A30, [1]Sheet1!$B:$B,0)), 固定数据!AP27, 固定数据!AQ27, 0.4, 5,0, 1)</f>
        <v>--</v>
      </c>
      <c r="W30" s="2" t="str" cm="1">
        <f t="array" ref="W30">计算得分(INDEX([1]Sheet1!$J:$J, MATCH(A30, [1]Sheet1!$B:$B,0)), 固定数据!AR27, 固定数据!AS27, 0.2, 2,2, 4)</f>
        <v>--</v>
      </c>
      <c r="X30" s="2" t="str" cm="1">
        <f t="array" ref="X30">计算得分(INDEX([1]Sheet1!$K:$K, MATCH(A30, [1]Sheet1!$B:$B,0)), 固定数据!AT27, 固定数据!AU27, 0.2, 1.5,1.5, 4)</f>
        <v>--</v>
      </c>
      <c r="Y30" s="2" t="str" cm="1">
        <f t="array" ref="Y30">计算得分(INDEX([1]Sheet1!$AA:$AA, MATCH(A30, [1]Sheet1!$B:$B,0)), 固定数据!AV27, 固定数据!AW27, 0.05, IF(固定数据!AV27&lt;&gt;"--",固定数据!AV27,0),0, 3)</f>
        <v>--</v>
      </c>
      <c r="Z30" s="2" t="str" cm="1">
        <f t="array" ref="Z30">计算得分(INDEX([1]Sheet1!$AB:$AB, MATCH(A30, [1]Sheet1!$B:$B,0)), 固定数据!AX27, 固定数据!AY27, 0.05, IF(固定数据!AX27&lt;&gt;"--",固定数据!AX27,0),0, 3)</f>
        <v>--</v>
      </c>
      <c r="AA30" s="2" t="str" cm="1">
        <f t="array" ref="AA30">计算得分(INDEX([1]Sheet1!$AC:$AC, MATCH(A30, [1]Sheet1!$B:$B,0)), 固定数据!AZ27, 固定数据!BA27, 0.04, IF(固定数据!AZ27&lt;&gt;"--",固定数据!AZ27,0),0, 3)</f>
        <v>--</v>
      </c>
      <c r="AB30" s="2" t="str" cm="1">
        <f t="array" ref="AB30">计算得分(INDEX([1]Sheet1!$AD:$AD, MATCH(A30, [1]Sheet1!$B:$B,0)), 固定数据!BB27, 固定数据!BC27, 0.03, IF(固定数据!BB27&lt;&gt;"--",固定数据!BB27,0),0, 3)</f>
        <v>--</v>
      </c>
      <c r="AC30" s="2" t="str" cm="1">
        <f t="array" ref="AC30">计算得分(INDEX([1]Sheet1!$AE:$AE, MATCH(A30, [1]Sheet1!$B:$B,0)), 固定数据!BD27, 固定数据!BE27, 0.04, IF(固定数据!BD27&lt;&gt;"--",固定数据!BD27,0),0, 3)</f>
        <v>--</v>
      </c>
      <c r="AD30" s="2" t="str" cm="1">
        <f t="array" ref="AD30">计算得分(INDEX([1]Sheet1!$L:$L, MATCH(A30, [1]Sheet1!$B:$B,0)), 固定数据!BF27, 固定数据!BG27, 0.1, 12.5,0, 3)</f>
        <v>--</v>
      </c>
      <c r="AE30" s="2" t="str" cm="1">
        <f t="array" ref="AE30">计算得分(INDEX([1]Sheet1!$N:$N, MATCH(A30, [1]Sheet1!$B:$B,0)), 固定数据!BH27, 固定数据!BI27, 0.2, 7,0, 0)</f>
        <v>--</v>
      </c>
      <c r="AF30" s="2" t="str" cm="1">
        <f t="array" ref="AF30">计算得分(INDEX([1]Sheet1!$Q:$Q, MATCH(A30, [1]Sheet1!$B:$B,0)), 固定数据!BJ27, 固定数据!BK27, 0.2, 7,0, 0)</f>
        <v>--</v>
      </c>
      <c r="AG30" s="2" t="str" cm="1">
        <f t="array" ref="AG30">计算得分(INDEX([1]Sheet1!$S:$S, MATCH(A30, [1]Sheet1!$B:$B,0)), 固定数据!BL27, 固定数据!BM27, 0.2, 20,0, 0)</f>
        <v>--</v>
      </c>
      <c r="AH30" s="6" t="str" cm="1">
        <f t="array" ref="AH30">计算得分(INDEX([1]Sheet1!$AF:$AF, MATCH(A30, [1]Sheet1!$B:$B,0)), 固定数据!BN27, 固定数据!BO27, 0.1, 10,0, 3)</f>
        <v>--</v>
      </c>
      <c r="AI30" s="2" t="str" cm="1">
        <f t="array" ref="AI30">计算得分(INDEX([1]Sheet1!$M:$M, MATCH(A30, [1]Sheet1!$B:$B,0)), 固定数据!BP27, 固定数据!BQ27, 0.2, 20,0, 3)</f>
        <v>--</v>
      </c>
      <c r="AJ30" s="2" t="str" cm="1">
        <f t="array" ref="AJ30">计算得分(INDEX([1]Sheet1!$Z:$Z, MATCH(A30, [1]Sheet1!$B:$B,0)), 固定数据!BR27, 固定数据!BS27, 10, 50,0, 0)</f>
        <v>--</v>
      </c>
      <c r="AK30" s="2" t="str" cm="1">
        <f t="array" ref="AK30">计算得分(INDEX([1]Sheet1!$O:$O, MATCH(A30, [1]Sheet1!$B:$B,0)), 固定数据!BT27, 固定数据!BU27, 0.2, 15,0, 0)</f>
        <v>--</v>
      </c>
      <c r="AL30" s="2" t="str" cm="1">
        <f t="array" ref="AL30">计算得分(INDEX([1]Sheet1!$R:$R, MATCH(A30, [1]Sheet1!$B:$B,0)), 固定数据!BV27, 固定数据!BW27, 0.2, 10,0, 0)</f>
        <v>--</v>
      </c>
      <c r="AM30" s="2" t="str" cm="1">
        <f t="array" ref="AM30">计算得分(INDEX([1]Sheet1!$T:$T, MATCH(A30, [1]Sheet1!$B:$B,0)), 固定数据!BX27, 固定数据!BY27, 0.2, 20,0, 0)</f>
        <v>--</v>
      </c>
      <c r="AN30" s="2" t="str" cm="1">
        <f t="array" ref="AN30">计算得分([3]Sheet1!$F$3, 固定数据!BZ27, 固定数据!CA27, 0.5, 15,0, 0)</f>
        <v>--</v>
      </c>
      <c r="AO30" s="6" t="str" cm="1">
        <f t="array" ref="AO30">计算得分([3]Sheet1!$G$3, 固定数据!CB27, 固定数据!CC27, 0.01, 5,0, 1)</f>
        <v>--</v>
      </c>
      <c r="AP30" s="6" t="str" cm="1">
        <f t="array" ref="AP30">计算得分([3]Sheet1!$H$3, 固定数据!CD27, 固定数据!CE27, 0.001, 5,0, 1)</f>
        <v>--</v>
      </c>
      <c r="AQ30" s="6" t="str" cm="1">
        <f t="array" ref="AQ30">计算得分([3]Sheet1!$D$3,固定数据!CF27,固定数据!CG27,0.05,5,0,3)</f>
        <v>--</v>
      </c>
      <c r="AR30" s="6" t="str" cm="1">
        <f t="array" ref="AR30">计算得分([3]Sheet1!$E$3,固定数据!CH27,固定数据!CI27,0.1,10,0,3)</f>
        <v>--</v>
      </c>
      <c r="AS30" s="7" t="s">
        <v>74</v>
      </c>
      <c r="AT30" s="6" t="str" cm="1">
        <f t="array" ref="AT30">计算得分(INDEX([3]Sheet1!$J:$J, MATCH(A30, [3]Sheet1!$B:$B,0)), 固定数据!CL27, 固定数据!CM27, 2, 0,-10, 0)</f>
        <v>--</v>
      </c>
      <c r="AU30" s="2" t="str" cm="1">
        <f t="array" ref="AU30">计算得分(INDEX([3]Sheet1!$K:$K, MATCH(A30, [3]Sheet1!$B:$B,0)), 固定数据!CN27, 固定数据!CO27, 3, 0,-10, 0)</f>
        <v>--</v>
      </c>
      <c r="AV30" s="2" t="str" cm="1">
        <f t="array" ref="AV30">计算得分(INDEX([3]Sheet1!$L:$L, MATCH(A30, [3]Sheet1!$B:$B,0)), 固定数据!CP27, 固定数据!CQ27, 3, 0,-10, 0)</f>
        <v>--</v>
      </c>
      <c r="AW30" s="2" t="str" cm="1">
        <f t="array" ref="AW30">计算得分(INDEX([3]Sheet1!$M:$M, MATCH(A30, [3]Sheet1!$B:$B,0)), 固定数据!CR27, 固定数据!CS27, 100, 0,-100, 0)</f>
        <v>--</v>
      </c>
      <c r="AX30" s="2" t="str" cm="1">
        <f t="array" ref="AX30">计算得分(INDEX([3]Sheet1!$N:$N, MATCH(A30, [3]Sheet1!$B:$B,0)), 固定数据!CT27, 固定数据!CU27, 3, 0,-10, 0)</f>
        <v>--</v>
      </c>
      <c r="AY30" s="7" t="s">
        <v>74</v>
      </c>
      <c r="AZ30" s="7" t="s">
        <v>74</v>
      </c>
      <c r="BA30" s="2" t="str">
        <f>IFERROR(VLOOKUP(A30,[4]KPI评分!B:C,2,FALSE)*60%,"--")</f>
        <v>--</v>
      </c>
    </row>
    <row r="31" spans="1:53" ht="24.75" customHeight="1" x14ac:dyDescent="0.25">
      <c r="A31" s="3" t="s">
        <v>99</v>
      </c>
      <c r="B31" s="4" cm="1">
        <f t="array" ref="B31">计算得分(INDEX([1]Sheet1!$W:$W, MATCH(A31, [1]Sheet1!$B:$B,0)), 固定数据!B28, 固定数据!C28, 0.5, 0,-10, 0)</f>
        <v>0</v>
      </c>
      <c r="C31" s="4" cm="1">
        <f t="array" ref="C31">计算得分(INDEX([1]Sheet1!$X:$X, MATCH(A31, [1]Sheet1!$B:$B,0)), 固定数据!D28, 固定数据!E28, 1, 0,-10, 0)</f>
        <v>0</v>
      </c>
      <c r="D31" s="4" cm="1">
        <f t="array" ref="D31">计算得分(INDEX([1]Sheet1!$Y:$Y, MATCH(A31, [1]Sheet1!$B:$B,0)), 固定数据!F28, 固定数据!G28, 2, 0,-10, 0)</f>
        <v>0</v>
      </c>
      <c r="E31" s="4" t="str" cm="1">
        <f t="array" ref="E31">计算得分(INDEX([1]Sheet1!$C:$C, MATCH(A31, [1]Sheet1!$B:$B,0)), 固定数据!H28, 固定数据!I28, 0.02, 10,0, 1)</f>
        <v>--</v>
      </c>
      <c r="F31" s="4" t="str" cm="1">
        <f t="array" ref="F31">计算得分(INDEX([1]Sheet1!$D:$D, MATCH(A31, [1]Sheet1!$B:$B,0)), 固定数据!J28, 固定数据!K28, 0, 0,0, 0)</f>
        <v>--</v>
      </c>
      <c r="G31" s="4" cm="1">
        <f t="array" ref="G31">计算得分(INDEX([1]Sheet1!$E:$E, MATCH(A31, [1]Sheet1!$B:$B,0)), 固定数据!L28, 固定数据!M28, 0.3, 3,0, 5)</f>
        <v>64555.39</v>
      </c>
      <c r="H31" s="4" cm="1">
        <f t="array" ref="H31">计算得分(INDEX([1]Sheet1!$AG:$AG, MATCH(A31, [1]Sheet1!$B:$B,0)), 固定数据!N28, 固定数据!O28, 0.03, 3,0, 3)</f>
        <v>100</v>
      </c>
      <c r="I31" s="4" cm="1">
        <f t="array" ref="I31">计算得分(INDEX([1]Sheet1!$V:$V, MATCH(A31, [1]Sheet1!$B:$B,0)), 固定数据!P28, 固定数据!Q28, 1, 0,-100, 0)</f>
        <v>0</v>
      </c>
      <c r="J31" s="4" t="str" cm="1">
        <f t="array" ref="J31">计算得分(INDEX([1]Sheet1!$AI:$AI, MATCH(A31, [1]Sheet1!$B:$B,0)), 固定数据!R28, 固定数据!S28, 0.04, 12,0, 3)</f>
        <v>--</v>
      </c>
      <c r="K31" s="4" cm="1">
        <f t="array" ref="K31">计算得分(INDEX([1]Sheet1!$F:$F, MATCH(A31, [1]Sheet1!$B:$B,0)), 固定数据!T28, 固定数据!U28, 0.02, 3,0, 1)</f>
        <v>55.91</v>
      </c>
      <c r="L31" s="4" t="str" cm="1">
        <f t="array" ref="L31">计算得分(INDEX([1]Sheet1!$U:$U, MATCH(A31, [1]Sheet1!$B:$B,0)), 固定数据!V28, 固定数据!W28, 0.2, 20,0, 0)</f>
        <v>--</v>
      </c>
      <c r="M31" s="4" t="str" cm="1">
        <f t="array" ref="M31">计算得分(100, 固定数据!X28, 固定数据!Y28, 0, 5,0, 0)</f>
        <v>--</v>
      </c>
      <c r="N31" s="4" t="str" cm="1">
        <f t="array" ref="N31">计算得分(100, 固定数据!Z28, 固定数据!AA28, 0, 5,0, 0)</f>
        <v>--</v>
      </c>
      <c r="O31" s="4" t="str" cm="1">
        <f t="array" ref="O31">计算得分(100, 固定数据!AB28, 固定数据!AC28, 0, 7,0, 0)</f>
        <v>--</v>
      </c>
      <c r="P31" s="4" t="str" cm="1">
        <f t="array" ref="P31">计算得分(INDEX([1]Sheet1!$P:$P, MATCH(A31, [1]Sheet1!$B:$B,0)), 固定数据!AD28, 固定数据!AE28, 0.2, 7,0, 0)</f>
        <v>--</v>
      </c>
      <c r="Q31" s="4" cm="1">
        <f t="array" ref="Q31">计算得分(INDEX([1]Sheet1!$I:$I, MATCH(A31, [1]Sheet1!$B:$B,0)), 固定数据!AF28, 固定数据!AG28,0.2, IF(固定数据!AF28&lt;&gt;"--",固定数据!AF28,0),2, 5)</f>
        <v>179.59</v>
      </c>
      <c r="R31" s="4" cm="1">
        <f t="array" ref="R31">计算得分(INDEX([2]Sheet1!$AL:$AL, MATCH(A31, [2]Sheet1!$A:$A,0)), 固定数据!AH28, 固定数据!AI28, 0.02, 6,6, 1)</f>
        <v>123</v>
      </c>
      <c r="S31" s="4" cm="1">
        <f t="array" ref="S31">计算得分(INDEX([2]Sheet1!$I:$I, MATCH(A31, [2]Sheet1!$A:$A,0)), 固定数据!AJ28, 固定数据!AK28, 0.005, 6,0, 1)</f>
        <v>221</v>
      </c>
      <c r="T31" s="4" cm="1">
        <f t="array" ref="T31">计算得分(98, 固定数据!AL28, 固定数据!AM28, 0.03, IF(固定数据!AL28&lt;&gt;"--",固定数据!AL28,0),0, 3)</f>
        <v>98</v>
      </c>
      <c r="U31" s="4" cm="1">
        <f t="array" ref="U31">计算得分(INDEX([1]Sheet1!$G:$G, MATCH(A31, [1]Sheet1!$B:$B,0)), 固定数据!AN28, 固定数据!AO28, 0.5, 3,0, 0)</f>
        <v>10.46</v>
      </c>
      <c r="V31" s="4" cm="1">
        <f t="array" ref="V31">计算得分(INDEX([1]Sheet1!$H:$H, MATCH(A31, [1]Sheet1!$B:$B,0)), 固定数据!AP28, 固定数据!AQ28, 0.4, 5,0, 1)</f>
        <v>4.24</v>
      </c>
      <c r="W31" s="4" cm="1">
        <f t="array" ref="W31">计算得分(INDEX([1]Sheet1!$J:$J, MATCH(A31, [1]Sheet1!$B:$B,0)), 固定数据!AR28, 固定数据!AS28, 0.2, 2,2, 4)</f>
        <v>179.59</v>
      </c>
      <c r="X31" s="4" cm="1">
        <f t="array" ref="X31">计算得分(INDEX([1]Sheet1!$K:$K, MATCH(A31, [1]Sheet1!$B:$B,0)), 固定数据!AT28, 固定数据!AU28, 0.2, 1.5,1.5, 4)</f>
        <v>14775.35</v>
      </c>
      <c r="Y31" s="4" cm="1">
        <f t="array" ref="Y31">计算得分(INDEX([1]Sheet1!$AA:$AA, MATCH(A31, [1]Sheet1!$B:$B,0)), 固定数据!AV28, 固定数据!AW28, 0.05, IF(固定数据!AV28&lt;&gt;"--",固定数据!AV28,0),0, 3)</f>
        <v>100</v>
      </c>
      <c r="Z31" s="4" cm="1">
        <f t="array" ref="Z31">计算得分(INDEX([1]Sheet1!$AB:$AB, MATCH(A31, [1]Sheet1!$B:$B,0)), 固定数据!AX28, 固定数据!AY28, 0.05, IF(固定数据!AX28&lt;&gt;"--",固定数据!AX28,0),0, 3)</f>
        <v>95.8</v>
      </c>
      <c r="AA31" s="4" cm="1">
        <f t="array" ref="AA31">计算得分(INDEX([1]Sheet1!$AC:$AC, MATCH(A31, [1]Sheet1!$B:$B,0)), 固定数据!AZ28, 固定数据!BA28, 0.04, IF(固定数据!AZ28&lt;&gt;"--",固定数据!AZ28,0),0, 3)</f>
        <v>95</v>
      </c>
      <c r="AB31" s="4" cm="1">
        <f t="array" ref="AB31">计算得分(INDEX([1]Sheet1!$AD:$AD, MATCH(A31, [1]Sheet1!$B:$B,0)), 固定数据!BB28, 固定数据!BC28, 0.03, IF(固定数据!BB28&lt;&gt;"--",固定数据!BB28,0),0, 3)</f>
        <v>94.5</v>
      </c>
      <c r="AC31" s="4" cm="1">
        <f t="array" ref="AC31">计算得分(INDEX([1]Sheet1!$AE:$AE, MATCH(A31, [1]Sheet1!$B:$B,0)), 固定数据!BD28, 固定数据!BE28, 0.04, IF(固定数据!BD28&lt;&gt;"--",固定数据!BD28,0),0, 3)</f>
        <v>95.72</v>
      </c>
      <c r="AD31" s="4" cm="1">
        <f t="array" ref="AD31">计算得分(INDEX([1]Sheet1!$L:$L, MATCH(A31, [1]Sheet1!$B:$B,0)), 固定数据!BF28, 固定数据!BG28, 0.1, 12.5,0, 3)</f>
        <v>9085.0400000000009</v>
      </c>
      <c r="AE31" s="4" cm="1">
        <f t="array" ref="AE31">计算得分(INDEX([1]Sheet1!$N:$N, MATCH(A31, [1]Sheet1!$B:$B,0)), 固定数据!BH28, 固定数据!BI28, 0.2, 7,0, 0)</f>
        <v>26.9</v>
      </c>
      <c r="AF31" s="4" cm="1">
        <f t="array" ref="AF31">计算得分(INDEX([1]Sheet1!$Q:$Q, MATCH(A31, [1]Sheet1!$B:$B,0)), 固定数据!BJ28, 固定数据!BK28, 0.2, 7,0, 0)</f>
        <v>20.14</v>
      </c>
      <c r="AG31" s="4" cm="1">
        <f t="array" ref="AG31">计算得分(INDEX([1]Sheet1!$S:$S, MATCH(A31, [1]Sheet1!$B:$B,0)), 固定数据!BL28, 固定数据!BM28, 0.2, 20,0, 0)</f>
        <v>73.83</v>
      </c>
      <c r="AH31" s="4" t="str" cm="1">
        <f t="array" ref="AH31">计算得分(INDEX([1]Sheet1!$AF:$AF, MATCH(A31, [1]Sheet1!$B:$B,0)), 固定数据!BN28, 固定数据!BO28, 0.1, 10,0, 3)</f>
        <v>--</v>
      </c>
      <c r="AI31" s="4" t="str" cm="1">
        <f t="array" ref="AI31">计算得分(INDEX([1]Sheet1!$M:$M, MATCH(A31, [1]Sheet1!$B:$B,0)), 固定数据!BP28, 固定数据!BQ28, 0.2, 20,0, 3)</f>
        <v>--</v>
      </c>
      <c r="AJ31" s="4" cm="1">
        <f t="array" ref="AJ31">计算得分(INDEX([1]Sheet1!$Z:$Z, MATCH(A31, [1]Sheet1!$B:$B,0)), 固定数据!BR28, 固定数据!BS28, 10, 50,0, 0)</f>
        <v>0</v>
      </c>
      <c r="AK31" s="4" t="str" cm="1">
        <f t="array" ref="AK31">计算得分(INDEX([1]Sheet1!$O:$O, MATCH(A31, [1]Sheet1!$B:$B,0)), 固定数据!BT28, 固定数据!BU28, 0.2, 15,0, 0)</f>
        <v>--</v>
      </c>
      <c r="AL31" s="4" t="str" cm="1">
        <f t="array" ref="AL31">计算得分(INDEX([1]Sheet1!$R:$R, MATCH(A31, [1]Sheet1!$B:$B,0)), 固定数据!BV28, 固定数据!BW28, 0.2, 10,0, 0)</f>
        <v>--</v>
      </c>
      <c r="AM31" s="4" t="str" cm="1">
        <f t="array" ref="AM31">计算得分(INDEX([1]Sheet1!$T:$T, MATCH(A31, [1]Sheet1!$B:$B,0)), 固定数据!BX28, 固定数据!BY28, 0.2, 20,0, 0)</f>
        <v>--</v>
      </c>
      <c r="AN31" s="4" t="str" cm="1">
        <f t="array" ref="AN31">计算得分([3]Sheet1!$F$3, 固定数据!BZ28, 固定数据!CA28, 0.5, 15,0, 0)</f>
        <v>--</v>
      </c>
      <c r="AO31" s="4" t="str" cm="1">
        <f t="array" ref="AO31">计算得分([3]Sheet1!$G$3, 固定数据!CB28, 固定数据!CC28, 0.01, 5,0, 1)</f>
        <v>--</v>
      </c>
      <c r="AP31" s="4" t="str" cm="1">
        <f t="array" ref="AP31">计算得分([3]Sheet1!$H$3, 固定数据!CD28, 固定数据!CE28, 0.001, 5,0, 1)</f>
        <v>--</v>
      </c>
      <c r="AQ31" s="4" t="str" cm="1">
        <f t="array" ref="AQ31">计算得分([3]Sheet1!$D$3,固定数据!CF28,固定数据!CG28,0.05,5,0,3)</f>
        <v>--</v>
      </c>
      <c r="AR31" s="4" t="str" cm="1">
        <f t="array" ref="AR31">计算得分([3]Sheet1!$E$3,固定数据!CH28,固定数据!CI28,0.1,10,0,3)</f>
        <v>--</v>
      </c>
      <c r="AS31" s="8" t="s">
        <v>74</v>
      </c>
      <c r="AT31" s="4" t="str" cm="1">
        <f t="array" ref="AT31">计算得分(INDEX([3]Sheet1!$J:$J, MATCH(A31, [3]Sheet1!$B:$B,0)), 固定数据!CL28, 固定数据!CM28, 2, 0,-10, 0)</f>
        <v>--</v>
      </c>
      <c r="AU31" s="4" t="str" cm="1">
        <f t="array" ref="AU31">计算得分(INDEX([3]Sheet1!$K:$K, MATCH(A31, [3]Sheet1!$B:$B,0)), 固定数据!CN28, 固定数据!CO28, 3, 0,-10, 0)</f>
        <v>--</v>
      </c>
      <c r="AV31" s="4" t="str" cm="1">
        <f t="array" ref="AV31">计算得分(INDEX([3]Sheet1!$L:$L, MATCH(A31, [3]Sheet1!$B:$B,0)), 固定数据!CP28, 固定数据!CQ28, 3, 0,-10, 0)</f>
        <v>--</v>
      </c>
      <c r="AW31" s="4" t="str" cm="1">
        <f t="array" ref="AW31">计算得分(INDEX([3]Sheet1!$M:$M, MATCH(A31, [3]Sheet1!$B:$B,0)), 固定数据!CR28, 固定数据!CS28, 100, 0,-100, 0)</f>
        <v>--</v>
      </c>
      <c r="AX31" s="4" t="str" cm="1">
        <f t="array" ref="AX31">计算得分(INDEX([3]Sheet1!$N:$N, MATCH(A31, [3]Sheet1!$B:$B,0)), 固定数据!CT28, 固定数据!CU28, 3, 0,-10, 0)</f>
        <v>--</v>
      </c>
      <c r="AY31" s="8" t="s">
        <v>74</v>
      </c>
      <c r="AZ31" s="8" t="s">
        <v>74</v>
      </c>
      <c r="BA31" s="4" t="str">
        <f>IFERROR(VLOOKUP(A31,[4]KPI评分!B:C,2,FALSE)*60%,"--")</f>
        <v>--</v>
      </c>
    </row>
    <row r="32" spans="1:53" ht="24.75" customHeight="1" x14ac:dyDescent="0.25">
      <c r="A32" s="1" t="s">
        <v>100</v>
      </c>
      <c r="B32" s="2" t="str" cm="1">
        <f t="array" ref="B32">计算得分(INDEX([1]Sheet1!$W:$W, MATCH(A32, [1]Sheet1!$B:$B,0)), 固定数据!B29, 固定数据!C29, 0.5, 0,-10, 0)</f>
        <v>--</v>
      </c>
      <c r="C32" s="2" t="str" cm="1">
        <f t="array" ref="C32">计算得分(INDEX([1]Sheet1!$X:$X, MATCH(A32, [1]Sheet1!$B:$B,0)), 固定数据!D29, 固定数据!E29, 1, 0,-10, 0)</f>
        <v>--</v>
      </c>
      <c r="D32" s="2" t="str" cm="1">
        <f t="array" ref="D32">计算得分(INDEX([1]Sheet1!$Y:$Y, MATCH(A32, [1]Sheet1!$B:$B,0)), 固定数据!F29, 固定数据!G29, 2, 0,-10, 0)</f>
        <v>--</v>
      </c>
      <c r="E32" s="6" t="str" cm="1">
        <f t="array" ref="E32">计算得分(INDEX([1]Sheet1!$C:$C, MATCH(A32, [1]Sheet1!$B:$B,0)), 固定数据!H29, 固定数据!I29, 0.02, 10,0, 1)</f>
        <v>--</v>
      </c>
      <c r="F32" s="2" t="str" cm="1">
        <f t="array" ref="F32">计算得分(INDEX([1]Sheet1!$D:$D, MATCH(A32, [1]Sheet1!$B:$B,0)), 固定数据!J29, 固定数据!K29, 0, 0,0, 0)</f>
        <v>--</v>
      </c>
      <c r="G32" s="2" t="str" cm="1">
        <f t="array" ref="G32">计算得分(INDEX([1]Sheet1!$E:$E, MATCH(A32, [1]Sheet1!$B:$B,0)), 固定数据!L29, 固定数据!M29,  0.3, 3,0, 5)</f>
        <v>--</v>
      </c>
      <c r="H32" s="2" t="str" cm="1">
        <f t="array" ref="H32">计算得分(INDEX([1]Sheet1!$AG:$AG, MATCH(A32, [1]Sheet1!$B:$B,0)), 固定数据!N29, 固定数据!O29, 0.03, 3,0, 3)</f>
        <v>--</v>
      </c>
      <c r="I32" s="2" t="str" cm="1">
        <f t="array" ref="I32">计算得分(INDEX([1]Sheet1!$V:$V, MATCH(A32, [1]Sheet1!$B:$B,0)), 固定数据!P29, 固定数据!Q29, 1, 0,-100, 0)</f>
        <v>--</v>
      </c>
      <c r="J32" s="2" t="str" cm="1">
        <f t="array" ref="J32">计算得分(INDEX([1]Sheet1!$AI:$AI, MATCH(A32, [1]Sheet1!$B:$B,0)), 固定数据!R29, 固定数据!S29, 0.04, 12,0, 3)</f>
        <v>--</v>
      </c>
      <c r="K32" s="2" t="str" cm="1">
        <f t="array" ref="K32">计算得分(INDEX([1]Sheet1!$F:$F, MATCH(A32, [1]Sheet1!$B:$B,0)), 固定数据!T29, 固定数据!U29, 0.02, 3,0, 1)</f>
        <v>--</v>
      </c>
      <c r="L32" s="2" t="str" cm="1">
        <f t="array" ref="L32">计算得分(INDEX([1]Sheet1!$U:$U, MATCH(A32, [1]Sheet1!$B:$B,0)), 固定数据!V29, 固定数据!W29, 0.2, 20,0, 0)</f>
        <v>--</v>
      </c>
      <c r="M32" s="2" t="str" cm="1">
        <f t="array" ref="M32">计算得分(100, 固定数据!X29, 固定数据!Y29, 0, 5,0, 0)</f>
        <v>--</v>
      </c>
      <c r="N32" s="2" t="str" cm="1">
        <f t="array" ref="N32">计算得分(100, 固定数据!Z29, 固定数据!AA29, 0, 5,0, 0)</f>
        <v>--</v>
      </c>
      <c r="O32" s="2" t="str" cm="1">
        <f t="array" ref="O32">计算得分(100, 固定数据!AB29, 固定数据!AC29, 0, 7,0, 0)</f>
        <v>--</v>
      </c>
      <c r="P32" s="2" t="str" cm="1">
        <f t="array" ref="P32">计算得分(INDEX([1]Sheet1!$P:$P, MATCH(A32, [1]Sheet1!$B:$B,0)), 固定数据!AD29, 固定数据!AE29, 0.2, 7,0, 0)</f>
        <v>--</v>
      </c>
      <c r="Q32" s="2" t="str" cm="1">
        <f t="array" ref="Q32">计算得分(INDEX([1]Sheet1!$I:$I, MATCH(A32, [1]Sheet1!$B:$B,0)), 固定数据!AF29, 固定数据!AG29,0.2, IF(固定数据!AF29&lt;&gt;"--",固定数据!AF29,0),2, 5)</f>
        <v>--</v>
      </c>
      <c r="R32" s="2" t="str" cm="1">
        <f t="array" ref="R32">计算得分(INDEX([2]Sheet1!$AL:$AL, MATCH(A32, [2]Sheet1!$A:$A,0)), 固定数据!AH29, 固定数据!AI29, 0.02, 6,6, 1)</f>
        <v>--</v>
      </c>
      <c r="S32" s="2" t="str" cm="1">
        <f t="array" ref="S32">计算得分(INDEX([2]Sheet1!$I:$I, MATCH(A32, [2]Sheet1!$A:$A,0)), 固定数据!AJ29, 固定数据!AK29, 0.005, 6,0, 1)</f>
        <v>--</v>
      </c>
      <c r="T32" s="2" t="str" cm="1">
        <f t="array" ref="T32">计算得分(98, 固定数据!AL29, 固定数据!AM29, 0.03, IF(固定数据!AL29&lt;&gt;"--",固定数据!AL29,0),0, 3)</f>
        <v>--</v>
      </c>
      <c r="U32" s="2" t="str" cm="1">
        <f t="array" ref="U32">计算得分(INDEX([1]Sheet1!$G:$G, MATCH(A32, [1]Sheet1!$B:$B,0)), 固定数据!AN29, 固定数据!AO29, 0.5, 3,0, 0)</f>
        <v>--</v>
      </c>
      <c r="V32" s="2" t="str" cm="1">
        <f t="array" ref="V32">计算得分(INDEX([1]Sheet1!$H:$H, MATCH(A32, [1]Sheet1!$B:$B,0)), 固定数据!AP29, 固定数据!AQ29, 0.4, 5,0, 1)</f>
        <v>--</v>
      </c>
      <c r="W32" s="2" t="str" cm="1">
        <f t="array" ref="W32">计算得分(INDEX([1]Sheet1!$J:$J, MATCH(A32, [1]Sheet1!$B:$B,0)), 固定数据!AR29, 固定数据!AS29, 0.2, 2,2, 4)</f>
        <v>--</v>
      </c>
      <c r="X32" s="2" t="str" cm="1">
        <f t="array" ref="X32">计算得分(INDEX([1]Sheet1!$K:$K, MATCH(A32, [1]Sheet1!$B:$B,0)), 固定数据!AT29, 固定数据!AU29, 0.2, 1.5,1.5, 4)</f>
        <v>--</v>
      </c>
      <c r="Y32" s="2" t="str" cm="1">
        <f t="array" ref="Y32">计算得分(INDEX([1]Sheet1!$AA:$AA, MATCH(A32, [1]Sheet1!$B:$B,0)), 固定数据!AV29, 固定数据!AW29, 0.05, IF(固定数据!AV29&lt;&gt;"--",固定数据!AV29,0),0, 3)</f>
        <v>--</v>
      </c>
      <c r="Z32" s="2" t="str" cm="1">
        <f t="array" ref="Z32">计算得分(INDEX([1]Sheet1!$AB:$AB, MATCH(A32, [1]Sheet1!$B:$B,0)), 固定数据!AX29, 固定数据!AY29, 0.05, IF(固定数据!AX29&lt;&gt;"--",固定数据!AX29,0),0, 3)</f>
        <v>--</v>
      </c>
      <c r="AA32" s="2" t="str" cm="1">
        <f t="array" ref="AA32">计算得分(INDEX([1]Sheet1!$AC:$AC, MATCH(A32, [1]Sheet1!$B:$B,0)), 固定数据!AZ29, 固定数据!BA29, 0.04, IF(固定数据!AZ29&lt;&gt;"--",固定数据!AZ29,0),0, 3)</f>
        <v>--</v>
      </c>
      <c r="AB32" s="2" t="str" cm="1">
        <f t="array" ref="AB32">计算得分(INDEX([1]Sheet1!$AD:$AD, MATCH(A32, [1]Sheet1!$B:$B,0)), 固定数据!BB29, 固定数据!BC29, 0.03, IF(固定数据!BB29&lt;&gt;"--",固定数据!BB29,0),0, 3)</f>
        <v>--</v>
      </c>
      <c r="AC32" s="2" t="str" cm="1">
        <f t="array" ref="AC32">计算得分(INDEX([1]Sheet1!$AE:$AE, MATCH(A32, [1]Sheet1!$B:$B,0)), 固定数据!BD29, 固定数据!BE29, 0.04, IF(固定数据!BD29&lt;&gt;"--",固定数据!BD29,0),0, 3)</f>
        <v>--</v>
      </c>
      <c r="AD32" s="2" t="str" cm="1">
        <f t="array" ref="AD32">计算得分(INDEX([1]Sheet1!$L:$L, MATCH(A32, [1]Sheet1!$B:$B,0)), 固定数据!BF29, 固定数据!BG29, 0.1, 12.5,0, 3)</f>
        <v>--</v>
      </c>
      <c r="AE32" s="2" t="str" cm="1">
        <f t="array" ref="AE32">计算得分(INDEX([1]Sheet1!$N:$N, MATCH(A32, [1]Sheet1!$B:$B,0)), 固定数据!BH29, 固定数据!BI29, 0.2, 7,0, 0)</f>
        <v>--</v>
      </c>
      <c r="AF32" s="2" t="str" cm="1">
        <f t="array" ref="AF32">计算得分(INDEX([1]Sheet1!$Q:$Q, MATCH(A32, [1]Sheet1!$B:$B,0)), 固定数据!BJ29, 固定数据!BK29, 0.2, 7,0, 0)</f>
        <v>--</v>
      </c>
      <c r="AG32" s="2" t="str" cm="1">
        <f t="array" ref="AG32">计算得分(INDEX([1]Sheet1!$S:$S, MATCH(A32, [1]Sheet1!$B:$B,0)), 固定数据!BL29, 固定数据!BM29, 0.2, 20,0, 0)</f>
        <v>--</v>
      </c>
      <c r="AH32" s="6" t="str" cm="1">
        <f t="array" ref="AH32">计算得分(INDEX([1]Sheet1!$AF:$AF, MATCH(A32, [1]Sheet1!$B:$B,0)), 固定数据!BN29, 固定数据!BO29, 0.1, 10,0, 3)</f>
        <v>--</v>
      </c>
      <c r="AI32" s="2" t="str" cm="1">
        <f t="array" ref="AI32">计算得分(INDEX([1]Sheet1!$M:$M, MATCH(A32, [1]Sheet1!$B:$B,0)), 固定数据!BP29, 固定数据!BQ29, 0.2, 20,0, 3)</f>
        <v>--</v>
      </c>
      <c r="AJ32" s="2" t="str" cm="1">
        <f t="array" ref="AJ32">计算得分(INDEX([1]Sheet1!$Z:$Z, MATCH(A32, [1]Sheet1!$B:$B,0)), 固定数据!BR29, 固定数据!BS29, 10, 50,0, 0)</f>
        <v>--</v>
      </c>
      <c r="AK32" s="2" t="str" cm="1">
        <f t="array" ref="AK32">计算得分(INDEX([1]Sheet1!$O:$O, MATCH(A32, [1]Sheet1!$B:$B,0)), 固定数据!BT29, 固定数据!BU29, 0.2, 15,0, 0)</f>
        <v>--</v>
      </c>
      <c r="AL32" s="2" t="str" cm="1">
        <f t="array" ref="AL32">计算得分(INDEX([1]Sheet1!$R:$R, MATCH(A32, [1]Sheet1!$B:$B,0)), 固定数据!BV29, 固定数据!BW29, 0.2, 10,0, 0)</f>
        <v>--</v>
      </c>
      <c r="AM32" s="2" t="str" cm="1">
        <f t="array" ref="AM32">计算得分(INDEX([1]Sheet1!$T:$T, MATCH(A32, [1]Sheet1!$B:$B,0)), 固定数据!BX29, 固定数据!BY29, 0.2, 20,0, 0)</f>
        <v>--</v>
      </c>
      <c r="AN32" s="2" t="str" cm="1">
        <f t="array" ref="AN32">计算得分([3]Sheet1!$F$3, 固定数据!BZ29, 固定数据!CA29, 0.5, 15,0, 0)</f>
        <v>--</v>
      </c>
      <c r="AO32" s="6" t="str" cm="1">
        <f t="array" ref="AO32">计算得分([3]Sheet1!$G$3, 固定数据!CB29, 固定数据!CC29, 0.01, 5,0, 1)</f>
        <v>--</v>
      </c>
      <c r="AP32" s="6" t="str" cm="1">
        <f t="array" ref="AP32">计算得分([3]Sheet1!$H$3, 固定数据!CD29, 固定数据!CE29, 0.001, 5,0, 1)</f>
        <v>--</v>
      </c>
      <c r="AQ32" s="6" t="str" cm="1">
        <f t="array" ref="AQ32">计算得分([3]Sheet1!$D$3,固定数据!CF29,固定数据!CG29,0.05,5,0,3)</f>
        <v>--</v>
      </c>
      <c r="AR32" s="6" t="str" cm="1">
        <f t="array" ref="AR32">计算得分([3]Sheet1!$E$3,固定数据!CH29,固定数据!CI29,0.1,10,0,3)</f>
        <v>--</v>
      </c>
      <c r="AS32" s="7" t="s">
        <v>74</v>
      </c>
      <c r="AT32" s="6" t="str" cm="1">
        <f t="array" ref="AT32">计算得分(INDEX([3]Sheet1!$J:$J, MATCH(A32, [3]Sheet1!$B:$B,0)), 固定数据!CL29, 固定数据!CM29, 2, 0,-10, 0)</f>
        <v>--</v>
      </c>
      <c r="AU32" s="2" t="str" cm="1">
        <f t="array" ref="AU32">计算得分(INDEX([3]Sheet1!$K:$K, MATCH(A32, [3]Sheet1!$B:$B,0)), 固定数据!CN29, 固定数据!CO29, 3, 0,-10, 0)</f>
        <v>--</v>
      </c>
      <c r="AV32" s="2" t="str" cm="1">
        <f t="array" ref="AV32">计算得分(INDEX([3]Sheet1!$L:$L, MATCH(A32, [3]Sheet1!$B:$B,0)), 固定数据!CP29, 固定数据!CQ29, 3, 0,-10, 0)</f>
        <v>--</v>
      </c>
      <c r="AW32" s="2" t="str" cm="1">
        <f t="array" ref="AW32">计算得分(INDEX([3]Sheet1!$M:$M, MATCH(A32, [3]Sheet1!$B:$B,0)), 固定数据!CR29, 固定数据!CS29, 100, 0,-100, 0)</f>
        <v>--</v>
      </c>
      <c r="AX32" s="2" t="str" cm="1">
        <f t="array" ref="AX32">计算得分(INDEX([3]Sheet1!$N:$N, MATCH(A32, [3]Sheet1!$B:$B,0)), 固定数据!CT29, 固定数据!CU29, 3, 0,-10, 0)</f>
        <v>--</v>
      </c>
      <c r="AY32" s="7" t="s">
        <v>74</v>
      </c>
      <c r="AZ32" s="7" t="s">
        <v>74</v>
      </c>
      <c r="BA32" s="2" t="str">
        <f>IFERROR(VLOOKUP(A32,[4]KPI评分!B:C,2,FALSE)*60%,"--")</f>
        <v>--</v>
      </c>
    </row>
    <row r="33" spans="1:53" ht="24.75" customHeight="1" x14ac:dyDescent="0.25">
      <c r="A33" s="3" t="s">
        <v>101</v>
      </c>
      <c r="B33" s="4" t="str" cm="1">
        <f t="array" ref="B33">计算得分(INDEX([1]Sheet1!$W:$W, MATCH(A33, [1]Sheet1!$B:$B,0)), 固定数据!B30, 固定数据!C30, 0.5, 0,-10, 0)</f>
        <v>--</v>
      </c>
      <c r="C33" s="4" t="str" cm="1">
        <f t="array" ref="C33">计算得分(INDEX([1]Sheet1!$X:$X, MATCH(A33, [1]Sheet1!$B:$B,0)), 固定数据!D30, 固定数据!E30, 1, 0,-10, 0)</f>
        <v>--</v>
      </c>
      <c r="D33" s="4" t="str" cm="1">
        <f t="array" ref="D33">计算得分(INDEX([1]Sheet1!$Y:$Y, MATCH(A33, [1]Sheet1!$B:$B,0)), 固定数据!F30, 固定数据!G30, 2, 0,-10, 0)</f>
        <v>--</v>
      </c>
      <c r="E33" s="4" t="str" cm="1">
        <f t="array" ref="E33">计算得分(INDEX([1]Sheet1!$C:$C, MATCH(A33, [1]Sheet1!$B:$B,0)), 固定数据!H30, 固定数据!I30, 0.02, 10,0, 1)</f>
        <v>--</v>
      </c>
      <c r="F33" s="4" t="str" cm="1">
        <f t="array" ref="F33">计算得分(INDEX([1]Sheet1!$D:$D, MATCH(A33, [1]Sheet1!$B:$B,0)), 固定数据!J30, 固定数据!K30, 0, 0,0, 0)</f>
        <v>--</v>
      </c>
      <c r="G33" s="4" t="str" cm="1">
        <f t="array" ref="G33">计算得分(INDEX([1]Sheet1!$E:$E, MATCH(A33, [1]Sheet1!$B:$B,0)), 固定数据!L30, 固定数据!M30, 0.3, 3,0, 5)</f>
        <v>--</v>
      </c>
      <c r="H33" s="4" t="str" cm="1">
        <f t="array" ref="H33">计算得分(INDEX([1]Sheet1!$AG:$AG, MATCH(A33, [1]Sheet1!$B:$B,0)), 固定数据!N30, 固定数据!O30, 0.03, 3,0, 3)</f>
        <v>--</v>
      </c>
      <c r="I33" s="4" t="str" cm="1">
        <f t="array" ref="I33">计算得分(INDEX([1]Sheet1!$V:$V, MATCH(A33, [1]Sheet1!$B:$B,0)), 固定数据!P30, 固定数据!Q30, 1, 0,-100, 0)</f>
        <v>--</v>
      </c>
      <c r="J33" s="4" t="str" cm="1">
        <f t="array" ref="J33">计算得分(INDEX([1]Sheet1!$AI:$AI, MATCH(A33, [1]Sheet1!$B:$B,0)), 固定数据!R30, 固定数据!S30, 0.04, 12,0, 3)</f>
        <v>--</v>
      </c>
      <c r="K33" s="4" t="str" cm="1">
        <f t="array" ref="K33">计算得分(INDEX([1]Sheet1!$F:$F, MATCH(A33, [1]Sheet1!$B:$B,0)), 固定数据!T30, 固定数据!U30, 0.02, 3,0, 1)</f>
        <v>--</v>
      </c>
      <c r="L33" s="4" t="str" cm="1">
        <f t="array" ref="L33">计算得分(INDEX([1]Sheet1!$U:$U, MATCH(A33, [1]Sheet1!$B:$B,0)), 固定数据!V30, 固定数据!W30, 0.2, 20,0, 0)</f>
        <v>--</v>
      </c>
      <c r="M33" s="4" t="str" cm="1">
        <f t="array" ref="M33">计算得分(100, 固定数据!X30, 固定数据!Y30, 0, 5,0, 0)</f>
        <v>--</v>
      </c>
      <c r="N33" s="4" t="str" cm="1">
        <f t="array" ref="N33">计算得分(100, 固定数据!Z30, 固定数据!AA30, 0, 5,0, 0)</f>
        <v>--</v>
      </c>
      <c r="O33" s="4" t="str" cm="1">
        <f t="array" ref="O33">计算得分(100, 固定数据!AB30, 固定数据!AC30, 0, 7,0, 0)</f>
        <v>--</v>
      </c>
      <c r="P33" s="4" t="str" cm="1">
        <f t="array" ref="P33">计算得分(INDEX([1]Sheet1!$P:$P, MATCH(A33, [1]Sheet1!$B:$B,0)), 固定数据!AD30, 固定数据!AE30, 0.2, 7,0, 0)</f>
        <v>--</v>
      </c>
      <c r="Q33" s="4" t="str" cm="1">
        <f t="array" ref="Q33">计算得分(INDEX([1]Sheet1!$I:$I, MATCH(A33, [1]Sheet1!$B:$B,0)), 固定数据!AF30, 固定数据!AG30,0.2, IF(固定数据!AF30&lt;&gt;"--",固定数据!AF30,0),2, 5)</f>
        <v>--</v>
      </c>
      <c r="R33" s="4" t="str" cm="1">
        <f t="array" ref="R33">计算得分(INDEX([2]Sheet1!$AL:$AL, MATCH(A33, [2]Sheet1!$A:$A,0)), 固定数据!AH30, 固定数据!AI30, 0.02, 6,6, 1)</f>
        <v>--</v>
      </c>
      <c r="S33" s="4" t="str" cm="1">
        <f t="array" ref="S33">计算得分(INDEX([2]Sheet1!$I:$I, MATCH(A33, [2]Sheet1!$A:$A,0)), 固定数据!AJ30, 固定数据!AK30, 0.005, 6,0, 1)</f>
        <v>--</v>
      </c>
      <c r="T33" s="4" t="str" cm="1">
        <f t="array" ref="T33">计算得分(98, 固定数据!AL30, 固定数据!AM30, 0.03, IF(固定数据!AL30&lt;&gt;"--",固定数据!AL30,0),0, 3)</f>
        <v>--</v>
      </c>
      <c r="U33" s="4" t="str" cm="1">
        <f t="array" ref="U33">计算得分(INDEX([1]Sheet1!$G:$G, MATCH(A33, [1]Sheet1!$B:$B,0)), 固定数据!AN30, 固定数据!AO30, 0.5, 3,0, 0)</f>
        <v>--</v>
      </c>
      <c r="V33" s="4" t="str" cm="1">
        <f t="array" ref="V33">计算得分(INDEX([1]Sheet1!$H:$H, MATCH(A33, [1]Sheet1!$B:$B,0)), 固定数据!AP30, 固定数据!AQ30, 0.4, 5,0, 1)</f>
        <v>--</v>
      </c>
      <c r="W33" s="4" t="str" cm="1">
        <f t="array" ref="W33">计算得分(INDEX([1]Sheet1!$J:$J, MATCH(A33, [1]Sheet1!$B:$B,0)), 固定数据!AR30, 固定数据!AS30, 0.2, 2,2, 4)</f>
        <v>--</v>
      </c>
      <c r="X33" s="4" t="str" cm="1">
        <f t="array" ref="X33">计算得分(INDEX([1]Sheet1!$K:$K, MATCH(A33, [1]Sheet1!$B:$B,0)), 固定数据!AT30, 固定数据!AU30, 0.2, 1.5,1.5, 4)</f>
        <v>--</v>
      </c>
      <c r="Y33" s="4" t="str" cm="1">
        <f t="array" ref="Y33">计算得分(INDEX([1]Sheet1!$AA:$AA, MATCH(A33, [1]Sheet1!$B:$B,0)), 固定数据!AV30, 固定数据!AW30, 0.05, IF(固定数据!AV30&lt;&gt;"--",固定数据!AV30,0),0, 3)</f>
        <v>--</v>
      </c>
      <c r="Z33" s="4" t="str" cm="1">
        <f t="array" ref="Z33">计算得分(INDEX([1]Sheet1!$AB:$AB, MATCH(A33, [1]Sheet1!$B:$B,0)), 固定数据!AX30, 固定数据!AY30, 0.05, IF(固定数据!AX30&lt;&gt;"--",固定数据!AX30,0),0, 3)</f>
        <v>--</v>
      </c>
      <c r="AA33" s="4" t="str" cm="1">
        <f t="array" ref="AA33">计算得分(INDEX([1]Sheet1!$AC:$AC, MATCH(A33, [1]Sheet1!$B:$B,0)), 固定数据!AZ30, 固定数据!BA30, 0.04, IF(固定数据!AZ30&lt;&gt;"--",固定数据!AZ30,0),0, 3)</f>
        <v>--</v>
      </c>
      <c r="AB33" s="4" t="str" cm="1">
        <f t="array" ref="AB33">计算得分(INDEX([1]Sheet1!$AD:$AD, MATCH(A33, [1]Sheet1!$B:$B,0)), 固定数据!BB30, 固定数据!BC30, 0.03, IF(固定数据!BB30&lt;&gt;"--",固定数据!BB30,0),0, 3)</f>
        <v>--</v>
      </c>
      <c r="AC33" s="4" t="str" cm="1">
        <f t="array" ref="AC33">计算得分(INDEX([1]Sheet1!$AE:$AE, MATCH(A33, [1]Sheet1!$B:$B,0)), 固定数据!BD30, 固定数据!BE30, 0.04, IF(固定数据!BD30&lt;&gt;"--",固定数据!BD30,0),0, 3)</f>
        <v>--</v>
      </c>
      <c r="AD33" s="4" t="str" cm="1">
        <f t="array" ref="AD33">计算得分(INDEX([1]Sheet1!$L:$L, MATCH(A33, [1]Sheet1!$B:$B,0)), 固定数据!BF30, 固定数据!BG30, 0.1, 12.5,0, 3)</f>
        <v>--</v>
      </c>
      <c r="AE33" s="4" t="str" cm="1">
        <f t="array" ref="AE33">计算得分(INDEX([1]Sheet1!$N:$N, MATCH(A33, [1]Sheet1!$B:$B,0)), 固定数据!BH30, 固定数据!BI30, 0.2, 7,0, 0)</f>
        <v>--</v>
      </c>
      <c r="AF33" s="4" t="str" cm="1">
        <f t="array" ref="AF33">计算得分(INDEX([1]Sheet1!$Q:$Q, MATCH(A33, [1]Sheet1!$B:$B,0)), 固定数据!BJ30, 固定数据!BK30, 0.2, 7,0, 0)</f>
        <v>--</v>
      </c>
      <c r="AG33" s="4" t="str" cm="1">
        <f t="array" ref="AG33">计算得分(INDEX([1]Sheet1!$S:$S, MATCH(A33, [1]Sheet1!$B:$B,0)), 固定数据!BL30, 固定数据!BM30, 0.2, 20,0, 0)</f>
        <v>--</v>
      </c>
      <c r="AH33" s="4" t="str" cm="1">
        <f t="array" ref="AH33">计算得分(INDEX([1]Sheet1!$AF:$AF, MATCH(A33, [1]Sheet1!$B:$B,0)), 固定数据!BN30, 固定数据!BO30, 0.1, 10,0, 3)</f>
        <v>--</v>
      </c>
      <c r="AI33" s="4" t="str" cm="1">
        <f t="array" ref="AI33">计算得分(INDEX([1]Sheet1!$M:$M, MATCH(A33, [1]Sheet1!$B:$B,0)), 固定数据!BP30, 固定数据!BQ30, 0.2, 20,0, 3)</f>
        <v>--</v>
      </c>
      <c r="AJ33" s="4" t="str" cm="1">
        <f t="array" ref="AJ33">计算得分(INDEX([1]Sheet1!$Z:$Z, MATCH(A33, [1]Sheet1!$B:$B,0)), 固定数据!BR30, 固定数据!BS30, 10, 50,0, 0)</f>
        <v>--</v>
      </c>
      <c r="AK33" s="4" t="str" cm="1">
        <f t="array" ref="AK33">计算得分(INDEX([1]Sheet1!$O:$O, MATCH(A33, [1]Sheet1!$B:$B,0)), 固定数据!BT30, 固定数据!BU30, 0.2, 15,0, 0)</f>
        <v>--</v>
      </c>
      <c r="AL33" s="4" t="str" cm="1">
        <f t="array" ref="AL33">计算得分(INDEX([1]Sheet1!$R:$R, MATCH(A33, [1]Sheet1!$B:$B,0)), 固定数据!BV30, 固定数据!BW30, 0.2, 10,0, 0)</f>
        <v>--</v>
      </c>
      <c r="AM33" s="4" t="str" cm="1">
        <f t="array" ref="AM33">计算得分(INDEX([1]Sheet1!$T:$T, MATCH(A33, [1]Sheet1!$B:$B,0)), 固定数据!BX30, 固定数据!BY30, 0.2, 20,0, 0)</f>
        <v>--</v>
      </c>
      <c r="AN33" s="4" cm="1">
        <f t="array" ref="AN33">计算得分([3]Sheet1!$F$3, 固定数据!BZ30, 固定数据!CA30, 0.5, 15,0, 0)</f>
        <v>104.4</v>
      </c>
      <c r="AO33" s="4" cm="1">
        <f t="array" ref="AO33">计算得分([3]Sheet1!$G$3, 固定数据!CB30, 固定数据!CC30, 0.01, 5,0, 1)</f>
        <v>3675</v>
      </c>
      <c r="AP33" s="4" cm="1">
        <f t="array" ref="AP33">计算得分([3]Sheet1!$H$3, 固定数据!CD30, 固定数据!CE30, 0.001, 5,0, 1)</f>
        <v>18357</v>
      </c>
      <c r="AQ33" s="4" cm="1">
        <f t="array" ref="AQ33">计算得分([3]Sheet1!$D$3,固定数据!CF30,固定数据!CG30,0.05,5,0,3)</f>
        <v>186.8</v>
      </c>
      <c r="AR33" s="4" cm="1">
        <f t="array" ref="AR33">计算得分([3]Sheet1!$E$3,固定数据!CH30,固定数据!CI30,0.1,10,0,3)</f>
        <v>7574.53</v>
      </c>
      <c r="AS33" s="8" t="s">
        <v>74</v>
      </c>
      <c r="AT33" s="4" cm="1">
        <f t="array" ref="AT33">计算得分(INDEX([3]Sheet1!$J:$J, MATCH(A33, [3]Sheet1!$B:$B,0)), 固定数据!CL30, 固定数据!CM30, 2, 0,-10, 0)</f>
        <v>100</v>
      </c>
      <c r="AU33" s="4" cm="1">
        <f t="array" ref="AU33">计算得分(INDEX([3]Sheet1!$K:$K, MATCH(A33, [3]Sheet1!$B:$B,0)), 固定数据!CN30, 固定数据!CO30, 3, 0,-10, 0)</f>
        <v>100</v>
      </c>
      <c r="AV33" s="4" cm="1">
        <f t="array" ref="AV33">计算得分(INDEX([3]Sheet1!$L:$L, MATCH(A33, [3]Sheet1!$B:$B,0)), 固定数据!CP30, 固定数据!CQ30, 3, 0,-10, 0)</f>
        <v>100</v>
      </c>
      <c r="AW33" s="4" cm="1">
        <f t="array" ref="AW33">计算得分(INDEX([3]Sheet1!$M:$M, MATCH(A33, [3]Sheet1!$B:$B,0)), 固定数据!CR30, 固定数据!CS30, 100, 0,-100, 0)</f>
        <v>100</v>
      </c>
      <c r="AX33" s="4" cm="1">
        <f t="array" ref="AX33">计算得分(INDEX([3]Sheet1!$N:$N, MATCH(A33, [3]Sheet1!$B:$B,0)), 固定数据!CT30, 固定数据!CU30, 3, 0,-10, 0)</f>
        <v>100</v>
      </c>
      <c r="AY33" s="8" t="s">
        <v>74</v>
      </c>
      <c r="AZ33" s="8" t="s">
        <v>74</v>
      </c>
      <c r="BA33" s="4">
        <f>IFERROR(VLOOKUP(A33,[4]KPI评分!B:C,2,FALSE)*60%,"--")</f>
        <v>57.359999999999992</v>
      </c>
    </row>
    <row r="34" spans="1:53" ht="24.75" customHeight="1" x14ac:dyDescent="0.25">
      <c r="A34" s="1" t="s">
        <v>102</v>
      </c>
      <c r="B34" s="2" cm="1">
        <f t="array" ref="B34">计算得分(INDEX([1]Sheet1!$W:$W, MATCH(A34, [1]Sheet1!$B:$B,0)), 固定数据!B31, 固定数据!C31, 0.5, 0,-10, 0)</f>
        <v>0</v>
      </c>
      <c r="C34" s="2" cm="1">
        <f t="array" ref="C34">计算得分(INDEX([1]Sheet1!$X:$X, MATCH(A34, [1]Sheet1!$B:$B,0)), 固定数据!D31, 固定数据!E31, 1, 0,-10, 0)</f>
        <v>0</v>
      </c>
      <c r="D34" s="2" t="str" cm="1">
        <f t="array" ref="D34">计算得分(INDEX([1]Sheet1!$Y:$Y, MATCH(A34, [1]Sheet1!$B:$B,0)), 固定数据!F31, 固定数据!G31, 2, 0,-10, 0)</f>
        <v>--</v>
      </c>
      <c r="E34" s="6" t="str" cm="1">
        <f t="array" ref="E34">计算得分(INDEX([1]Sheet1!$C:$C, MATCH(A34, [1]Sheet1!$B:$B,0)), 固定数据!H31, 固定数据!I31, 0.02, 10,0, 1)</f>
        <v>--</v>
      </c>
      <c r="F34" s="2" t="str" cm="1">
        <f t="array" ref="F34">计算得分(INDEX([1]Sheet1!$D:$D, MATCH(A34, [1]Sheet1!$B:$B,0)), 固定数据!J31, 固定数据!K31, 0, 0,0, 0)</f>
        <v>--</v>
      </c>
      <c r="G34" s="2" t="str" cm="1">
        <f t="array" ref="G34">计算得分(INDEX([1]Sheet1!$E:$E, MATCH(A34, [1]Sheet1!$B:$B,0)), 固定数据!L31, 固定数据!M31,  0.3, 3,0, 5)</f>
        <v>--</v>
      </c>
      <c r="H34" s="2" t="str" cm="1">
        <f t="array" ref="H34">计算得分(INDEX([1]Sheet1!$AG:$AG, MATCH(A34, [1]Sheet1!$B:$B,0)), 固定数据!N31, 固定数据!O31, 0.03, 3,0, 3)</f>
        <v>--</v>
      </c>
      <c r="I34" s="2" cm="1">
        <f t="array" ref="I34">计算得分(INDEX([1]Sheet1!$V:$V, MATCH(A34, [1]Sheet1!$B:$B,0)), 固定数据!P31, 固定数据!Q31, 1, 0,-100, 0)</f>
        <v>0</v>
      </c>
      <c r="J34" s="2" cm="1">
        <f t="array" ref="J34">计算得分(INDEX([1]Sheet1!$AI:$AI, MATCH(A34, [1]Sheet1!$B:$B,0)), 固定数据!R31, 固定数据!S31, 0.04, 12,0, 3)</f>
        <v>100</v>
      </c>
      <c r="K34" s="2" t="str" cm="1">
        <f t="array" ref="K34">计算得分(INDEX([1]Sheet1!$F:$F, MATCH(A34, [1]Sheet1!$B:$B,0)), 固定数据!T31, 固定数据!U31, 0.02, 3,0, 1)</f>
        <v>--</v>
      </c>
      <c r="L34" s="2" t="str" cm="1">
        <f t="array" ref="L34">计算得分(INDEX([1]Sheet1!$U:$U, MATCH(A34, [1]Sheet1!$B:$B,0)), 固定数据!V31, 固定数据!W31, 0.2, 20,0, 0)</f>
        <v>--</v>
      </c>
      <c r="M34" s="2" cm="1">
        <f t="array" ref="M34">计算得分(100, 固定数据!X31, 固定数据!Y31, 0, 5,0, 0)</f>
        <v>100</v>
      </c>
      <c r="N34" s="2" t="str" cm="1">
        <f t="array" ref="N34">计算得分(100, 固定数据!Z31, 固定数据!AA31, 0, 5,0, 0)</f>
        <v>--</v>
      </c>
      <c r="O34" s="2" t="str" cm="1">
        <f t="array" ref="O34">计算得分(100, 固定数据!AB31, 固定数据!AC31, 0, 7,0, 0)</f>
        <v>--</v>
      </c>
      <c r="P34" s="2" t="str" cm="1">
        <f t="array" ref="P34">计算得分(INDEX([1]Sheet1!$P:$P, MATCH(A34, [1]Sheet1!$B:$B,0)), 固定数据!AD31, 固定数据!AE31, 0.2, 7,0, 0)</f>
        <v>--</v>
      </c>
      <c r="Q34" s="2" t="str" cm="1">
        <f t="array" ref="Q34">计算得分(INDEX([1]Sheet1!$I:$I, MATCH(A34, [1]Sheet1!$B:$B,0)), 固定数据!AF31, 固定数据!AG31,0.2, IF(固定数据!AF31&lt;&gt;"--",固定数据!AF31,0),2, 5)</f>
        <v>--</v>
      </c>
      <c r="R34" s="2" t="str" cm="1">
        <f t="array" ref="R34">计算得分(INDEX([2]Sheet1!$AL:$AL, MATCH(A34, [2]Sheet1!$A:$A,0)), 固定数据!AH31, 固定数据!AI31, 0.02, 6,6, 1)</f>
        <v>--</v>
      </c>
      <c r="S34" s="2" t="str" cm="1">
        <f t="array" ref="S34">计算得分(INDEX([2]Sheet1!$I:$I, MATCH(A34, [2]Sheet1!$A:$A,0)), 固定数据!AJ31, 固定数据!AK31, 0.005, 6,0, 1)</f>
        <v>--</v>
      </c>
      <c r="T34" s="2" cm="1">
        <f t="array" ref="T34">计算得分(98, 固定数据!AL31, 固定数据!AM31, 0.03, IF(固定数据!AL31&lt;&gt;"--",固定数据!AL31,0),0, 3)</f>
        <v>98</v>
      </c>
      <c r="U34" s="2" t="str" cm="1">
        <f t="array" ref="U34">计算得分(INDEX([1]Sheet1!$G:$G, MATCH(A34, [1]Sheet1!$B:$B,0)), 固定数据!AN31, 固定数据!AO31, 0.5, 3,0, 0)</f>
        <v>--</v>
      </c>
      <c r="V34" s="2" t="str" cm="1">
        <f t="array" ref="V34">计算得分(INDEX([1]Sheet1!$H:$H, MATCH(A34, [1]Sheet1!$B:$B,0)), 固定数据!AP31, 固定数据!AQ31, 0.4, 5,0, 1)</f>
        <v>--</v>
      </c>
      <c r="W34" s="2" t="str" cm="1">
        <f t="array" ref="W34">计算得分(INDEX([1]Sheet1!$J:$J, MATCH(A34, [1]Sheet1!$B:$B,0)), 固定数据!AR31, 固定数据!AS31, 0.2, 2,2, 4)</f>
        <v>--</v>
      </c>
      <c r="X34" s="2" t="str" cm="1">
        <f t="array" ref="X34">计算得分(INDEX([1]Sheet1!$K:$K, MATCH(A34, [1]Sheet1!$B:$B,0)), 固定数据!AT31, 固定数据!AU31, 0.2, 1.5,1.5, 4)</f>
        <v>--</v>
      </c>
      <c r="Y34" s="2" cm="1">
        <f t="array" ref="Y34">计算得分(INDEX([1]Sheet1!$AA:$AA, MATCH(A34, [1]Sheet1!$B:$B,0)), 固定数据!AV31, 固定数据!AW31, 0.05, IF(固定数据!AV31&lt;&gt;"--",固定数据!AV31,0),0, 3)</f>
        <v>97</v>
      </c>
      <c r="Z34" s="2" t="str" cm="1">
        <f t="array" ref="Z34">计算得分(INDEX([1]Sheet1!$AB:$AB, MATCH(A34, [1]Sheet1!$B:$B,0)), 固定数据!AX31, 固定数据!AY31, 0.05, IF(固定数据!AX31&lt;&gt;"--",固定数据!AX31,0),0, 3)</f>
        <v>--</v>
      </c>
      <c r="AA34" s="2" t="str" cm="1">
        <f t="array" ref="AA34">计算得分(INDEX([1]Sheet1!$AC:$AC, MATCH(A34, [1]Sheet1!$B:$B,0)), 固定数据!AZ31, 固定数据!BA31, 0.04, IF(固定数据!AZ31&lt;&gt;"--",固定数据!AZ31,0),0, 3)</f>
        <v>--</v>
      </c>
      <c r="AB34" s="2" cm="1">
        <f t="array" ref="AB34">计算得分(INDEX([1]Sheet1!$AD:$AD, MATCH(A34, [1]Sheet1!$B:$B,0)), 固定数据!BB31, 固定数据!BC31, 0.03, IF(固定数据!BB31&lt;&gt;"--",固定数据!BB31,0),0, 3)</f>
        <v>96</v>
      </c>
      <c r="AC34" s="2" cm="1">
        <f t="array" ref="AC34">计算得分(INDEX([1]Sheet1!$AE:$AE, MATCH(A34, [1]Sheet1!$B:$B,0)), 固定数据!BD31, 固定数据!BE31, 0.04, IF(固定数据!BD31&lt;&gt;"--",固定数据!BD31,0),0, 3)</f>
        <v>100</v>
      </c>
      <c r="AD34" s="2" t="str" cm="1">
        <f t="array" ref="AD34">计算得分(INDEX([1]Sheet1!$L:$L, MATCH(A34, [1]Sheet1!$B:$B,0)), 固定数据!BF31, 固定数据!BG31, 0.1, 12.5,0, 3)</f>
        <v>--</v>
      </c>
      <c r="AE34" s="2" t="str" cm="1">
        <f t="array" ref="AE34">计算得分(INDEX([1]Sheet1!$N:$N, MATCH(A34, [1]Sheet1!$B:$B,0)), 固定数据!BH31, 固定数据!BI31, 0.2, 7,0, 0)</f>
        <v>--</v>
      </c>
      <c r="AF34" s="2" t="str" cm="1">
        <f t="array" ref="AF34">计算得分(INDEX([1]Sheet1!$Q:$Q, MATCH(A34, [1]Sheet1!$B:$B,0)), 固定数据!BJ31, 固定数据!BK31, 0.2, 7,0, 0)</f>
        <v>--</v>
      </c>
      <c r="AG34" s="2" t="str" cm="1">
        <f t="array" ref="AG34">计算得分(INDEX([1]Sheet1!$S:$S, MATCH(A34, [1]Sheet1!$B:$B,0)), 固定数据!BL31, 固定数据!BM31, 0.2, 20,0, 0)</f>
        <v>--</v>
      </c>
      <c r="AH34" s="6" cm="1">
        <f t="array" ref="AH34">计算得分(INDEX([1]Sheet1!$AF:$AF, MATCH(A34, [1]Sheet1!$B:$B,0)), 固定数据!BN31, 固定数据!BO31, 0.1, 10,0, 3)</f>
        <v>97</v>
      </c>
      <c r="AI34" s="2" cm="1">
        <f t="array" ref="AI34">计算得分(INDEX([1]Sheet1!$M:$M, MATCH(A34, [1]Sheet1!$B:$B,0)), 固定数据!BP31, 固定数据!BQ31, 0.2, 20,0, 3)</f>
        <v>50.61</v>
      </c>
      <c r="AJ34" s="2" cm="1">
        <f t="array" ref="AJ34">计算得分(INDEX([1]Sheet1!$Z:$Z, MATCH(A34, [1]Sheet1!$B:$B,0)), 固定数据!BR31, 固定数据!BS31, 10, 50,0, 0)</f>
        <v>0</v>
      </c>
      <c r="AK34" s="2" cm="1">
        <f t="array" ref="AK34">计算得分(INDEX([1]Sheet1!$O:$O, MATCH(A34, [1]Sheet1!$B:$B,0)), 固定数据!BT31, 固定数据!BU31, 0.2, 15,0, 0)</f>
        <v>1.43</v>
      </c>
      <c r="AL34" s="2" t="str" cm="1">
        <f t="array" ref="AL34">计算得分(INDEX([1]Sheet1!$R:$R, MATCH(A34, [1]Sheet1!$B:$B,0)), 固定数据!BV31, 固定数据!BW31, 0.2, 10,0, 0)</f>
        <v>--</v>
      </c>
      <c r="AM34" s="2" cm="1">
        <f t="array" ref="AM34">计算得分(INDEX([1]Sheet1!$T:$T, MATCH(A34, [1]Sheet1!$B:$B,0)), 固定数据!BX31, 固定数据!BY31, 0.2, 15,0, 0)</f>
        <v>54.57</v>
      </c>
      <c r="AN34" s="2" t="str" cm="1">
        <f t="array" ref="AN34">计算得分([3]Sheet1!$F$3, 固定数据!BZ31, 固定数据!CA31, 0.5, 15,0, 0)</f>
        <v>--</v>
      </c>
      <c r="AO34" s="6" t="str" cm="1">
        <f t="array" ref="AO34">计算得分([3]Sheet1!$G$3, 固定数据!CB31, 固定数据!CC31, 0.01, 5,0, 1)</f>
        <v>--</v>
      </c>
      <c r="AP34" s="6" t="str" cm="1">
        <f t="array" ref="AP34">计算得分([3]Sheet1!$H$3, 固定数据!CD31, 固定数据!CE31, 0.001, 5,0, 1)</f>
        <v>--</v>
      </c>
      <c r="AQ34" s="6" t="str" cm="1">
        <f t="array" ref="AQ34">计算得分([3]Sheet1!$D$3,固定数据!CF31,固定数据!CG31,0.05,5,0,3)</f>
        <v>--</v>
      </c>
      <c r="AR34" s="6" t="str" cm="1">
        <f t="array" ref="AR34">计算得分([3]Sheet1!$E$3,固定数据!CH31,固定数据!CI31,0.1,10,0,3)</f>
        <v>--</v>
      </c>
      <c r="AS34" s="7" t="s">
        <v>74</v>
      </c>
      <c r="AT34" s="6" t="str" cm="1">
        <f t="array" ref="AT34">计算得分(INDEX([3]Sheet1!$J:$J, MATCH(A34, [3]Sheet1!$B:$B,0)), 固定数据!CL31, 固定数据!CM31, 2, 0,-10, 0)</f>
        <v>--</v>
      </c>
      <c r="AU34" s="2" t="str" cm="1">
        <f t="array" ref="AU34">计算得分(INDEX([3]Sheet1!$K:$K, MATCH(A34, [3]Sheet1!$B:$B,0)), 固定数据!CN31, 固定数据!CO31, 3, 0,-10, 0)</f>
        <v>--</v>
      </c>
      <c r="AV34" s="2" t="str" cm="1">
        <f t="array" ref="AV34">计算得分(INDEX([3]Sheet1!$L:$L, MATCH(A34, [3]Sheet1!$B:$B,0)), 固定数据!CP31, 固定数据!CQ31, 3, 0,-10, 0)</f>
        <v>--</v>
      </c>
      <c r="AW34" s="2" t="str" cm="1">
        <f t="array" ref="AW34">计算得分(INDEX([3]Sheet1!$M:$M, MATCH(A34, [3]Sheet1!$B:$B,0)), 固定数据!CR31, 固定数据!CS31, 100, 0,-100, 0)</f>
        <v>--</v>
      </c>
      <c r="AX34" s="2" t="str" cm="1">
        <f t="array" ref="AX34">计算得分(INDEX([3]Sheet1!$N:$N, MATCH(A34, [3]Sheet1!$B:$B,0)), 固定数据!CT31, 固定数据!CU31, 3, 0,-10, 0)</f>
        <v>--</v>
      </c>
      <c r="AY34" s="7" t="s">
        <v>74</v>
      </c>
      <c r="AZ34" s="7" t="s">
        <v>74</v>
      </c>
      <c r="BA34" s="2" t="str">
        <f>IFERROR(VLOOKUP(A34,[4]KPI评分!B:C,2,FALSE)*60%,"--")</f>
        <v>--</v>
      </c>
    </row>
    <row r="35" spans="1:53" ht="24.75" customHeight="1" x14ac:dyDescent="0.25">
      <c r="A35" s="3" t="s">
        <v>103</v>
      </c>
      <c r="B35" s="4" t="str" cm="1">
        <f t="array" ref="B35">计算得分(INDEX([1]Sheet1!$W:$W, MATCH(A35, [1]Sheet1!$B:$B,0)), 固定数据!B32, 固定数据!C32, 0.5, 0,-10, 0)</f>
        <v>--</v>
      </c>
      <c r="C35" s="4" t="str" cm="1">
        <f t="array" ref="C35">计算得分(INDEX([1]Sheet1!$X:$X, MATCH(A35, [1]Sheet1!$B:$B,0)), 固定数据!D32, 固定数据!E32, 1, 0,-10, 0)</f>
        <v>--</v>
      </c>
      <c r="D35" s="4" t="str" cm="1">
        <f t="array" ref="D35">计算得分(INDEX([1]Sheet1!$Y:$Y, MATCH(A35, [1]Sheet1!$B:$B,0)), 固定数据!F32, 固定数据!G32, 2, 0,-10, 0)</f>
        <v>--</v>
      </c>
      <c r="E35" s="4" t="str" cm="1">
        <f t="array" ref="E35">计算得分(INDEX([1]Sheet1!$C:$C, MATCH(A35, [1]Sheet1!$B:$B,0)), 固定数据!H32, 固定数据!I32, 0.02, 10,0, 1)</f>
        <v>--</v>
      </c>
      <c r="F35" s="4" t="str" cm="1">
        <f t="array" ref="F35">计算得分(INDEX([1]Sheet1!$D:$D, MATCH(A35, [1]Sheet1!$B:$B,0)), 固定数据!J32, 固定数据!K32, 0, 0,0, 0)</f>
        <v>--</v>
      </c>
      <c r="G35" s="4" t="str" cm="1">
        <f t="array" ref="G35">计算得分(INDEX([1]Sheet1!$E:$E, MATCH(A35, [1]Sheet1!$B:$B,0)), 固定数据!L32, 固定数据!M32, 0.3, 3,0, 5)</f>
        <v>--</v>
      </c>
      <c r="H35" s="4" t="str" cm="1">
        <f t="array" ref="H35">计算得分(INDEX([1]Sheet1!$AG:$AG, MATCH(A35, [1]Sheet1!$B:$B,0)), 固定数据!N32, 固定数据!O32, 0.03, 3,0, 3)</f>
        <v>--</v>
      </c>
      <c r="I35" s="4" t="str" cm="1">
        <f t="array" ref="I35">计算得分(INDEX([1]Sheet1!$V:$V, MATCH(A35, [1]Sheet1!$B:$B,0)), 固定数据!P32, 固定数据!Q32, 1, 0,-100, 0)</f>
        <v>--</v>
      </c>
      <c r="J35" s="4" t="str" cm="1">
        <f t="array" ref="J35">计算得分(INDEX([1]Sheet1!$AI:$AI, MATCH(A35, [1]Sheet1!$B:$B,0)), 固定数据!R32, 固定数据!S32, 0.04, 12,0, 3)</f>
        <v>--</v>
      </c>
      <c r="K35" s="4" t="str" cm="1">
        <f t="array" ref="K35">计算得分(INDEX([1]Sheet1!$F:$F, MATCH(A35, [1]Sheet1!$B:$B,0)), 固定数据!T32, 固定数据!U32, 0.02, 3,0, 1)</f>
        <v>--</v>
      </c>
      <c r="L35" s="4" t="str" cm="1">
        <f t="array" ref="L35">计算得分(INDEX([1]Sheet1!$U:$U, MATCH(A35, [1]Sheet1!$B:$B,0)), 固定数据!V32, 固定数据!W32, 0.2, 20,0, 0)</f>
        <v>--</v>
      </c>
      <c r="M35" s="4" t="str" cm="1">
        <f t="array" ref="M35">计算得分(100, 固定数据!X32, 固定数据!Y32, 0, 5,0, 0)</f>
        <v>--</v>
      </c>
      <c r="N35" s="4" t="str" cm="1">
        <f t="array" ref="N35">计算得分(100, 固定数据!Z32, 固定数据!AA32, 0, 5,0, 0)</f>
        <v>--</v>
      </c>
      <c r="O35" s="4" t="str" cm="1">
        <f t="array" ref="O35">计算得分(100, 固定数据!AB32, 固定数据!AC32, 0, 7,0, 0)</f>
        <v>--</v>
      </c>
      <c r="P35" s="4" t="str" cm="1">
        <f t="array" ref="P35">计算得分(INDEX([1]Sheet1!$P:$P, MATCH(A35, [1]Sheet1!$B:$B,0)), 固定数据!AD32, 固定数据!AE32, 0.2, 7,0, 0)</f>
        <v>--</v>
      </c>
      <c r="Q35" s="4" t="str" cm="1">
        <f t="array" ref="Q35">计算得分(INDEX([1]Sheet1!$I:$I, MATCH(A35, [1]Sheet1!$B:$B,0)), 固定数据!AF32, 固定数据!AG32,0.2, IF(固定数据!AF32&lt;&gt;"--",固定数据!AF32,0),2, 5)</f>
        <v>--</v>
      </c>
      <c r="R35" s="4" t="str" cm="1">
        <f t="array" ref="R35">计算得分(INDEX([2]Sheet1!$AL:$AL, MATCH(A35, [2]Sheet1!$A:$A,0)), 固定数据!AH32, 固定数据!AI32, 0.02, 6,6, 1)</f>
        <v>--</v>
      </c>
      <c r="S35" s="4" t="str" cm="1">
        <f t="array" ref="S35">计算得分(INDEX([2]Sheet1!$I:$I, MATCH(A35, [2]Sheet1!$A:$A,0)), 固定数据!AJ32, 固定数据!AK32, 0.005, 6,0, 1)</f>
        <v>--</v>
      </c>
      <c r="T35" s="4" t="str" cm="1">
        <f t="array" ref="T35">计算得分(98, 固定数据!AL32, 固定数据!AM32, 0.03, IF(固定数据!AL32&lt;&gt;"--",固定数据!AL32,0),0, 3)</f>
        <v>--</v>
      </c>
      <c r="U35" s="4" t="str" cm="1">
        <f t="array" ref="U35">计算得分(INDEX([1]Sheet1!$G:$G, MATCH(A35, [1]Sheet1!$B:$B,0)), 固定数据!AN32, 固定数据!AO32, 0.5, 3,0, 0)</f>
        <v>--</v>
      </c>
      <c r="V35" s="4" t="str" cm="1">
        <f t="array" ref="V35">计算得分(INDEX([1]Sheet1!$H:$H, MATCH(A35, [1]Sheet1!$B:$B,0)), 固定数据!AP32, 固定数据!AQ32, 0.4, 5,0, 1)</f>
        <v>--</v>
      </c>
      <c r="W35" s="4" t="str" cm="1">
        <f t="array" ref="W35">计算得分(INDEX([1]Sheet1!$J:$J, MATCH(A35, [1]Sheet1!$B:$B,0)), 固定数据!AR32, 固定数据!AS32, 0.2, 2,2, 4)</f>
        <v>--</v>
      </c>
      <c r="X35" s="4" t="str" cm="1">
        <f t="array" ref="X35">计算得分(INDEX([1]Sheet1!$K:$K, MATCH(A35, [1]Sheet1!$B:$B,0)), 固定数据!AT32, 固定数据!AU32, 0.2, 1.5,1.5, 4)</f>
        <v>--</v>
      </c>
      <c r="Y35" s="4" t="str" cm="1">
        <f t="array" ref="Y35">计算得分(INDEX([1]Sheet1!$AA:$AA, MATCH(A35, [1]Sheet1!$B:$B,0)), 固定数据!AV32, 固定数据!AW32, 0.05, IF(固定数据!AV32&lt;&gt;"--",固定数据!AV32,0),0, 3)</f>
        <v>--</v>
      </c>
      <c r="Z35" s="4" t="str" cm="1">
        <f t="array" ref="Z35">计算得分(INDEX([1]Sheet1!$AB:$AB, MATCH(A35, [1]Sheet1!$B:$B,0)), 固定数据!AX32, 固定数据!AY32, 0.05, IF(固定数据!AX32&lt;&gt;"--",固定数据!AX32,0),0, 3)</f>
        <v>--</v>
      </c>
      <c r="AA35" s="4" t="str" cm="1">
        <f t="array" ref="AA35">计算得分(INDEX([1]Sheet1!$AC:$AC, MATCH(A35, [1]Sheet1!$B:$B,0)), 固定数据!AZ32, 固定数据!BA32, 0.04, IF(固定数据!AZ32&lt;&gt;"--",固定数据!AZ32,0),0, 3)</f>
        <v>--</v>
      </c>
      <c r="AB35" s="4" t="str" cm="1">
        <f t="array" ref="AB35">计算得分(INDEX([1]Sheet1!$AD:$AD, MATCH(A35, [1]Sheet1!$B:$B,0)), 固定数据!BB32, 固定数据!BC32, 0.03, IF(固定数据!BB32&lt;&gt;"--",固定数据!BB32,0),0, 3)</f>
        <v>--</v>
      </c>
      <c r="AC35" s="4" t="str" cm="1">
        <f t="array" ref="AC35">计算得分(INDEX([1]Sheet1!$AE:$AE, MATCH(A35, [1]Sheet1!$B:$B,0)), 固定数据!BD32, 固定数据!BE32, 0.04, IF(固定数据!BD32&lt;&gt;"--",固定数据!BD32,0),0, 3)</f>
        <v>--</v>
      </c>
      <c r="AD35" s="4" t="str" cm="1">
        <f t="array" ref="AD35">计算得分(INDEX([1]Sheet1!$L:$L, MATCH(A35, [1]Sheet1!$B:$B,0)), 固定数据!BF32, 固定数据!BG32, 0.1, 12.5,0, 3)</f>
        <v>--</v>
      </c>
      <c r="AE35" s="4" t="str" cm="1">
        <f t="array" ref="AE35">计算得分(INDEX([1]Sheet1!$N:$N, MATCH(A35, [1]Sheet1!$B:$B,0)), 固定数据!BH32, 固定数据!BI32, 0.2, 7,0, 0)</f>
        <v>--</v>
      </c>
      <c r="AF35" s="4" t="str" cm="1">
        <f t="array" ref="AF35">计算得分(INDEX([1]Sheet1!$Q:$Q, MATCH(A35, [1]Sheet1!$B:$B,0)), 固定数据!BJ32, 固定数据!BK32, 0.2, 7,0, 0)</f>
        <v>--</v>
      </c>
      <c r="AG35" s="4" t="str" cm="1">
        <f t="array" ref="AG35">计算得分(INDEX([1]Sheet1!$S:$S, MATCH(A35, [1]Sheet1!$B:$B,0)), 固定数据!BL32, 固定数据!BM32, 0.2, 20,0, 0)</f>
        <v>--</v>
      </c>
      <c r="AH35" s="4" t="str" cm="1">
        <f t="array" ref="AH35">计算得分(INDEX([1]Sheet1!$AF:$AF, MATCH(A35, [1]Sheet1!$B:$B,0)), 固定数据!BN32, 固定数据!BO32, 0.1, 10,0, 3)</f>
        <v>--</v>
      </c>
      <c r="AI35" s="4" t="str" cm="1">
        <f t="array" ref="AI35">计算得分(INDEX([1]Sheet1!$M:$M, MATCH(A35, [1]Sheet1!$B:$B,0)), 固定数据!BP32, 固定数据!BQ32, 0.2, 20,0, 3)</f>
        <v>--</v>
      </c>
      <c r="AJ35" s="4" t="str" cm="1">
        <f t="array" ref="AJ35">计算得分(INDEX([1]Sheet1!$Z:$Z, MATCH(A35, [1]Sheet1!$B:$B,0)), 固定数据!BR32, 固定数据!BS32, 10, 50,0, 0)</f>
        <v>--</v>
      </c>
      <c r="AK35" s="4" t="str" cm="1">
        <f t="array" ref="AK35">计算得分(INDEX([1]Sheet1!$O:$O, MATCH(A35, [1]Sheet1!$B:$B,0)), 固定数据!BT32, 固定数据!BU32, 0.2, 15,0, 0)</f>
        <v>--</v>
      </c>
      <c r="AL35" s="4" t="str" cm="1">
        <f t="array" ref="AL35">计算得分(INDEX([1]Sheet1!$R:$R, MATCH(A35, [1]Sheet1!$B:$B,0)), 固定数据!BV32, 固定数据!BW32, 0.2, 10,0, 0)</f>
        <v>--</v>
      </c>
      <c r="AM35" s="4" t="str" cm="1">
        <f t="array" ref="AM35">计算得分(INDEX([1]Sheet1!$T:$T, MATCH(A35, [1]Sheet1!$B:$B,0)), 固定数据!BX32, 固定数据!BY32, 0.2, 20,0, 0)</f>
        <v>--</v>
      </c>
      <c r="AN35" s="4" cm="1">
        <f t="array" ref="AN35">计算得分([3]Sheet1!$F$3, 固定数据!BZ32, 固定数据!CA32, 0.5, 15,0, 0)</f>
        <v>104.4</v>
      </c>
      <c r="AO35" s="4" cm="1">
        <f t="array" ref="AO35">计算得分([3]Sheet1!$G$3, 固定数据!CB32, 固定数据!CC32, 0.01, 5,0, 1)</f>
        <v>3675</v>
      </c>
      <c r="AP35" s="4" cm="1">
        <f t="array" ref="AP35">计算得分([3]Sheet1!$H$3, 固定数据!CD32, 固定数据!CE32, 0.001, 5,0, 1)</f>
        <v>18357</v>
      </c>
      <c r="AQ35" s="4" cm="1">
        <f t="array" ref="AQ35">计算得分([3]Sheet1!$D$3,固定数据!CF32,固定数据!CG32,0.05,5,0,3)</f>
        <v>186.8</v>
      </c>
      <c r="AR35" s="4" cm="1">
        <f t="array" ref="AR35">计算得分([3]Sheet1!$E$3,固定数据!CH32,固定数据!CI32,0.1,10,0,3)</f>
        <v>7574.53</v>
      </c>
      <c r="AS35" s="8" t="s">
        <v>74</v>
      </c>
      <c r="AT35" s="4" cm="1">
        <f t="array" ref="AT35">计算得分(INDEX([3]Sheet1!$J:$J, MATCH(A35, [3]Sheet1!$B:$B,0)), 固定数据!CL32, 固定数据!CM32, 2, 0,-10, 0)</f>
        <v>100</v>
      </c>
      <c r="AU35" s="4" cm="1">
        <f t="array" ref="AU35">计算得分(INDEX([3]Sheet1!$K:$K, MATCH(A35, [3]Sheet1!$B:$B,0)), 固定数据!CN32, 固定数据!CO32, 3, 0,-10, 0)</f>
        <v>100</v>
      </c>
      <c r="AV35" s="4" cm="1">
        <f t="array" ref="AV35">计算得分(INDEX([3]Sheet1!$L:$L, MATCH(A35, [3]Sheet1!$B:$B,0)), 固定数据!CP32, 固定数据!CQ32, 3, 0,-10, 0)</f>
        <v>100</v>
      </c>
      <c r="AW35" s="4" cm="1">
        <f t="array" ref="AW35">计算得分(INDEX([3]Sheet1!$M:$M, MATCH(A35, [3]Sheet1!$B:$B,0)), 固定数据!CR32, 固定数据!CS32, 100, 0,-100, 0)</f>
        <v>100</v>
      </c>
      <c r="AX35" s="4" cm="1">
        <f t="array" ref="AX35">计算得分(INDEX([3]Sheet1!$N:$N, MATCH(A35, [3]Sheet1!$B:$B,0)), 固定数据!CT32, 固定数据!CU32, 3, 0,-10, 0)</f>
        <v>100</v>
      </c>
      <c r="AY35" s="8" t="s">
        <v>74</v>
      </c>
      <c r="AZ35" s="8" t="s">
        <v>74</v>
      </c>
      <c r="BA35" s="4">
        <f>IFERROR(VLOOKUP(A35,[4]KPI评分!B:C,2,FALSE)*60%,"--")</f>
        <v>57.359999999999992</v>
      </c>
    </row>
    <row r="36" spans="1:53" ht="24.75" customHeight="1" x14ac:dyDescent="0.25">
      <c r="A36" s="1" t="s">
        <v>104</v>
      </c>
      <c r="B36" s="2" cm="1">
        <f t="array" ref="B36">计算得分(INDEX([1]Sheet1!$W:$W, MATCH(A36, [1]Sheet1!$B:$B,0)), 固定数据!B33, 固定数据!C33, 0.5, 0,-10, 0)</f>
        <v>0</v>
      </c>
      <c r="C36" s="2" cm="1">
        <f t="array" ref="C36">计算得分(INDEX([1]Sheet1!$X:$X, MATCH(A36, [1]Sheet1!$B:$B,0)), 固定数据!D33, 固定数据!E33, 1, 0,-10, 0)</f>
        <v>0</v>
      </c>
      <c r="D36" s="2" cm="1">
        <f t="array" ref="D36">计算得分(INDEX([1]Sheet1!$Y:$Y, MATCH(A36, [1]Sheet1!$B:$B,0)), 固定数据!F33, 固定数据!G33, 2, 0,-10, 0)</f>
        <v>0</v>
      </c>
      <c r="E36" s="6" t="str" cm="1">
        <f t="array" ref="E36">计算得分(INDEX([1]Sheet1!$C:$C, MATCH(A36, [1]Sheet1!$B:$B,0)), 固定数据!H33, 固定数据!I33, 0.02, 10,0, 1)</f>
        <v>--</v>
      </c>
      <c r="F36" s="2" t="str" cm="1">
        <f t="array" ref="F36">计算得分(INDEX([1]Sheet1!$D:$D, MATCH(A36, [1]Sheet1!$B:$B,0)), 固定数据!J33, 固定数据!K33, 0, 0,0, 0)</f>
        <v>--</v>
      </c>
      <c r="G36" s="2" cm="1">
        <f t="array" ref="G36">计算得分(INDEX([1]Sheet1!$E:$E, MATCH(A36, [1]Sheet1!$B:$B,0)), 固定数据!L33, 固定数据!M33,  0.3, 3,0, 5)</f>
        <v>32485.360000000001</v>
      </c>
      <c r="H36" s="2" cm="1">
        <f t="array" ref="H36">计算得分(INDEX([1]Sheet1!$AG:$AG, MATCH(A36, [1]Sheet1!$B:$B,0)), 固定数据!N33, 固定数据!O33, 0.03, 3,0, 3)</f>
        <v>100</v>
      </c>
      <c r="I36" s="2" cm="1">
        <f t="array" ref="I36">计算得分(INDEX([1]Sheet1!$V:$V, MATCH(A36, [1]Sheet1!$B:$B,0)), 固定数据!P33, 固定数据!Q33, 1, 0,-100, 0)</f>
        <v>0</v>
      </c>
      <c r="J36" s="2" t="str" cm="1">
        <f t="array" ref="J36">计算得分(INDEX([1]Sheet1!$AI:$AI, MATCH(A36, [1]Sheet1!$B:$B,0)), 固定数据!R33, 固定数据!S33, 0.04, 12,0, 3)</f>
        <v>--</v>
      </c>
      <c r="K36" s="2" cm="1">
        <f t="array" ref="K36">计算得分(INDEX([1]Sheet1!$F:$F, MATCH(A36, [1]Sheet1!$B:$B,0)), 固定数据!T33, 固定数据!U33, 0.02, 3,0, 1)</f>
        <v>22.38</v>
      </c>
      <c r="L36" s="2" t="str" cm="1">
        <f t="array" ref="L36">计算得分(INDEX([1]Sheet1!$U:$U, MATCH(A36, [1]Sheet1!$B:$B,0)), 固定数据!V33, 固定数据!W33, 0.2, 20,0, 0)</f>
        <v>--</v>
      </c>
      <c r="M36" s="2" t="str" cm="1">
        <f t="array" ref="M36">计算得分(100, 固定数据!X33, 固定数据!Y33, 0, 5,0, 0)</f>
        <v>--</v>
      </c>
      <c r="N36" s="2" t="str" cm="1">
        <f t="array" ref="N36">计算得分(100, 固定数据!Z33, 固定数据!AA33, 0, 5,0, 0)</f>
        <v>--</v>
      </c>
      <c r="O36" s="2" t="str" cm="1">
        <f t="array" ref="O36">计算得分(100, 固定数据!AB33, 固定数据!AC33, 0, 7,0, 0)</f>
        <v>--</v>
      </c>
      <c r="P36" s="2" t="str" cm="1">
        <f t="array" ref="P36">计算得分(INDEX([1]Sheet1!$P:$P, MATCH(A36, [1]Sheet1!$B:$B,0)), 固定数据!AD33, 固定数据!AE33, 0.2, 7,0, 0)</f>
        <v>--</v>
      </c>
      <c r="Q36" s="2" cm="1">
        <f t="array" ref="Q36">计算得分(INDEX([1]Sheet1!$I:$I, MATCH(A36, [1]Sheet1!$B:$B,0)), 固定数据!AF33, 固定数据!AG33,0.2, IF(固定数据!AF33&lt;&gt;"--",固定数据!AF33,0),2, 5)</f>
        <v>404.99</v>
      </c>
      <c r="R36" s="2" cm="1">
        <f t="array" ref="R36">计算得分(INDEX([2]Sheet1!$AL:$AL, MATCH(A36, [2]Sheet1!$A:$A,0)), 固定数据!AH33, 固定数据!AI33, 0.02, 6,6, 1)</f>
        <v>81</v>
      </c>
      <c r="S36" s="2" cm="1">
        <f t="array" ref="S36">计算得分(INDEX([2]Sheet1!$I:$I, MATCH(A36, [2]Sheet1!$A:$A,0)), 固定数据!AJ33, 固定数据!AK33, 0.005, 6,0, 1)</f>
        <v>299</v>
      </c>
      <c r="T36" s="2" cm="1">
        <f t="array" ref="T36">计算得分(98, 固定数据!AL33, 固定数据!AM33, 0.03, IF(固定数据!AL33&lt;&gt;"--",固定数据!AL33,0),0, 3)</f>
        <v>98</v>
      </c>
      <c r="U36" s="2" cm="1">
        <f t="array" ref="U36">计算得分(INDEX([1]Sheet1!$G:$G, MATCH(A36, [1]Sheet1!$B:$B,0)), 固定数据!AN33, 固定数据!AO33, 0.5, 3,0, 0)</f>
        <v>6.63</v>
      </c>
      <c r="V36" s="2" cm="1">
        <f t="array" ref="V36">计算得分(INDEX([1]Sheet1!$H:$H, MATCH(A36, [1]Sheet1!$B:$B,0)), 固定数据!AP33, 固定数据!AQ33, 0.4, 5,0, 1)</f>
        <v>2.89</v>
      </c>
      <c r="W36" s="2" cm="1">
        <f t="array" ref="W36">计算得分(INDEX([1]Sheet1!$J:$J, MATCH(A36, [1]Sheet1!$B:$B,0)), 固定数据!AR33, 固定数据!AS33, 0.2, 2,2, 4)</f>
        <v>404.99</v>
      </c>
      <c r="X36" s="2" cm="1">
        <f t="array" ref="X36">计算得分(INDEX([1]Sheet1!$K:$K, MATCH(A36, [1]Sheet1!$B:$B,0)), 固定数据!AT33, 固定数据!AU33, 0.2, 1.5,1.5, 4)</f>
        <v>10166.89</v>
      </c>
      <c r="Y36" s="2" cm="1">
        <f t="array" ref="Y36">计算得分(INDEX([1]Sheet1!$AA:$AA, MATCH(A36, [1]Sheet1!$B:$B,0)), 固定数据!AV33, 固定数据!AW33, 0.05, IF(固定数据!AV33&lt;&gt;"--",固定数据!AV33,0),0, 3)</f>
        <v>87.5</v>
      </c>
      <c r="Z36" s="2" cm="1">
        <f t="array" ref="Z36">计算得分(INDEX([1]Sheet1!$AB:$AB, MATCH(A36, [1]Sheet1!$B:$B,0)), 固定数据!AX33, 固定数据!AY33, 0.05, IF(固定数据!AX33&lt;&gt;"--",固定数据!AX33,0),0, 3)</f>
        <v>95.8</v>
      </c>
      <c r="AA36" s="2" cm="1">
        <f t="array" ref="AA36">计算得分(INDEX([1]Sheet1!$AC:$AC, MATCH(A36, [1]Sheet1!$B:$B,0)), 固定数据!AZ33, 固定数据!BA33, 0.04, IF(固定数据!AZ33&lt;&gt;"--",固定数据!AZ33,0),0, 3)</f>
        <v>93</v>
      </c>
      <c r="AB36" s="2" cm="1">
        <f t="array" ref="AB36">计算得分(INDEX([1]Sheet1!$AD:$AD, MATCH(A36, [1]Sheet1!$B:$B,0)), 固定数据!BB33, 固定数据!BC33, 0.03, IF(固定数据!BB33&lt;&gt;"--",固定数据!BB33,0),0, 3)</f>
        <v>96</v>
      </c>
      <c r="AC36" s="2" cm="1">
        <f t="array" ref="AC36">计算得分(INDEX([1]Sheet1!$AE:$AE, MATCH(A36, [1]Sheet1!$B:$B,0)), 固定数据!BD33, 固定数据!BE33, 0.04, IF(固定数据!BD33&lt;&gt;"--",固定数据!BD33,0),0, 3)</f>
        <v>97.81</v>
      </c>
      <c r="AD36" s="2" cm="1">
        <f t="array" ref="AD36">计算得分(INDEX([1]Sheet1!$L:$L, MATCH(A36, [1]Sheet1!$B:$B,0)), 固定数据!BF33, 固定数据!BG33, 0.1, 12.5,0, 3)</f>
        <v>6132.17</v>
      </c>
      <c r="AE36" s="2" cm="1">
        <f t="array" ref="AE36">计算得分(INDEX([1]Sheet1!$N:$N, MATCH(A36, [1]Sheet1!$B:$B,0)), 固定数据!BH33, 固定数据!BI33, 0.2, 7,0, 0)</f>
        <v>12.12</v>
      </c>
      <c r="AF36" s="2" cm="1">
        <f t="array" ref="AF36">计算得分(INDEX([1]Sheet1!$Q:$Q, MATCH(A36, [1]Sheet1!$B:$B,0)), 固定数据!BJ33, 固定数据!BK33, 0.2, 7,0, 0)</f>
        <v>28.86</v>
      </c>
      <c r="AG36" s="2" cm="1">
        <f t="array" ref="AG36">计算得分(INDEX([1]Sheet1!$S:$S, MATCH(A36, [1]Sheet1!$B:$B,0)), 固定数据!BL33, 固定数据!BM33, 0.2, 20,0, 0)</f>
        <v>62.14</v>
      </c>
      <c r="AH36" s="6" t="str" cm="1">
        <f t="array" ref="AH36">计算得分(INDEX([1]Sheet1!$AF:$AF, MATCH(A36, [1]Sheet1!$B:$B,0)), 固定数据!BN33, 固定数据!BO33, 0.1, 10,0, 3)</f>
        <v>--</v>
      </c>
      <c r="AI36" s="2" t="str" cm="1">
        <f t="array" ref="AI36">计算得分(INDEX([1]Sheet1!$M:$M, MATCH(A36, [1]Sheet1!$B:$B,0)), 固定数据!BP33, 固定数据!BQ33, 0.2, 20,0, 3)</f>
        <v>--</v>
      </c>
      <c r="AJ36" s="2" cm="1">
        <f t="array" ref="AJ36">计算得分(INDEX([1]Sheet1!$Z:$Z, MATCH(A36, [1]Sheet1!$B:$B,0)), 固定数据!BR33, 固定数据!BS33, 10, 50,0, 0)</f>
        <v>0</v>
      </c>
      <c r="AK36" s="2" t="str" cm="1">
        <f t="array" ref="AK36">计算得分(INDEX([1]Sheet1!$O:$O, MATCH(A36, [1]Sheet1!$B:$B,0)), 固定数据!BT33, 固定数据!BU33, 0.2, 15,0, 0)</f>
        <v>--</v>
      </c>
      <c r="AL36" s="2" t="str" cm="1">
        <f t="array" ref="AL36">计算得分(INDEX([1]Sheet1!$R:$R, MATCH(A36, [1]Sheet1!$B:$B,0)), 固定数据!BV33, 固定数据!BW33, 0.2, 10,0, 0)</f>
        <v>--</v>
      </c>
      <c r="AM36" s="2" t="str" cm="1">
        <f t="array" ref="AM36">计算得分(INDEX([1]Sheet1!$T:$T, MATCH(A36, [1]Sheet1!$B:$B,0)), 固定数据!BX33, 固定数据!BY33, 0.2, 20,0, 0)</f>
        <v>--</v>
      </c>
      <c r="AN36" s="2" t="str" cm="1">
        <f t="array" ref="AN36">计算得分([3]Sheet1!$F$3, 固定数据!BZ33, 固定数据!CA33, 0.5, 15,0, 0)</f>
        <v>--</v>
      </c>
      <c r="AO36" s="6" t="str" cm="1">
        <f t="array" ref="AO36">计算得分([3]Sheet1!$G$3, 固定数据!CB33, 固定数据!CC33, 0.01, 5,0, 1)</f>
        <v>--</v>
      </c>
      <c r="AP36" s="6" t="str" cm="1">
        <f t="array" ref="AP36">计算得分([3]Sheet1!$H$3, 固定数据!CD33, 固定数据!CE33, 0.001, 5,0, 1)</f>
        <v>--</v>
      </c>
      <c r="AQ36" s="6" t="str" cm="1">
        <f t="array" ref="AQ36">计算得分([3]Sheet1!$D$3,固定数据!CF33,固定数据!CG33,0.05,5,0,3)</f>
        <v>--</v>
      </c>
      <c r="AR36" s="6" t="str" cm="1">
        <f t="array" ref="AR36">计算得分([3]Sheet1!$E$3,固定数据!CH33,固定数据!CI33,0.1,10,0,3)</f>
        <v>--</v>
      </c>
      <c r="AS36" s="7" t="s">
        <v>74</v>
      </c>
      <c r="AT36" s="6" t="str" cm="1">
        <f t="array" ref="AT36">计算得分(INDEX([3]Sheet1!$J:$J, MATCH(A36, [3]Sheet1!$B:$B,0)), 固定数据!CL33, 固定数据!CM33, 2, 0,-10, 0)</f>
        <v>--</v>
      </c>
      <c r="AU36" s="2" t="str" cm="1">
        <f t="array" ref="AU36">计算得分(INDEX([3]Sheet1!$K:$K, MATCH(A36, [3]Sheet1!$B:$B,0)), 固定数据!CN33, 固定数据!CO33, 3, 0,-10, 0)</f>
        <v>--</v>
      </c>
      <c r="AV36" s="2" t="str" cm="1">
        <f t="array" ref="AV36">计算得分(INDEX([3]Sheet1!$L:$L, MATCH(A36, [3]Sheet1!$B:$B,0)), 固定数据!CP33, 固定数据!CQ33, 3, 0,-10, 0)</f>
        <v>--</v>
      </c>
      <c r="AW36" s="2" t="str" cm="1">
        <f t="array" ref="AW36">计算得分(INDEX([3]Sheet1!$M:$M, MATCH(A36, [3]Sheet1!$B:$B,0)), 固定数据!CR33, 固定数据!CS33, 100, 0,-100, 0)</f>
        <v>--</v>
      </c>
      <c r="AX36" s="2" t="str" cm="1">
        <f t="array" ref="AX36">计算得分(INDEX([3]Sheet1!$N:$N, MATCH(A36, [3]Sheet1!$B:$B,0)), 固定数据!CT33, 固定数据!CU33, 3, 0,-10, 0)</f>
        <v>--</v>
      </c>
      <c r="AY36" s="7" t="s">
        <v>74</v>
      </c>
      <c r="AZ36" s="7" t="s">
        <v>74</v>
      </c>
      <c r="BA36" s="2" t="str">
        <f>IFERROR(VLOOKUP(A36,[4]KPI评分!B:C,2,FALSE)*60%,"--")</f>
        <v>--</v>
      </c>
    </row>
    <row r="37" spans="1:53" ht="24.75" customHeight="1" x14ac:dyDescent="0.25">
      <c r="A37" s="3" t="s">
        <v>105</v>
      </c>
      <c r="B37" s="4" cm="1">
        <f t="array" ref="B37">计算得分(INDEX([1]Sheet1!$W:$W, MATCH(A37, [1]Sheet1!$B:$B,0)), 固定数据!B34, 固定数据!C34, 0.5, 0,-10, 0)</f>
        <v>0</v>
      </c>
      <c r="C37" s="4" cm="1">
        <f t="array" ref="C37">计算得分(INDEX([1]Sheet1!$X:$X, MATCH(A37, [1]Sheet1!$B:$B,0)), 固定数据!D34, 固定数据!E34, 1, 0,-10, 0)</f>
        <v>0</v>
      </c>
      <c r="D37" s="4" cm="1">
        <f t="array" ref="D37">计算得分(INDEX([1]Sheet1!$Y:$Y, MATCH(A37, [1]Sheet1!$B:$B,0)), 固定数据!F34, 固定数据!G34, 2, 0,-10, 0)</f>
        <v>0</v>
      </c>
      <c r="E37" s="4" t="str" cm="1">
        <f t="array" ref="E37">计算得分(INDEX([1]Sheet1!$C:$C, MATCH(A37, [1]Sheet1!$B:$B,0)), 固定数据!H34, 固定数据!I34, 0.02, 10,0, 1)</f>
        <v>--</v>
      </c>
      <c r="F37" s="4" t="str" cm="1">
        <f t="array" ref="F37">计算得分(INDEX([1]Sheet1!$D:$D, MATCH(A37, [1]Sheet1!$B:$B,0)), 固定数据!J34, 固定数据!K34, 0, 0,0, 0)</f>
        <v>--</v>
      </c>
      <c r="G37" s="4" t="str" cm="1">
        <f t="array" ref="G37">计算得分(INDEX([1]Sheet1!$E:$E, MATCH(A37, [1]Sheet1!$B:$B,0)), 固定数据!L34, 固定数据!M34, 0.3, 3,0, 5)</f>
        <v>--</v>
      </c>
      <c r="H37" s="4" cm="1">
        <f t="array" ref="H37">计算得分(INDEX([1]Sheet1!$AG:$AG, MATCH(A37, [1]Sheet1!$B:$B,0)), 固定数据!N34, 固定数据!O34, 0.03, 3,0, 3)</f>
        <v>100</v>
      </c>
      <c r="I37" s="4" cm="1">
        <f t="array" ref="I37">计算得分(INDEX([1]Sheet1!$V:$V, MATCH(A37, [1]Sheet1!$B:$B,0)), 固定数据!P34, 固定数据!Q34, 1, 0,-100, 0)</f>
        <v>0</v>
      </c>
      <c r="J37" s="4" t="str" cm="1">
        <f t="array" ref="J37">计算得分(INDEX([1]Sheet1!$AI:$AI, MATCH(A37, [1]Sheet1!$B:$B,0)), 固定数据!R34, 固定数据!S34, 0.04, 12,0, 3)</f>
        <v>--</v>
      </c>
      <c r="K37" s="4" t="str" cm="1">
        <f t="array" ref="K37">计算得分(INDEX([1]Sheet1!$F:$F, MATCH(A37, [1]Sheet1!$B:$B,0)), 固定数据!T34, 固定数据!U34, 0.02, 3,0, 1)</f>
        <v>--</v>
      </c>
      <c r="L37" s="4" t="str" cm="1">
        <f t="array" ref="L37">计算得分(INDEX([1]Sheet1!$U:$U, MATCH(A37, [1]Sheet1!$B:$B,0)), 固定数据!V34, 固定数据!W34, 0.2, 20,0, 0)</f>
        <v>--</v>
      </c>
      <c r="M37" s="4" t="str" cm="1">
        <f t="array" ref="M37">计算得分(100, 固定数据!X34, 固定数据!Y34, 0, 5,0, 0)</f>
        <v>--</v>
      </c>
      <c r="N37" s="4" t="str" cm="1">
        <f t="array" ref="N37">计算得分(100, 固定数据!Z34, 固定数据!AA34, 0, 5,0, 0)</f>
        <v>--</v>
      </c>
      <c r="O37" s="4" t="str" cm="1">
        <f t="array" ref="O37">计算得分(100, 固定数据!AB34, 固定数据!AC34, 0, 7,0, 0)</f>
        <v>--</v>
      </c>
      <c r="P37" s="4" t="str" cm="1">
        <f t="array" ref="P37">计算得分(INDEX([1]Sheet1!$P:$P, MATCH(A37, [1]Sheet1!$B:$B,0)), 固定数据!AD34, 固定数据!AE34, 0.2, 7,0, 0)</f>
        <v>--</v>
      </c>
      <c r="Q37" s="4" cm="1">
        <f t="array" ref="Q37">计算得分(INDEX([1]Sheet1!$I:$I, MATCH(A37, [1]Sheet1!$B:$B,0)), 固定数据!AF34, 固定数据!AG34,0.2, IF(固定数据!AF34&lt;&gt;"--",固定数据!AF34,0),0, 5)</f>
        <v>418.99</v>
      </c>
      <c r="R37" s="4" t="str" cm="1">
        <f t="array" ref="R37">计算得分(INDEX([2]Sheet1!$AL:$AL, MATCH(A37, [2]Sheet1!$A:$A,0)), 固定数据!AH34, 固定数据!AI34, 0.02, 6,6, 1)</f>
        <v>--</v>
      </c>
      <c r="S37" s="4" cm="1">
        <f t="array" ref="S37">计算得分(INDEX([2]Sheet1!$I:$I, MATCH(A37, [2]Sheet1!$A:$A,0)), 固定数据!AJ34, 固定数据!AK34, 0.005, 10,0, 1)</f>
        <v>174</v>
      </c>
      <c r="T37" s="4" cm="1">
        <f t="array" ref="T37">计算得分(98, 固定数据!AL34, 固定数据!AM34, 0.03, IF(固定数据!AL34&lt;&gt;"--",固定数据!AL34,0),0, 3)</f>
        <v>98</v>
      </c>
      <c r="U37" s="4" t="str" cm="1">
        <f t="array" ref="U37">计算得分(INDEX([1]Sheet1!$G:$G, MATCH(A37, [1]Sheet1!$B:$B,0)), 固定数据!AN34, 固定数据!AO34, 0.5, 3,0, 0)</f>
        <v>--</v>
      </c>
      <c r="V37" s="4" t="str" cm="1">
        <f t="array" ref="V37">计算得分(INDEX([1]Sheet1!$H:$H, MATCH(A37, [1]Sheet1!$B:$B,0)), 固定数据!AP34, 固定数据!AQ34, 0.4, 5,0, 1)</f>
        <v>--</v>
      </c>
      <c r="W37" s="4" cm="1">
        <f t="array" ref="W37">计算得分(INDEX([1]Sheet1!$J:$J, MATCH(A37, [1]Sheet1!$B:$B,0)), 固定数据!AR34, 固定数据!AS34, 0.2, 2.5,0, 4)</f>
        <v>418.99</v>
      </c>
      <c r="X37" s="4" t="str" cm="1">
        <f t="array" ref="X37">计算得分(INDEX([1]Sheet1!$K:$K, MATCH(A37, [1]Sheet1!$B:$B,0)), 固定数据!AT34, 固定数据!AU34, 0.2, 1.5,1.5, 4)</f>
        <v>--</v>
      </c>
      <c r="Y37" s="4" cm="1">
        <f t="array" ref="Y37">计算得分(INDEX([1]Sheet1!$AA:$AA, MATCH(A37, [1]Sheet1!$B:$B,0)), 固定数据!AV34, 固定数据!AW34, 0.05, IF(固定数据!AV34&lt;&gt;"--",固定数据!AV34,0),0, 3)</f>
        <v>95</v>
      </c>
      <c r="Z37" s="4" t="str" cm="1">
        <f t="array" ref="Z37">计算得分(INDEX([1]Sheet1!$AB:$AB, MATCH(A37, [1]Sheet1!$B:$B,0)), 固定数据!AX34, 固定数据!AY34, 0.05, IF(固定数据!AX34&lt;&gt;"--",固定数据!AX34,0),0, 3)</f>
        <v>--</v>
      </c>
      <c r="AA37" s="4" cm="1">
        <f t="array" ref="AA37">计算得分(INDEX([1]Sheet1!$AC:$AC, MATCH(A37, [1]Sheet1!$B:$B,0)), 固定数据!AZ34, 固定数据!BA34, 0.04, IF(固定数据!AZ34&lt;&gt;"--",固定数据!AZ34,0),0, 3)</f>
        <v>100</v>
      </c>
      <c r="AB37" s="4" cm="1">
        <f t="array" ref="AB37">计算得分(INDEX([1]Sheet1!$AD:$AD, MATCH(A37, [1]Sheet1!$B:$B,0)), 固定数据!BB34, 固定数据!BC34, 0.03, IF(固定数据!BB34&lt;&gt;"--",固定数据!BB34,0),0, 3)</f>
        <v>100</v>
      </c>
      <c r="AC37" s="4" cm="1">
        <f t="array" ref="AC37">计算得分(INDEX([1]Sheet1!$AE:$AE, MATCH(A37, [1]Sheet1!$B:$B,0)), 固定数据!BD34, 固定数据!BE34, 0.04, IF(固定数据!BD34&lt;&gt;"--",固定数据!BD34,0),0, 3)</f>
        <v>100</v>
      </c>
      <c r="AD37" s="4" t="str" cm="1">
        <f t="array" ref="AD37">计算得分(INDEX([1]Sheet1!$L:$L, MATCH(A37, [1]Sheet1!$B:$B,0)), 固定数据!BF34, 固定数据!BG34, 0.1, 12.5,0, 3)</f>
        <v>--</v>
      </c>
      <c r="AE37" s="4" t="str" cm="1">
        <f t="array" ref="AE37">计算得分(INDEX([1]Sheet1!$N:$N, MATCH(A37, [1]Sheet1!$B:$B,0)), 固定数据!BH34, 固定数据!BI34, 0.2, 7,0, 0)</f>
        <v>--</v>
      </c>
      <c r="AF37" s="4" t="str" cm="1">
        <f t="array" ref="AF37">计算得分(INDEX([1]Sheet1!$Q:$Q, MATCH(A37, [1]Sheet1!$B:$B,0)), 固定数据!BJ34, 固定数据!BK34, 0.2, 7,0, 0)</f>
        <v>--</v>
      </c>
      <c r="AG37" s="4" t="str" cm="1">
        <f t="array" ref="AG37">计算得分(INDEX([1]Sheet1!$S:$S, MATCH(A37, [1]Sheet1!$B:$B,0)), 固定数据!BL34, 固定数据!BM34, 0.2, 20,0, 0)</f>
        <v>--</v>
      </c>
      <c r="AH37" s="4" t="str" cm="1">
        <f t="array" ref="AH37">计算得分(INDEX([1]Sheet1!$AF:$AF, MATCH(A37, [1]Sheet1!$B:$B,0)), 固定数据!BN34, 固定数据!BO34, 0.1, 10,0, 3)</f>
        <v>--</v>
      </c>
      <c r="AI37" s="4" cm="1">
        <f t="array" ref="AI37">计算得分(INDEX([1]Sheet1!$M:$M, MATCH(A37, [1]Sheet1!$B:$B,0)), 固定数据!BP34, 固定数据!BQ34, 0.15, 15,0, 3)</f>
        <v>55.45</v>
      </c>
      <c r="AJ37" s="4" cm="1">
        <f t="array" ref="AJ37">计算得分(INDEX([1]Sheet1!$Z:$Z, MATCH(A37, [1]Sheet1!$B:$B,0)), 固定数据!BR34, 固定数据!BS34, 10, 50,0, 0)</f>
        <v>0</v>
      </c>
      <c r="AK37" s="4" cm="1">
        <f t="array" ref="AK37">计算得分(INDEX([1]Sheet1!$O:$O, MATCH(A37, [1]Sheet1!$B:$B,0)), 固定数据!BT34, 固定数据!BU34, 0.2, 15,0, 0)</f>
        <v>1.53</v>
      </c>
      <c r="AL37" s="4" cm="1">
        <f t="array" ref="AL37">计算得分(INDEX([1]Sheet1!$R:$R, MATCH(A37, [1]Sheet1!$B:$B,0)), 固定数据!BV34, 固定数据!BW34, 0.2, 10,0, 0)</f>
        <v>1.81</v>
      </c>
      <c r="AM37" s="4" cm="1">
        <f t="array" ref="AM37">计算得分(INDEX([1]Sheet1!$T:$T, MATCH(A37, [1]Sheet1!$B:$B,0)), 固定数据!BX34, 固定数据!BY34, 0.2, 30,0, 0)</f>
        <v>101.22</v>
      </c>
      <c r="AN37" s="4" t="str" cm="1">
        <f t="array" ref="AN37">计算得分([3]Sheet1!$F$3, 固定数据!BZ34, 固定数据!CA34, 0.5, 15,0, 0)</f>
        <v>--</v>
      </c>
      <c r="AO37" s="4" t="str" cm="1">
        <f t="array" ref="AO37">计算得分([3]Sheet1!$G$3, 固定数据!CB34, 固定数据!CC34, 0.01, 5,0, 1)</f>
        <v>--</v>
      </c>
      <c r="AP37" s="4" t="str" cm="1">
        <f t="array" ref="AP37">计算得分([3]Sheet1!$H$3, 固定数据!CD34, 固定数据!CE34, 0.001, 5,0, 1)</f>
        <v>--</v>
      </c>
      <c r="AQ37" s="4" t="str" cm="1">
        <f t="array" ref="AQ37">计算得分([3]Sheet1!$D$3,固定数据!CF34,固定数据!CG34,0.05,5,0,3)</f>
        <v>--</v>
      </c>
      <c r="AR37" s="4" t="str" cm="1">
        <f t="array" ref="AR37">计算得分([3]Sheet1!$E$3,固定数据!CH34,固定数据!CI34,0.1,10,0,3)</f>
        <v>--</v>
      </c>
      <c r="AS37" s="8" t="s">
        <v>74</v>
      </c>
      <c r="AT37" s="4" t="str" cm="1">
        <f t="array" ref="AT37">计算得分(INDEX([3]Sheet1!$J:$J, MATCH(A37, [3]Sheet1!$B:$B,0)), 固定数据!CL34, 固定数据!CM34, 2, 0,-10, 0)</f>
        <v>--</v>
      </c>
      <c r="AU37" s="4" t="str" cm="1">
        <f t="array" ref="AU37">计算得分(INDEX([3]Sheet1!$K:$K, MATCH(A37, [3]Sheet1!$B:$B,0)), 固定数据!CN34, 固定数据!CO34, 3, 0,-10, 0)</f>
        <v>--</v>
      </c>
      <c r="AV37" s="4" t="str" cm="1">
        <f t="array" ref="AV37">计算得分(INDEX([3]Sheet1!$L:$L, MATCH(A37, [3]Sheet1!$B:$B,0)), 固定数据!CP34, 固定数据!CQ34, 3, 0,-10, 0)</f>
        <v>--</v>
      </c>
      <c r="AW37" s="4" t="str" cm="1">
        <f t="array" ref="AW37">计算得分(INDEX([3]Sheet1!$M:$M, MATCH(A37, [3]Sheet1!$B:$B,0)), 固定数据!CR34, 固定数据!CS34, 100, 0,-100, 0)</f>
        <v>--</v>
      </c>
      <c r="AX37" s="4" t="str" cm="1">
        <f t="array" ref="AX37">计算得分(INDEX([3]Sheet1!$N:$N, MATCH(A37, [3]Sheet1!$B:$B,0)), 固定数据!CT34, 固定数据!CU34, 3, 0,-10, 0)</f>
        <v>--</v>
      </c>
      <c r="AY37" s="8" t="s">
        <v>74</v>
      </c>
      <c r="AZ37" s="8" t="s">
        <v>74</v>
      </c>
      <c r="BA37" s="4" t="str">
        <f>IFERROR(VLOOKUP(A37,[4]KPI评分!B:C,2,FALSE)*60%,"--")</f>
        <v>--</v>
      </c>
    </row>
    <row r="38" spans="1:53" ht="24.75" customHeight="1" x14ac:dyDescent="0.25">
      <c r="A38" s="1" t="s">
        <v>106</v>
      </c>
      <c r="B38" s="2" t="str" cm="1">
        <f t="array" ref="B38">计算得分(INDEX([1]Sheet1!$W:$W, MATCH(A38, [1]Sheet1!$B:$B,0)), 固定数据!B35, 固定数据!C35, 0.5, 0,-10, 0)</f>
        <v>--</v>
      </c>
      <c r="C38" s="2" t="str" cm="1">
        <f t="array" ref="C38">计算得分(INDEX([1]Sheet1!$X:$X, MATCH(A38, [1]Sheet1!$B:$B,0)), 固定数据!D35, 固定数据!E35, 1, 0,-10, 0)</f>
        <v>--</v>
      </c>
      <c r="D38" s="2" t="str" cm="1">
        <f t="array" ref="D38">计算得分(INDEX([1]Sheet1!$Y:$Y, MATCH(A38, [1]Sheet1!$B:$B,0)), 固定数据!F35, 固定数据!G35, 2, 0,-10, 0)</f>
        <v>--</v>
      </c>
      <c r="E38" s="6" t="str" cm="1">
        <f t="array" ref="E38">计算得分(INDEX([1]Sheet1!$C:$C, MATCH(A38, [1]Sheet1!$B:$B,0)), 固定数据!H35, 固定数据!I35, 0.02, 10,0, 1)</f>
        <v>--</v>
      </c>
      <c r="F38" s="2" t="str" cm="1">
        <f t="array" ref="F38">计算得分(INDEX([1]Sheet1!$D:$D, MATCH(A38, [1]Sheet1!$B:$B,0)), 固定数据!J35, 固定数据!K35, 0, 0,0, 0)</f>
        <v>--</v>
      </c>
      <c r="G38" s="2" t="str" cm="1">
        <f t="array" ref="G38">计算得分(INDEX([1]Sheet1!$E:$E, MATCH(A38, [1]Sheet1!$B:$B,0)), 固定数据!L35, 固定数据!M35,  0.3, 3,0, 5)</f>
        <v>--</v>
      </c>
      <c r="H38" s="2" t="str" cm="1">
        <f t="array" ref="H38">计算得分(INDEX([1]Sheet1!$AG:$AG, MATCH(A38, [1]Sheet1!$B:$B,0)), 固定数据!N35, 固定数据!O35, 0.03, 3,0, 3)</f>
        <v>--</v>
      </c>
      <c r="I38" s="2" t="str" cm="1">
        <f t="array" ref="I38">计算得分(INDEX([1]Sheet1!$V:$V, MATCH(A38, [1]Sheet1!$B:$B,0)), 固定数据!P35, 固定数据!Q35, 1, 0,-100, 0)</f>
        <v>--</v>
      </c>
      <c r="J38" s="2" t="str" cm="1">
        <f t="array" ref="J38">计算得分(INDEX([1]Sheet1!$AI:$AI, MATCH(A38, [1]Sheet1!$B:$B,0)), 固定数据!R35, 固定数据!S35, 0.04, 12,0, 3)</f>
        <v>--</v>
      </c>
      <c r="K38" s="2" t="str" cm="1">
        <f t="array" ref="K38">计算得分(INDEX([1]Sheet1!$F:$F, MATCH(A38, [1]Sheet1!$B:$B,0)), 固定数据!T35, 固定数据!U35, 0.02, 3,0, 1)</f>
        <v>--</v>
      </c>
      <c r="L38" s="2" t="str" cm="1">
        <f t="array" ref="L38">计算得分(INDEX([1]Sheet1!$U:$U, MATCH(A38, [1]Sheet1!$B:$B,0)), 固定数据!V35, 固定数据!W35, 0.2, 20,0, 0)</f>
        <v>--</v>
      </c>
      <c r="M38" s="2" t="str" cm="1">
        <f t="array" ref="M38">计算得分(100, 固定数据!X35, 固定数据!Y35, 0, 5,0, 0)</f>
        <v>--</v>
      </c>
      <c r="N38" s="2" t="str" cm="1">
        <f t="array" ref="N38">计算得分(100, 固定数据!Z35, 固定数据!AA35, 0, 5,0, 0)</f>
        <v>--</v>
      </c>
      <c r="O38" s="2" t="str" cm="1">
        <f t="array" ref="O38">计算得分(100, 固定数据!AB35, 固定数据!AC35, 0, 7,0, 0)</f>
        <v>--</v>
      </c>
      <c r="P38" s="2" t="str" cm="1">
        <f t="array" ref="P38">计算得分(INDEX([1]Sheet1!$P:$P, MATCH(A38, [1]Sheet1!$B:$B,0)), 固定数据!AD35, 固定数据!AE35, 0.2, 7,0, 0)</f>
        <v>--</v>
      </c>
      <c r="Q38" s="2" t="str" cm="1">
        <f t="array" ref="Q38">计算得分(INDEX([1]Sheet1!$I:$I, MATCH(A38, [1]Sheet1!$B:$B,0)), 固定数据!AF35, 固定数据!AG35,0.2, IF(固定数据!AF35&lt;&gt;"--",固定数据!AF35,0),2, 5)</f>
        <v>--</v>
      </c>
      <c r="R38" s="2" t="str" cm="1">
        <f t="array" ref="R38">计算得分(INDEX([2]Sheet1!$AL:$AL, MATCH(A38, [2]Sheet1!$A:$A,0)), 固定数据!AH35, 固定数据!AI35, 0.02, 6,6, 1)</f>
        <v>--</v>
      </c>
      <c r="S38" s="2" t="str" cm="1">
        <f t="array" ref="S38">计算得分(INDEX([2]Sheet1!$I:$I, MATCH(A38, [2]Sheet1!$A:$A,0)), 固定数据!AJ35, 固定数据!AK35, 0.005, 6,0, 1)</f>
        <v>--</v>
      </c>
      <c r="T38" s="2" t="str" cm="1">
        <f t="array" ref="T38">计算得分(98, 固定数据!AL35, 固定数据!AM35, 0.03, IF(固定数据!AL35&lt;&gt;"--",固定数据!AL35,0),0, 3)</f>
        <v>--</v>
      </c>
      <c r="U38" s="2" t="str" cm="1">
        <f t="array" ref="U38">计算得分(INDEX([1]Sheet1!$G:$G, MATCH(A38, [1]Sheet1!$B:$B,0)), 固定数据!AN35, 固定数据!AO35, 0.5, 3,0, 0)</f>
        <v>--</v>
      </c>
      <c r="V38" s="2" t="str" cm="1">
        <f t="array" ref="V38">计算得分(INDEX([1]Sheet1!$H:$H, MATCH(A38, [1]Sheet1!$B:$B,0)), 固定数据!AP35, 固定数据!AQ35, 0.4, 5,0, 1)</f>
        <v>--</v>
      </c>
      <c r="W38" s="2" t="str" cm="1">
        <f t="array" ref="W38">计算得分(INDEX([1]Sheet1!$J:$J, MATCH(A38, [1]Sheet1!$B:$B,0)), 固定数据!AR35, 固定数据!AS35, 0.2, 2,2, 4)</f>
        <v>--</v>
      </c>
      <c r="X38" s="2" t="str" cm="1">
        <f t="array" ref="X38">计算得分(INDEX([1]Sheet1!$K:$K, MATCH(A38, [1]Sheet1!$B:$B,0)), 固定数据!AT35, 固定数据!AU35, 0.2, 1.5,1.5, 4)</f>
        <v>--</v>
      </c>
      <c r="Y38" s="2" t="str" cm="1">
        <f t="array" ref="Y38">计算得分(INDEX([1]Sheet1!$AA:$AA, MATCH(A38, [1]Sheet1!$B:$B,0)), 固定数据!AV35, 固定数据!AW35, 0.05, IF(固定数据!AV35&lt;&gt;"--",固定数据!AV35,0),0, 3)</f>
        <v>--</v>
      </c>
      <c r="Z38" s="2" t="str" cm="1">
        <f t="array" ref="Z38">计算得分(INDEX([1]Sheet1!$AB:$AB, MATCH(A38, [1]Sheet1!$B:$B,0)), 固定数据!AX35, 固定数据!AY35, 0.05, IF(固定数据!AX35&lt;&gt;"--",固定数据!AX35,0),0, 3)</f>
        <v>--</v>
      </c>
      <c r="AA38" s="2" t="str" cm="1">
        <f t="array" ref="AA38">计算得分(INDEX([1]Sheet1!$AC:$AC, MATCH(A38, [1]Sheet1!$B:$B,0)), 固定数据!AZ35, 固定数据!BA35, 0.04, IF(固定数据!AZ35&lt;&gt;"--",固定数据!AZ35,0),0, 3)</f>
        <v>--</v>
      </c>
      <c r="AB38" s="2" t="str" cm="1">
        <f t="array" ref="AB38">计算得分(INDEX([1]Sheet1!$AD:$AD, MATCH(A38, [1]Sheet1!$B:$B,0)), 固定数据!BB35, 固定数据!BC35, 0.03, IF(固定数据!BB35&lt;&gt;"--",固定数据!BB35,0),0, 3)</f>
        <v>--</v>
      </c>
      <c r="AC38" s="2" t="str" cm="1">
        <f t="array" ref="AC38">计算得分(INDEX([1]Sheet1!$AE:$AE, MATCH(A38, [1]Sheet1!$B:$B,0)), 固定数据!BD35, 固定数据!BE35, 0.04, IF(固定数据!BD35&lt;&gt;"--",固定数据!BD35,0),0, 3)</f>
        <v>--</v>
      </c>
      <c r="AD38" s="2" t="str" cm="1">
        <f t="array" ref="AD38">计算得分(INDEX([1]Sheet1!$L:$L, MATCH(A38, [1]Sheet1!$B:$B,0)), 固定数据!BF35, 固定数据!BG35, 0.1, 12.5,0, 3)</f>
        <v>--</v>
      </c>
      <c r="AE38" s="2" t="str" cm="1">
        <f t="array" ref="AE38">计算得分(INDEX([1]Sheet1!$N:$N, MATCH(A38, [1]Sheet1!$B:$B,0)), 固定数据!BH35, 固定数据!BI35, 0.2, 7,0, 0)</f>
        <v>--</v>
      </c>
      <c r="AF38" s="2" t="str" cm="1">
        <f t="array" ref="AF38">计算得分(INDEX([1]Sheet1!$Q:$Q, MATCH(A38, [1]Sheet1!$B:$B,0)), 固定数据!BJ35, 固定数据!BK35, 0.2, 7,0, 0)</f>
        <v>--</v>
      </c>
      <c r="AG38" s="2" t="str" cm="1">
        <f t="array" ref="AG38">计算得分(INDEX([1]Sheet1!$S:$S, MATCH(A38, [1]Sheet1!$B:$B,0)), 固定数据!BL35, 固定数据!BM35, 0.2, 20,0, 0)</f>
        <v>--</v>
      </c>
      <c r="AH38" s="6" t="str" cm="1">
        <f t="array" ref="AH38">计算得分(INDEX([1]Sheet1!$AF:$AF, MATCH(A38, [1]Sheet1!$B:$B,0)), 固定数据!BN35, 固定数据!BO35, 0.1, 10,0, 3)</f>
        <v>--</v>
      </c>
      <c r="AI38" s="2" t="str" cm="1">
        <f t="array" ref="AI38">计算得分(INDEX([1]Sheet1!$M:$M, MATCH(A38, [1]Sheet1!$B:$B,0)), 固定数据!BP35, 固定数据!BQ35, 0.2, 20,0, 3)</f>
        <v>--</v>
      </c>
      <c r="AJ38" s="2" t="str" cm="1">
        <f t="array" ref="AJ38">计算得分(INDEX([1]Sheet1!$Z:$Z, MATCH(A38, [1]Sheet1!$B:$B,0)), 固定数据!BR35, 固定数据!BS35, 10, 50,0, 0)</f>
        <v>--</v>
      </c>
      <c r="AK38" s="2" t="str" cm="1">
        <f t="array" ref="AK38">计算得分(INDEX([1]Sheet1!$O:$O, MATCH(A38, [1]Sheet1!$B:$B,0)), 固定数据!BT35, 固定数据!BU35, 0.2, 15,0, 0)</f>
        <v>--</v>
      </c>
      <c r="AL38" s="2" t="str" cm="1">
        <f t="array" ref="AL38">计算得分(INDEX([1]Sheet1!$R:$R, MATCH(A38, [1]Sheet1!$B:$B,0)), 固定数据!BV35, 固定数据!BW35, 0.2, 10,0, 0)</f>
        <v>--</v>
      </c>
      <c r="AM38" s="2" t="str" cm="1">
        <f t="array" ref="AM38">计算得分(INDEX([1]Sheet1!$T:$T, MATCH(A38, [1]Sheet1!$B:$B,0)), 固定数据!BX35, 固定数据!BY35, 0.2, 20,0, 0)</f>
        <v>--</v>
      </c>
      <c r="AN38" s="2" t="str" cm="1">
        <f t="array" ref="AN38">计算得分([3]Sheet1!$F$3, 固定数据!BZ35, 固定数据!CA35, 0.5, 15,0, 0)</f>
        <v>--</v>
      </c>
      <c r="AO38" s="6" t="str" cm="1">
        <f t="array" ref="AO38">计算得分([3]Sheet1!$G$3, 固定数据!CB35, 固定数据!CC35, 0.01, 5,0, 1)</f>
        <v>--</v>
      </c>
      <c r="AP38" s="6" t="str" cm="1">
        <f t="array" ref="AP38">计算得分([3]Sheet1!$H$3, 固定数据!CD35, 固定数据!CE35, 0.001, 5,0, 1)</f>
        <v>--</v>
      </c>
      <c r="AQ38" s="6" t="str" cm="1">
        <f t="array" ref="AQ38">计算得分([3]Sheet1!$D$3,固定数据!CF35,固定数据!CG35,0.05,5,0,3)</f>
        <v>--</v>
      </c>
      <c r="AR38" s="6" t="str" cm="1">
        <f t="array" ref="AR38">计算得分([3]Sheet1!$E$3,固定数据!CH35,固定数据!CI35,0.1,10,0,3)</f>
        <v>--</v>
      </c>
      <c r="AS38" s="7" t="s">
        <v>74</v>
      </c>
      <c r="AT38" s="6" t="str" cm="1">
        <f t="array" ref="AT38">计算得分(INDEX([3]Sheet1!$J:$J, MATCH(A38, [3]Sheet1!$B:$B,0)), 固定数据!CL35, 固定数据!CM35, 2, 0,-10, 0)</f>
        <v>--</v>
      </c>
      <c r="AU38" s="2" t="str" cm="1">
        <f t="array" ref="AU38">计算得分(INDEX([3]Sheet1!$K:$K, MATCH(A38, [3]Sheet1!$B:$B,0)), 固定数据!CN35, 固定数据!CO35, 3, 0,-10, 0)</f>
        <v>--</v>
      </c>
      <c r="AV38" s="2" t="str" cm="1">
        <f t="array" ref="AV38">计算得分(INDEX([3]Sheet1!$L:$L, MATCH(A38, [3]Sheet1!$B:$B,0)), 固定数据!CP35, 固定数据!CQ35, 3, 0,-10, 0)</f>
        <v>--</v>
      </c>
      <c r="AW38" s="2" t="str" cm="1">
        <f t="array" ref="AW38">计算得分(INDEX([3]Sheet1!$M:$M, MATCH(A38, [3]Sheet1!$B:$B,0)), 固定数据!CR35, 固定数据!CS35, 100, 0,-100, 0)</f>
        <v>--</v>
      </c>
      <c r="AX38" s="2" t="str" cm="1">
        <f t="array" ref="AX38">计算得分(INDEX([3]Sheet1!$N:$N, MATCH(A38, [3]Sheet1!$B:$B,0)), 固定数据!CT35, 固定数据!CU35, 3, 0,-10, 0)</f>
        <v>--</v>
      </c>
      <c r="AY38" s="7" t="s">
        <v>74</v>
      </c>
      <c r="AZ38" s="7" t="s">
        <v>74</v>
      </c>
      <c r="BA38" s="2" t="str">
        <f>IFERROR(VLOOKUP(A38,[4]KPI评分!B:C,2,FALSE)*60%,"--")</f>
        <v>--</v>
      </c>
    </row>
    <row r="39" spans="1:53" ht="24.75" customHeight="1" x14ac:dyDescent="0.25">
      <c r="A39" s="3" t="s">
        <v>107</v>
      </c>
      <c r="B39" s="4" cm="1">
        <f t="array" ref="B39">计算得分(INDEX([1]Sheet1!$W:$W, MATCH(A39, [1]Sheet1!$B:$B,0)), 固定数据!B36, 固定数据!C36, 0.5, 0,-10, 0)</f>
        <v>0</v>
      </c>
      <c r="C39" s="4" cm="1">
        <f t="array" ref="C39">计算得分(INDEX([1]Sheet1!$X:$X, MATCH(A39, [1]Sheet1!$B:$B,0)), 固定数据!D36, 固定数据!E36, 1, 0,-10, 0)</f>
        <v>0</v>
      </c>
      <c r="D39" s="4" cm="1">
        <f t="array" ref="D39">计算得分(INDEX([1]Sheet1!$Y:$Y, MATCH(A39, [1]Sheet1!$B:$B,0)), 固定数据!F36, 固定数据!G36, 2, 0,-10, 0)</f>
        <v>0</v>
      </c>
      <c r="E39" s="4" t="str" cm="1">
        <f t="array" ref="E39">计算得分(INDEX([1]Sheet1!$C:$C, MATCH(A39, [1]Sheet1!$B:$B,0)), 固定数据!H36, 固定数据!I36, 0.02, 10,0, 1)</f>
        <v>--</v>
      </c>
      <c r="F39" s="4" t="str" cm="1">
        <f t="array" ref="F39">计算得分(INDEX([1]Sheet1!$D:$D, MATCH(A39, [1]Sheet1!$B:$B,0)), 固定数据!J36, 固定数据!K36, 0, 0,0, 0)</f>
        <v>--</v>
      </c>
      <c r="G39" s="4" cm="1">
        <f t="array" ref="G39">计算得分(INDEX([1]Sheet1!$E:$E, MATCH(A39, [1]Sheet1!$B:$B,0)), 固定数据!L36, 固定数据!M36, 0.3, 3,0, 5)</f>
        <v>89325.63</v>
      </c>
      <c r="H39" s="4" cm="1">
        <f t="array" ref="H39">计算得分(INDEX([1]Sheet1!$AG:$AG, MATCH(A39, [1]Sheet1!$B:$B,0)), 固定数据!N36, 固定数据!O36, 0.03, 3,0, 3)</f>
        <v>100</v>
      </c>
      <c r="I39" s="4" cm="1">
        <f t="array" ref="I39">计算得分(INDEX([1]Sheet1!$V:$V, MATCH(A39, [1]Sheet1!$B:$B,0)), 固定数据!P36, 固定数据!Q36, 1, 0,-100, 0)</f>
        <v>0</v>
      </c>
      <c r="J39" s="4" t="str" cm="1">
        <f t="array" ref="J39">计算得分(INDEX([1]Sheet1!$AI:$AI, MATCH(A39, [1]Sheet1!$B:$B,0)), 固定数据!R36, 固定数据!S36, 0.04, 12,0, 3)</f>
        <v>--</v>
      </c>
      <c r="K39" s="4" cm="1">
        <f t="array" ref="K39">计算得分(INDEX([1]Sheet1!$F:$F, MATCH(A39, [1]Sheet1!$B:$B,0)), 固定数据!T36, 固定数据!U36, 0.02, 3,0, 1)</f>
        <v>35.799999999999997</v>
      </c>
      <c r="L39" s="4" t="str" cm="1">
        <f t="array" ref="L39">计算得分(INDEX([1]Sheet1!$U:$U, MATCH(A39, [1]Sheet1!$B:$B,0)), 固定数据!V36, 固定数据!W36, 0.2, 20,0, 0)</f>
        <v>--</v>
      </c>
      <c r="M39" s="4" t="str" cm="1">
        <f t="array" ref="M39">计算得分(100, 固定数据!X36, 固定数据!Y36, 0, 5,0, 0)</f>
        <v>--</v>
      </c>
      <c r="N39" s="4" t="str" cm="1">
        <f t="array" ref="N39">计算得分(100, 固定数据!Z36, 固定数据!AA36, 0, 5,0, 0)</f>
        <v>--</v>
      </c>
      <c r="O39" s="4" t="str" cm="1">
        <f t="array" ref="O39">计算得分(100, 固定数据!AB36, 固定数据!AC36, 0, 7,0, 0)</f>
        <v>--</v>
      </c>
      <c r="P39" s="4" t="str" cm="1">
        <f t="array" ref="P39">计算得分(INDEX([1]Sheet1!$P:$P, MATCH(A39, [1]Sheet1!$B:$B,0)), 固定数据!AD36, 固定数据!AE36, 0.2, 7,0, 0)</f>
        <v>--</v>
      </c>
      <c r="Q39" s="4" cm="1">
        <f t="array" ref="Q39">计算得分(INDEX([1]Sheet1!$I:$I, MATCH(A39, [1]Sheet1!$B:$B,0)), 固定数据!AF36, 固定数据!AG36,0.2, IF(固定数据!AF36&lt;&gt;"--",固定数据!AF36,0),0, 5)</f>
        <v>320.45</v>
      </c>
      <c r="R39" s="4" cm="1">
        <f t="array" ref="R39">计算得分(INDEX([2]Sheet1!$AL:$AL, MATCH(A39, [2]Sheet1!$A:$A,0)), 固定数据!AH36, 固定数据!AI36, 0.02, 6,0, 1)</f>
        <v>262</v>
      </c>
      <c r="S39" s="4" cm="1">
        <f t="array" ref="S39">计算得分(INDEX([2]Sheet1!$I:$I, MATCH(A39, [2]Sheet1!$A:$A,0)), 固定数据!AJ36, 固定数据!AK36, 0.005, 6,0, 1)</f>
        <v>439</v>
      </c>
      <c r="T39" s="4" cm="1">
        <f t="array" ref="T39">计算得分(98, 固定数据!AL36, 固定数据!AM36, 0.03, IF(固定数据!AL36&lt;&gt;"--",固定数据!AL36,0),0, 3)</f>
        <v>98</v>
      </c>
      <c r="U39" s="4" cm="1">
        <f t="array" ref="U39">计算得分(INDEX([1]Sheet1!$G:$G, MATCH(A39, [1]Sheet1!$B:$B,0)), 固定数据!AN36, 固定数据!AO36, 0.5, 3,0, 0)</f>
        <v>2.73</v>
      </c>
      <c r="V39" s="4" cm="1">
        <f t="array" ref="V39">计算得分(INDEX([1]Sheet1!$H:$H, MATCH(A39, [1]Sheet1!$B:$B,0)), 固定数据!AP36, 固定数据!AQ36, 0.4, 5,0, 1)</f>
        <v>13.1</v>
      </c>
      <c r="W39" s="4" cm="1">
        <f t="array" ref="W39">计算得分(INDEX([1]Sheet1!$J:$J, MATCH(A39, [1]Sheet1!$B:$B,0)), 固定数据!AR36, 固定数据!AS36, 0.2, 2,0, 4)</f>
        <v>320.45</v>
      </c>
      <c r="X39" s="4" cm="1">
        <f t="array" ref="X39">计算得分(INDEX([1]Sheet1!$K:$K, MATCH(A39, [1]Sheet1!$B:$B,0)), 固定数据!AT36, 固定数据!AU36, 0.2, 1.5,0, 4)</f>
        <v>5100.75</v>
      </c>
      <c r="Y39" s="4" cm="1">
        <f t="array" ref="Y39">计算得分(INDEX([1]Sheet1!$AA:$AA, MATCH(A39, [1]Sheet1!$B:$B,0)), 固定数据!AV36, 固定数据!AW36, 0.05, IF(固定数据!AV36&lt;&gt;"--",固定数据!AV36,0),0, 3)</f>
        <v>92</v>
      </c>
      <c r="Z39" s="4" cm="1">
        <f t="array" ref="Z39">计算得分(INDEX([1]Sheet1!$AB:$AB, MATCH(A39, [1]Sheet1!$B:$B,0)), 固定数据!AX36, 固定数据!AY36, 0.05, IF(固定数据!AX36&lt;&gt;"--",固定数据!AX36,0),0, 3)</f>
        <v>96.5</v>
      </c>
      <c r="AA39" s="4" cm="1">
        <f t="array" ref="AA39">计算得分(INDEX([1]Sheet1!$AC:$AC, MATCH(A39, [1]Sheet1!$B:$B,0)), 固定数据!AZ36, 固定数据!BA36, 0.04, IF(固定数据!AZ36&lt;&gt;"--",固定数据!AZ36,0),0, 3)</f>
        <v>97</v>
      </c>
      <c r="AB39" s="4" cm="1">
        <f t="array" ref="AB39">计算得分(INDEX([1]Sheet1!$AD:$AD, MATCH(A39, [1]Sheet1!$B:$B,0)), 固定数据!BB36, 固定数据!BC36, 0.03, IF(固定数据!BB36&lt;&gt;"--",固定数据!BB36,0),0, 3)</f>
        <v>100</v>
      </c>
      <c r="AC39" s="4" cm="1">
        <f t="array" ref="AC39">计算得分(INDEX([1]Sheet1!$AE:$AE, MATCH(A39, [1]Sheet1!$B:$B,0)), 固定数据!BD36, 固定数据!BE36, 0.04, IF(固定数据!BD36&lt;&gt;"--",固定数据!BD36,0),0, 3)</f>
        <v>95.53</v>
      </c>
      <c r="AD39" s="4" cm="1">
        <f t="array" ref="AD39">计算得分(INDEX([1]Sheet1!$L:$L, MATCH(A39, [1]Sheet1!$B:$B,0)), 固定数据!BF36, 固定数据!BG36, 0.1, 12.5,0, 3)</f>
        <v>2255.54</v>
      </c>
      <c r="AE39" s="4" cm="1">
        <f t="array" ref="AE39">计算得分(INDEX([1]Sheet1!$N:$N, MATCH(A39, [1]Sheet1!$B:$B,0)), 固定数据!BH36, 固定数据!BI36, 0.2, 7,0, 0)</f>
        <v>3.12</v>
      </c>
      <c r="AF39" s="4" cm="1">
        <f t="array" ref="AF39">计算得分(INDEX([1]Sheet1!$Q:$Q, MATCH(A39, [1]Sheet1!$B:$B,0)), 固定数据!BJ36, 固定数据!BK36, 0.2, 7,0, 0)</f>
        <v>36.1</v>
      </c>
      <c r="AG39" s="4" cm="1">
        <f t="array" ref="AG39">计算得分(INDEX([1]Sheet1!$S:$S, MATCH(A39, [1]Sheet1!$B:$B,0)), 固定数据!BL36, 固定数据!BM36, 0.2, 20,0, 0)</f>
        <v>69.38</v>
      </c>
      <c r="AH39" s="4" t="str" cm="1">
        <f t="array" ref="AH39">计算得分(INDEX([1]Sheet1!$AF:$AF, MATCH(A39, [1]Sheet1!$B:$B,0)), 固定数据!BN36, 固定数据!BO36, 0.1, 10,0, 3)</f>
        <v>--</v>
      </c>
      <c r="AI39" s="4" t="str" cm="1">
        <f t="array" ref="AI39">计算得分(INDEX([1]Sheet1!$M:$M, MATCH(A39, [1]Sheet1!$B:$B,0)), 固定数据!BP36, 固定数据!BQ36, 0.2, 20,0, 3)</f>
        <v>--</v>
      </c>
      <c r="AJ39" s="4" cm="1">
        <f t="array" ref="AJ39">计算得分(INDEX([1]Sheet1!$Z:$Z, MATCH(A39, [1]Sheet1!$B:$B,0)), 固定数据!BR36, 固定数据!BS36, 10, 50,0, 0)</f>
        <v>0</v>
      </c>
      <c r="AK39" s="4" t="str" cm="1">
        <f t="array" ref="AK39">计算得分(INDEX([1]Sheet1!$O:$O, MATCH(A39, [1]Sheet1!$B:$B,0)), 固定数据!BT36, 固定数据!BU36, 0.2, 15,0, 0)</f>
        <v>--</v>
      </c>
      <c r="AL39" s="4" t="str" cm="1">
        <f t="array" ref="AL39">计算得分(INDEX([1]Sheet1!$R:$R, MATCH(A39, [1]Sheet1!$B:$B,0)), 固定数据!BV36, 固定数据!BW36, 0.2, 10,0, 0)</f>
        <v>--</v>
      </c>
      <c r="AM39" s="4" t="str" cm="1">
        <f t="array" ref="AM39">计算得分(INDEX([1]Sheet1!$T:$T, MATCH(A39, [1]Sheet1!$B:$B,0)), 固定数据!BX36, 固定数据!BY36, 0.2, 20,0, 0)</f>
        <v>--</v>
      </c>
      <c r="AN39" s="4" t="str" cm="1">
        <f t="array" ref="AN39">计算得分([3]Sheet1!$F$3, 固定数据!BZ36, 固定数据!CA36, 0.5, 15,0, 0)</f>
        <v>--</v>
      </c>
      <c r="AO39" s="4" t="str" cm="1">
        <f t="array" ref="AO39">计算得分([3]Sheet1!$G$3, 固定数据!CB36, 固定数据!CC36, 0.01, 5,0, 1)</f>
        <v>--</v>
      </c>
      <c r="AP39" s="4" t="str" cm="1">
        <f t="array" ref="AP39">计算得分([3]Sheet1!$H$3, 固定数据!CD36, 固定数据!CE36, 0.001, 5,0, 1)</f>
        <v>--</v>
      </c>
      <c r="AQ39" s="4" t="str" cm="1">
        <f t="array" ref="AQ39">计算得分([3]Sheet1!$D$3,固定数据!CF36,固定数据!CG36,0.05,5,0,3)</f>
        <v>--</v>
      </c>
      <c r="AR39" s="4" t="str" cm="1">
        <f t="array" ref="AR39">计算得分([3]Sheet1!$E$3,固定数据!CH36,固定数据!CI36,0.1,10,0,3)</f>
        <v>--</v>
      </c>
      <c r="AS39" s="8" t="s">
        <v>74</v>
      </c>
      <c r="AT39" s="4" t="str" cm="1">
        <f t="array" ref="AT39">计算得分(INDEX([3]Sheet1!$J:$J, MATCH(A39, [3]Sheet1!$B:$B,0)), 固定数据!CL36, 固定数据!CM36, 2, 0,-10, 0)</f>
        <v>--</v>
      </c>
      <c r="AU39" s="4" t="str" cm="1">
        <f t="array" ref="AU39">计算得分(INDEX([3]Sheet1!$K:$K, MATCH(A39, [3]Sheet1!$B:$B,0)), 固定数据!CN36, 固定数据!CO36, 3, 0,-10, 0)</f>
        <v>--</v>
      </c>
      <c r="AV39" s="4" t="str" cm="1">
        <f t="array" ref="AV39">计算得分(INDEX([3]Sheet1!$L:$L, MATCH(A39, [3]Sheet1!$B:$B,0)), 固定数据!CP36, 固定数据!CQ36, 3, 0,-10, 0)</f>
        <v>--</v>
      </c>
      <c r="AW39" s="4" t="str" cm="1">
        <f t="array" ref="AW39">计算得分(INDEX([3]Sheet1!$M:$M, MATCH(A39, [3]Sheet1!$B:$B,0)), 固定数据!CR36, 固定数据!CS36, 100, 0,-100, 0)</f>
        <v>--</v>
      </c>
      <c r="AX39" s="4" t="str" cm="1">
        <f t="array" ref="AX39">计算得分(INDEX([3]Sheet1!$N:$N, MATCH(A39, [3]Sheet1!$B:$B,0)), 固定数据!CT36, 固定数据!CU36, 3, 0,-10, 0)</f>
        <v>--</v>
      </c>
      <c r="AY39" s="8" t="s">
        <v>74</v>
      </c>
      <c r="AZ39" s="8" t="s">
        <v>74</v>
      </c>
      <c r="BA39" s="4" t="str">
        <f>IFERROR(VLOOKUP(A39,[4]KPI评分!B:C,2,FALSE)*60%,"--")</f>
        <v>--</v>
      </c>
    </row>
    <row r="40" spans="1:53" ht="24.75" customHeight="1" x14ac:dyDescent="0.25">
      <c r="A40" s="1" t="s">
        <v>108</v>
      </c>
      <c r="B40" s="2" t="str" cm="1">
        <f t="array" ref="B40">计算得分(INDEX([1]Sheet1!$W:$W, MATCH(A40, [1]Sheet1!$B:$B,0)), 固定数据!B37, 固定数据!C37, 0.5, 0,-10, 0)</f>
        <v>--</v>
      </c>
      <c r="C40" s="2" t="str" cm="1">
        <f t="array" ref="C40">计算得分(INDEX([1]Sheet1!$X:$X, MATCH(A40, [1]Sheet1!$B:$B,0)), 固定数据!D37, 固定数据!E37, 1, 0,-10, 0)</f>
        <v>--</v>
      </c>
      <c r="D40" s="2" t="str" cm="1">
        <f t="array" ref="D40">计算得分(INDEX([1]Sheet1!$Y:$Y, MATCH(A40, [1]Sheet1!$B:$B,0)), 固定数据!F37, 固定数据!G37, 2, 0,-10, 0)</f>
        <v>--</v>
      </c>
      <c r="E40" s="6" t="str" cm="1">
        <f t="array" ref="E40">计算得分(INDEX([1]Sheet1!$C:$C, MATCH(A40, [1]Sheet1!$B:$B,0)), 固定数据!H37, 固定数据!I37, 0.02, 10,0, 1)</f>
        <v>--</v>
      </c>
      <c r="F40" s="2" t="str" cm="1">
        <f t="array" ref="F40">计算得分(INDEX([1]Sheet1!$D:$D, MATCH(A40, [1]Sheet1!$B:$B,0)), 固定数据!J37, 固定数据!K37, 0, 0,0, 0)</f>
        <v>--</v>
      </c>
      <c r="G40" s="2" t="str" cm="1">
        <f t="array" ref="G40">计算得分(INDEX([1]Sheet1!$E:$E, MATCH(A40, [1]Sheet1!$B:$B,0)), 固定数据!L37, 固定数据!M37,  0.3, 3,0, 5)</f>
        <v>--</v>
      </c>
      <c r="H40" s="2" t="str" cm="1">
        <f t="array" ref="H40">计算得分(INDEX([1]Sheet1!$AG:$AG, MATCH(A40, [1]Sheet1!$B:$B,0)), 固定数据!N37, 固定数据!O37, 0.03, 3,0, 3)</f>
        <v>--</v>
      </c>
      <c r="I40" s="2" t="str" cm="1">
        <f t="array" ref="I40">计算得分(INDEX([1]Sheet1!$V:$V, MATCH(A40, [1]Sheet1!$B:$B,0)), 固定数据!P37, 固定数据!Q37, 1, 0,-100, 0)</f>
        <v>--</v>
      </c>
      <c r="J40" s="2" t="str" cm="1">
        <f t="array" ref="J40">计算得分(INDEX([1]Sheet1!$AI:$AI, MATCH(A40, [1]Sheet1!$B:$B,0)), 固定数据!R37, 固定数据!S37, 0.04, 12,0, 3)</f>
        <v>--</v>
      </c>
      <c r="K40" s="2" t="str" cm="1">
        <f t="array" ref="K40">计算得分(INDEX([1]Sheet1!$F:$F, MATCH(A40, [1]Sheet1!$B:$B,0)), 固定数据!T37, 固定数据!U37, 0.02, 3,0, 1)</f>
        <v>--</v>
      </c>
      <c r="L40" s="2" t="str" cm="1">
        <f t="array" ref="L40">计算得分(INDEX([1]Sheet1!$U:$U, MATCH(A40, [1]Sheet1!$B:$B,0)), 固定数据!V37, 固定数据!W37, 0.2, 20,0, 0)</f>
        <v>--</v>
      </c>
      <c r="M40" s="2" t="str" cm="1">
        <f t="array" ref="M40">计算得分(100, 固定数据!X37, 固定数据!Y37, 0, 5,0, 0)</f>
        <v>--</v>
      </c>
      <c r="N40" s="2" t="str" cm="1">
        <f t="array" ref="N40">计算得分(100, 固定数据!Z37, 固定数据!AA37, 0, 5,0, 0)</f>
        <v>--</v>
      </c>
      <c r="O40" s="2" t="str" cm="1">
        <f t="array" ref="O40">计算得分(100, 固定数据!AB37, 固定数据!AC37, 0, 7,0, 0)</f>
        <v>--</v>
      </c>
      <c r="P40" s="2" t="str" cm="1">
        <f t="array" ref="P40">计算得分(INDEX([1]Sheet1!$P:$P, MATCH(A40, [1]Sheet1!$B:$B,0)), 固定数据!AD37, 固定数据!AE37, 0.2, 7,0, 0)</f>
        <v>--</v>
      </c>
      <c r="Q40" s="2" t="str" cm="1">
        <f t="array" ref="Q40">计算得分(INDEX([1]Sheet1!$I:$I, MATCH(A40, [1]Sheet1!$B:$B,0)), 固定数据!AF37, 固定数据!AG37,0.2, IF(固定数据!AF37&lt;&gt;"--",固定数据!AF37,0),2, 5)</f>
        <v>--</v>
      </c>
      <c r="R40" s="2" t="str" cm="1">
        <f t="array" ref="R40">计算得分(INDEX([2]Sheet1!$AL:$AL, MATCH(A40, [2]Sheet1!$A:$A,0)), 固定数据!AH37, 固定数据!AI37, 0.02, 6,6, 1)</f>
        <v>--</v>
      </c>
      <c r="S40" s="2" t="str" cm="1">
        <f t="array" ref="S40">计算得分(INDEX([2]Sheet1!$I:$I, MATCH(A40, [2]Sheet1!$A:$A,0)), 固定数据!AJ37, 固定数据!AK37, 0.005, 6,0, 1)</f>
        <v>--</v>
      </c>
      <c r="T40" s="2" t="str" cm="1">
        <f t="array" ref="T40">计算得分(98, 固定数据!AL37, 固定数据!AM37, 0.03, IF(固定数据!AL37&lt;&gt;"--",固定数据!AL37,0),0, 3)</f>
        <v>--</v>
      </c>
      <c r="U40" s="2" t="str" cm="1">
        <f t="array" ref="U40">计算得分(INDEX([1]Sheet1!$G:$G, MATCH(A40, [1]Sheet1!$B:$B,0)), 固定数据!AN37, 固定数据!AO37, 0.5, 3,0, 0)</f>
        <v>--</v>
      </c>
      <c r="V40" s="2" t="str" cm="1">
        <f t="array" ref="V40">计算得分(INDEX([1]Sheet1!$H:$H, MATCH(A40, [1]Sheet1!$B:$B,0)), 固定数据!AP37, 固定数据!AQ37, 0.4, 5,0, 1)</f>
        <v>--</v>
      </c>
      <c r="W40" s="2" t="str" cm="1">
        <f t="array" ref="W40">计算得分(INDEX([1]Sheet1!$J:$J, MATCH(A40, [1]Sheet1!$B:$B,0)), 固定数据!AR37, 固定数据!AS37, 0.2, 2,2, 4)</f>
        <v>--</v>
      </c>
      <c r="X40" s="2" t="str" cm="1">
        <f t="array" ref="X40">计算得分(INDEX([1]Sheet1!$K:$K, MATCH(A40, [1]Sheet1!$B:$B,0)), 固定数据!AT37, 固定数据!AU37, 0.2, 1.5,1.5, 4)</f>
        <v>--</v>
      </c>
      <c r="Y40" s="2" t="str" cm="1">
        <f t="array" ref="Y40">计算得分(INDEX([1]Sheet1!$AA:$AA, MATCH(A40, [1]Sheet1!$B:$B,0)), 固定数据!AV37, 固定数据!AW37, 0.05, IF(固定数据!AV37&lt;&gt;"--",固定数据!AV37,0),0, 3)</f>
        <v>--</v>
      </c>
      <c r="Z40" s="2" t="str" cm="1">
        <f t="array" ref="Z40">计算得分(INDEX([1]Sheet1!$AB:$AB, MATCH(A40, [1]Sheet1!$B:$B,0)), 固定数据!AX37, 固定数据!AY37, 0.05, IF(固定数据!AX37&lt;&gt;"--",固定数据!AX37,0),0, 3)</f>
        <v>--</v>
      </c>
      <c r="AA40" s="2" t="str" cm="1">
        <f t="array" ref="AA40">计算得分(INDEX([1]Sheet1!$AC:$AC, MATCH(A40, [1]Sheet1!$B:$B,0)), 固定数据!AZ37, 固定数据!BA37, 0.04, IF(固定数据!AZ37&lt;&gt;"--",固定数据!AZ37,0),0, 3)</f>
        <v>--</v>
      </c>
      <c r="AB40" s="2" t="str" cm="1">
        <f t="array" ref="AB40">计算得分(INDEX([1]Sheet1!$AD:$AD, MATCH(A40, [1]Sheet1!$B:$B,0)), 固定数据!BB37, 固定数据!BC37, 0.03, IF(固定数据!BB37&lt;&gt;"--",固定数据!BB37,0),0, 3)</f>
        <v>--</v>
      </c>
      <c r="AC40" s="2" t="str" cm="1">
        <f t="array" ref="AC40">计算得分(INDEX([1]Sheet1!$AE:$AE, MATCH(A40, [1]Sheet1!$B:$B,0)), 固定数据!BD37, 固定数据!BE37, 0.04, IF(固定数据!BD37&lt;&gt;"--",固定数据!BD37,0),0, 3)</f>
        <v>--</v>
      </c>
      <c r="AD40" s="2" t="str" cm="1">
        <f t="array" ref="AD40">计算得分(INDEX([1]Sheet1!$L:$L, MATCH(A40, [1]Sheet1!$B:$B,0)), 固定数据!BF37, 固定数据!BG37, 0.1, 12.5,0, 3)</f>
        <v>--</v>
      </c>
      <c r="AE40" s="2" t="str" cm="1">
        <f t="array" ref="AE40">计算得分(INDEX([1]Sheet1!$N:$N, MATCH(A40, [1]Sheet1!$B:$B,0)), 固定数据!BH37, 固定数据!BI37, 0.2, 7,0, 0)</f>
        <v>--</v>
      </c>
      <c r="AF40" s="2" t="str" cm="1">
        <f t="array" ref="AF40">计算得分(INDEX([1]Sheet1!$Q:$Q, MATCH(A40, [1]Sheet1!$B:$B,0)), 固定数据!BJ37, 固定数据!BK37, 0.2, 7,0, 0)</f>
        <v>--</v>
      </c>
      <c r="AG40" s="2" t="str" cm="1">
        <f t="array" ref="AG40">计算得分(INDEX([1]Sheet1!$S:$S, MATCH(A40, [1]Sheet1!$B:$B,0)), 固定数据!BL37, 固定数据!BM37, 0.2, 20,0, 0)</f>
        <v>--</v>
      </c>
      <c r="AH40" s="6" t="str" cm="1">
        <f t="array" ref="AH40">计算得分(INDEX([1]Sheet1!$AF:$AF, MATCH(A40, [1]Sheet1!$B:$B,0)), 固定数据!BN37, 固定数据!BO37, 0.1, 10,0, 3)</f>
        <v>--</v>
      </c>
      <c r="AI40" s="2" t="str" cm="1">
        <f t="array" ref="AI40">计算得分(INDEX([1]Sheet1!$M:$M, MATCH(A40, [1]Sheet1!$B:$B,0)), 固定数据!BP37, 固定数据!BQ37, 0.2, 20,0, 3)</f>
        <v>--</v>
      </c>
      <c r="AJ40" s="2" t="str" cm="1">
        <f t="array" ref="AJ40">计算得分(INDEX([1]Sheet1!$Z:$Z, MATCH(A40, [1]Sheet1!$B:$B,0)), 固定数据!BR37, 固定数据!BS37, 10, 50,0, 0)</f>
        <v>--</v>
      </c>
      <c r="AK40" s="2" t="str" cm="1">
        <f t="array" ref="AK40">计算得分(INDEX([1]Sheet1!$O:$O, MATCH(A40, [1]Sheet1!$B:$B,0)), 固定数据!BT37, 固定数据!BU37, 0.2, 15,0, 0)</f>
        <v>--</v>
      </c>
      <c r="AL40" s="2" t="str" cm="1">
        <f t="array" ref="AL40">计算得分(INDEX([1]Sheet1!$R:$R, MATCH(A40, [1]Sheet1!$B:$B,0)), 固定数据!BV37, 固定数据!BW37, 0.2, 10,0, 0)</f>
        <v>--</v>
      </c>
      <c r="AM40" s="2" t="str" cm="1">
        <f t="array" ref="AM40">计算得分(INDEX([1]Sheet1!$T:$T, MATCH(A40, [1]Sheet1!$B:$B,0)), 固定数据!BX37, 固定数据!BY37, 0.2, 20,0, 0)</f>
        <v>--</v>
      </c>
      <c r="AN40" s="2" t="str" cm="1">
        <f t="array" ref="AN40">计算得分([3]Sheet1!$F$3, 固定数据!BZ37, 固定数据!CA37, 0.5, 15,0, 0)</f>
        <v>--</v>
      </c>
      <c r="AO40" s="6" t="str" cm="1">
        <f t="array" ref="AO40">计算得分([3]Sheet1!$G$3, 固定数据!CB37, 固定数据!CC37, 0.01, 5,0, 1)</f>
        <v>--</v>
      </c>
      <c r="AP40" s="6" t="str" cm="1">
        <f t="array" ref="AP40">计算得分([3]Sheet1!$H$3, 固定数据!CD37, 固定数据!CE37, 0.001, 5,0, 1)</f>
        <v>--</v>
      </c>
      <c r="AQ40" s="6" t="str" cm="1">
        <f t="array" ref="AQ40">计算得分([3]Sheet1!$D$3,固定数据!CF37,固定数据!CG37,0.05,5,0,3)</f>
        <v>--</v>
      </c>
      <c r="AR40" s="6" t="str" cm="1">
        <f t="array" ref="AR40">计算得分([3]Sheet1!$E$3,固定数据!CH37,固定数据!CI37,0.1,10,0,3)</f>
        <v>--</v>
      </c>
      <c r="AS40" s="7" t="s">
        <v>74</v>
      </c>
      <c r="AT40" s="6" t="str" cm="1">
        <f t="array" ref="AT40">计算得分(INDEX([3]Sheet1!$J:$J, MATCH(A40, [3]Sheet1!$B:$B,0)), 固定数据!CL37, 固定数据!CM37, 2, 0,-10, 0)</f>
        <v>--</v>
      </c>
      <c r="AU40" s="2" t="str" cm="1">
        <f t="array" ref="AU40">计算得分(INDEX([3]Sheet1!$K:$K, MATCH(A40, [3]Sheet1!$B:$B,0)), 固定数据!CN37, 固定数据!CO37, 3, 0,-10, 0)</f>
        <v>--</v>
      </c>
      <c r="AV40" s="2" t="str" cm="1">
        <f t="array" ref="AV40">计算得分(INDEX([3]Sheet1!$L:$L, MATCH(A40, [3]Sheet1!$B:$B,0)), 固定数据!CP37, 固定数据!CQ37, 3, 0,-10, 0)</f>
        <v>--</v>
      </c>
      <c r="AW40" s="2" t="str" cm="1">
        <f t="array" ref="AW40">计算得分(INDEX([3]Sheet1!$M:$M, MATCH(A40, [3]Sheet1!$B:$B,0)), 固定数据!CR37, 固定数据!CS37, 100, 0,-100, 0)</f>
        <v>--</v>
      </c>
      <c r="AX40" s="2" t="str" cm="1">
        <f t="array" ref="AX40">计算得分(INDEX([3]Sheet1!$N:$N, MATCH(A40, [3]Sheet1!$B:$B,0)), 固定数据!CT37, 固定数据!CU37, 3, 0,-10, 0)</f>
        <v>--</v>
      </c>
      <c r="AY40" s="7" t="s">
        <v>74</v>
      </c>
      <c r="AZ40" s="7" t="s">
        <v>74</v>
      </c>
      <c r="BA40" s="2" t="str">
        <f>IFERROR(VLOOKUP(A40,[4]KPI评分!B:C,2,FALSE)*60%,"--")</f>
        <v>--</v>
      </c>
    </row>
    <row r="41" spans="1:53" ht="24.75" customHeight="1" x14ac:dyDescent="0.25">
      <c r="A41" s="3" t="s">
        <v>109</v>
      </c>
      <c r="B41" s="4" t="str" cm="1">
        <f t="array" ref="B41">计算得分(INDEX([1]Sheet1!$W:$W, MATCH(A41, [1]Sheet1!$B:$B,0)), 固定数据!B38, 固定数据!C38, 0.5, 0,-10, 0)</f>
        <v>--</v>
      </c>
      <c r="C41" s="4" t="str" cm="1">
        <f t="array" ref="C41">计算得分(INDEX([1]Sheet1!$X:$X, MATCH(A41, [1]Sheet1!$B:$B,0)), 固定数据!D38, 固定数据!E38, 1, 0,-10, 0)</f>
        <v>--</v>
      </c>
      <c r="D41" s="4" t="str" cm="1">
        <f t="array" ref="D41">计算得分(INDEX([1]Sheet1!$Y:$Y, MATCH(A41, [1]Sheet1!$B:$B,0)), 固定数据!F38, 固定数据!G38, 2, 0,-10, 0)</f>
        <v>--</v>
      </c>
      <c r="E41" s="4" t="str" cm="1">
        <f t="array" ref="E41">计算得分(INDEX([1]Sheet1!$C:$C, MATCH(A41, [1]Sheet1!$B:$B,0)), 固定数据!H38, 固定数据!I38, 0.02, 10,0, 1)</f>
        <v>--</v>
      </c>
      <c r="F41" s="4" t="str" cm="1">
        <f t="array" ref="F41">计算得分(INDEX([1]Sheet1!$D:$D, MATCH(A41, [1]Sheet1!$B:$B,0)), 固定数据!J38, 固定数据!K38, 0, 0,0, 0)</f>
        <v>--</v>
      </c>
      <c r="G41" s="4" t="str" cm="1">
        <f t="array" ref="G41">计算得分(INDEX([1]Sheet1!$E:$E, MATCH(A41, [1]Sheet1!$B:$B,0)), 固定数据!L38, 固定数据!M38, 0.3, 3,0, 5)</f>
        <v>--</v>
      </c>
      <c r="H41" s="4" t="str" cm="1">
        <f t="array" ref="H41">计算得分(INDEX([1]Sheet1!$AG:$AG, MATCH(A41, [1]Sheet1!$B:$B,0)), 固定数据!N38, 固定数据!O38, 0.03, 3,0, 3)</f>
        <v>--</v>
      </c>
      <c r="I41" s="4" t="str" cm="1">
        <f t="array" ref="I41">计算得分(INDEX([1]Sheet1!$V:$V, MATCH(A41, [1]Sheet1!$B:$B,0)), 固定数据!P38, 固定数据!Q38, 1, 0,-100, 0)</f>
        <v>--</v>
      </c>
      <c r="J41" s="4" t="str" cm="1">
        <f t="array" ref="J41">计算得分(INDEX([1]Sheet1!$AI:$AI, MATCH(A41, [1]Sheet1!$B:$B,0)), 固定数据!R38, 固定数据!S38, 0.04, 12,0, 3)</f>
        <v>--</v>
      </c>
      <c r="K41" s="4" t="str" cm="1">
        <f t="array" ref="K41">计算得分(INDEX([1]Sheet1!$F:$F, MATCH(A41, [1]Sheet1!$B:$B,0)), 固定数据!T38, 固定数据!U38, 0.02, 3,0, 1)</f>
        <v>--</v>
      </c>
      <c r="L41" s="4" t="str" cm="1">
        <f t="array" ref="L41">计算得分(INDEX([1]Sheet1!$U:$U, MATCH(A41, [1]Sheet1!$B:$B,0)), 固定数据!V38, 固定数据!W38, 0.2, 20,0, 0)</f>
        <v>--</v>
      </c>
      <c r="M41" s="4" t="str" cm="1">
        <f t="array" ref="M41">计算得分(100, 固定数据!X38, 固定数据!Y38, 0, 5,0, 0)</f>
        <v>--</v>
      </c>
      <c r="N41" s="4" t="str" cm="1">
        <f t="array" ref="N41">计算得分(100, 固定数据!Z38, 固定数据!AA38, 0, 5,0, 0)</f>
        <v>--</v>
      </c>
      <c r="O41" s="4" t="str" cm="1">
        <f t="array" ref="O41">计算得分(100, 固定数据!AB38, 固定数据!AC38, 0, 7,0, 0)</f>
        <v>--</v>
      </c>
      <c r="P41" s="4" t="str" cm="1">
        <f t="array" ref="P41">计算得分(INDEX([1]Sheet1!$P:$P, MATCH(A41, [1]Sheet1!$B:$B,0)), 固定数据!AD38, 固定数据!AE38, 0.2, 7,0, 0)</f>
        <v>--</v>
      </c>
      <c r="Q41" s="4" t="str" cm="1">
        <f t="array" ref="Q41">计算得分(INDEX([1]Sheet1!$I:$I, MATCH(A41, [1]Sheet1!$B:$B,0)), 固定数据!AF38, 固定数据!AG38,0.2, IF(固定数据!AF38&lt;&gt;"--",固定数据!AF38,0),2, 5)</f>
        <v>--</v>
      </c>
      <c r="R41" s="4" t="str" cm="1">
        <f t="array" ref="R41">计算得分(INDEX([2]Sheet1!$AL:$AL, MATCH(A41, [2]Sheet1!$A:$A,0)), 固定数据!AH38, 固定数据!AI38, 0.02, 6,6, 1)</f>
        <v>--</v>
      </c>
      <c r="S41" s="4" t="str" cm="1">
        <f t="array" ref="S41">计算得分(INDEX([2]Sheet1!$I:$I, MATCH(A41, [2]Sheet1!$A:$A,0)), 固定数据!AJ38, 固定数据!AK38, 0.005, 6,0, 1)</f>
        <v>--</v>
      </c>
      <c r="T41" s="4" t="str" cm="1">
        <f t="array" ref="T41">计算得分(98, 固定数据!AL38, 固定数据!AM38, 0.03, IF(固定数据!AL38&lt;&gt;"--",固定数据!AL38,0),0, 3)</f>
        <v>--</v>
      </c>
      <c r="U41" s="4" t="str" cm="1">
        <f t="array" ref="U41">计算得分(INDEX([1]Sheet1!$G:$G, MATCH(A41, [1]Sheet1!$B:$B,0)), 固定数据!AN38, 固定数据!AO38, 0.5, 3,0, 0)</f>
        <v>--</v>
      </c>
      <c r="V41" s="4" t="str" cm="1">
        <f t="array" ref="V41">计算得分(INDEX([1]Sheet1!$H:$H, MATCH(A41, [1]Sheet1!$B:$B,0)), 固定数据!AP38, 固定数据!AQ38, 0.4, 5,0, 1)</f>
        <v>--</v>
      </c>
      <c r="W41" s="4" t="str" cm="1">
        <f t="array" ref="W41">计算得分(INDEX([1]Sheet1!$J:$J, MATCH(A41, [1]Sheet1!$B:$B,0)), 固定数据!AR38, 固定数据!AS38, 0.2, 2,2, 4)</f>
        <v>--</v>
      </c>
      <c r="X41" s="4" t="str" cm="1">
        <f t="array" ref="X41">计算得分(INDEX([1]Sheet1!$K:$K, MATCH(A41, [1]Sheet1!$B:$B,0)), 固定数据!AT38, 固定数据!AU38, 0.2, 1.5,1.5, 4)</f>
        <v>--</v>
      </c>
      <c r="Y41" s="4" t="str" cm="1">
        <f t="array" ref="Y41">计算得分(INDEX([1]Sheet1!$AA:$AA, MATCH(A41, [1]Sheet1!$B:$B,0)), 固定数据!AV38, 固定数据!AW38, 0.05, IF(固定数据!AV38&lt;&gt;"--",固定数据!AV38,0),0, 3)</f>
        <v>--</v>
      </c>
      <c r="Z41" s="4" t="str" cm="1">
        <f t="array" ref="Z41">计算得分(INDEX([1]Sheet1!$AB:$AB, MATCH(A41, [1]Sheet1!$B:$B,0)), 固定数据!AX38, 固定数据!AY38, 0.05, IF(固定数据!AX38&lt;&gt;"--",固定数据!AX38,0),0, 3)</f>
        <v>--</v>
      </c>
      <c r="AA41" s="4" t="str" cm="1">
        <f t="array" ref="AA41">计算得分(INDEX([1]Sheet1!$AC:$AC, MATCH(A41, [1]Sheet1!$B:$B,0)), 固定数据!AZ38, 固定数据!BA38, 0.04, IF(固定数据!AZ38&lt;&gt;"--",固定数据!AZ38,0),0, 3)</f>
        <v>--</v>
      </c>
      <c r="AB41" s="4" t="str" cm="1">
        <f t="array" ref="AB41">计算得分(INDEX([1]Sheet1!$AD:$AD, MATCH(A41, [1]Sheet1!$B:$B,0)), 固定数据!BB38, 固定数据!BC38, 0.03, IF(固定数据!BB38&lt;&gt;"--",固定数据!BB38,0),0, 3)</f>
        <v>--</v>
      </c>
      <c r="AC41" s="4" t="str" cm="1">
        <f t="array" ref="AC41">计算得分(INDEX([1]Sheet1!$AE:$AE, MATCH(A41, [1]Sheet1!$B:$B,0)), 固定数据!BD38, 固定数据!BE38, 0.04, IF(固定数据!BD38&lt;&gt;"--",固定数据!BD38,0),0, 3)</f>
        <v>--</v>
      </c>
      <c r="AD41" s="4" t="str" cm="1">
        <f t="array" ref="AD41">计算得分(INDEX([1]Sheet1!$L:$L, MATCH(A41, [1]Sheet1!$B:$B,0)), 固定数据!BF38, 固定数据!BG38, 0.1, 12.5,0, 3)</f>
        <v>--</v>
      </c>
      <c r="AE41" s="4" t="str" cm="1">
        <f t="array" ref="AE41">计算得分(INDEX([1]Sheet1!$N:$N, MATCH(A41, [1]Sheet1!$B:$B,0)), 固定数据!BH38, 固定数据!BI38, 0.2, 7,0, 0)</f>
        <v>--</v>
      </c>
      <c r="AF41" s="4" t="str" cm="1">
        <f t="array" ref="AF41">计算得分(INDEX([1]Sheet1!$Q:$Q, MATCH(A41, [1]Sheet1!$B:$B,0)), 固定数据!BJ38, 固定数据!BK38, 0.2, 7,0, 0)</f>
        <v>--</v>
      </c>
      <c r="AG41" s="4" t="str" cm="1">
        <f t="array" ref="AG41">计算得分(INDEX([1]Sheet1!$S:$S, MATCH(A41, [1]Sheet1!$B:$B,0)), 固定数据!BL38, 固定数据!BM38, 0.2, 20,0, 0)</f>
        <v>--</v>
      </c>
      <c r="AH41" s="4" t="str" cm="1">
        <f t="array" ref="AH41">计算得分(INDEX([1]Sheet1!$AF:$AF, MATCH(A41, [1]Sheet1!$B:$B,0)), 固定数据!BN38, 固定数据!BO38, 0.1, 10,0, 3)</f>
        <v>--</v>
      </c>
      <c r="AI41" s="4" t="str" cm="1">
        <f t="array" ref="AI41">计算得分(INDEX([1]Sheet1!$M:$M, MATCH(A41, [1]Sheet1!$B:$B,0)), 固定数据!BP38, 固定数据!BQ38, 0.2, 20,0, 3)</f>
        <v>--</v>
      </c>
      <c r="AJ41" s="4" t="str" cm="1">
        <f t="array" ref="AJ41">计算得分(INDEX([1]Sheet1!$Z:$Z, MATCH(A41, [1]Sheet1!$B:$B,0)), 固定数据!BR38, 固定数据!BS38, 10, 50,0, 0)</f>
        <v>--</v>
      </c>
      <c r="AK41" s="4" t="str" cm="1">
        <f t="array" ref="AK41">计算得分(INDEX([1]Sheet1!$O:$O, MATCH(A41, [1]Sheet1!$B:$B,0)), 固定数据!BT38, 固定数据!BU38, 0.2, 15,0, 0)</f>
        <v>--</v>
      </c>
      <c r="AL41" s="4" t="str" cm="1">
        <f t="array" ref="AL41">计算得分(INDEX([1]Sheet1!$R:$R, MATCH(A41, [1]Sheet1!$B:$B,0)), 固定数据!BV38, 固定数据!BW38, 0.2, 10,0, 0)</f>
        <v>--</v>
      </c>
      <c r="AM41" s="4" t="str" cm="1">
        <f t="array" ref="AM41">计算得分(INDEX([1]Sheet1!$T:$T, MATCH(A41, [1]Sheet1!$B:$B,0)), 固定数据!BX38, 固定数据!BY38, 0.2, 20,0, 0)</f>
        <v>--</v>
      </c>
      <c r="AN41" s="4" cm="1">
        <f t="array" ref="AN41">计算得分([3]Sheet1!$F$3, 固定数据!BZ38, 固定数据!CA38, 0.5, 15,0, 0)</f>
        <v>104.4</v>
      </c>
      <c r="AO41" s="4" cm="1">
        <f t="array" ref="AO41">计算得分([3]Sheet1!$G$3, 固定数据!CB38, 固定数据!CC38, 0.01, 5,0, 1)</f>
        <v>3675</v>
      </c>
      <c r="AP41" s="4" cm="1">
        <f t="array" ref="AP41">计算得分([3]Sheet1!$H$3, 固定数据!CD38, 固定数据!CE38, 0.001, 5,0, 1)</f>
        <v>18357</v>
      </c>
      <c r="AQ41" s="4" cm="1">
        <f t="array" ref="AQ41">计算得分([3]Sheet1!$D$3,固定数据!CF38,固定数据!CG38,0.05,5,0,3)</f>
        <v>186.8</v>
      </c>
      <c r="AR41" s="4" cm="1">
        <f t="array" ref="AR41">计算得分([3]Sheet1!$E$3,固定数据!CH38,固定数据!CI38,0.1,10,0,3)</f>
        <v>7574.53</v>
      </c>
      <c r="AS41" s="8" t="s">
        <v>74</v>
      </c>
      <c r="AT41" s="4" cm="1">
        <f t="array" ref="AT41">计算得分(INDEX([3]Sheet1!$J:$J, MATCH(A41, [3]Sheet1!$B:$B,0)), 固定数据!CL38, 固定数据!CM38, 2, 0,-10, 0)</f>
        <v>100</v>
      </c>
      <c r="AU41" s="4" cm="1">
        <f t="array" ref="AU41">计算得分(INDEX([3]Sheet1!$K:$K, MATCH(A41, [3]Sheet1!$B:$B,0)), 固定数据!CN38, 固定数据!CO38, 3, 0,-10, 0)</f>
        <v>100</v>
      </c>
      <c r="AV41" s="4" cm="1">
        <f t="array" ref="AV41">计算得分(INDEX([3]Sheet1!$L:$L, MATCH(A41, [3]Sheet1!$B:$B,0)), 固定数据!CP38, 固定数据!CQ38, 3, 0,-10, 0)</f>
        <v>100</v>
      </c>
      <c r="AW41" s="4" cm="1">
        <f t="array" ref="AW41">计算得分(INDEX([3]Sheet1!$M:$M, MATCH(A41, [3]Sheet1!$B:$B,0)), 固定数据!CR38, 固定数据!CS38, 100, 0,-100, 0)</f>
        <v>100</v>
      </c>
      <c r="AX41" s="4" cm="1">
        <f t="array" ref="AX41">计算得分(INDEX([3]Sheet1!$N:$N, MATCH(A41, [3]Sheet1!$B:$B,0)), 固定数据!CT38, 固定数据!CU38, 3, 0,-10, 0)</f>
        <v>100</v>
      </c>
      <c r="AY41" s="8" t="s">
        <v>74</v>
      </c>
      <c r="AZ41" s="8" t="s">
        <v>74</v>
      </c>
      <c r="BA41" s="4">
        <f>IFERROR(VLOOKUP(A41,[4]KPI评分!B:C,2,FALSE)*60%,"--")</f>
        <v>57.84</v>
      </c>
    </row>
    <row r="42" spans="1:53" ht="24.75" customHeight="1" x14ac:dyDescent="0.25">
      <c r="A42" s="1" t="s">
        <v>110</v>
      </c>
      <c r="B42" s="2" cm="1">
        <f t="array" ref="B42">计算得分(INDEX([1]Sheet1!$W:$W, MATCH(A42, [1]Sheet1!$B:$B,0)), 固定数据!B39, 固定数据!C39, 0.5, 0,-10, 0)</f>
        <v>0</v>
      </c>
      <c r="C42" s="2" cm="1">
        <f t="array" ref="C42">计算得分(INDEX([1]Sheet1!$X:$X, MATCH(A42, [1]Sheet1!$B:$B,0)), 固定数据!D39, 固定数据!E39, 1, 0,-10, 0)</f>
        <v>0</v>
      </c>
      <c r="D42" s="2" t="str" cm="1">
        <f t="array" ref="D42">计算得分(INDEX([1]Sheet1!$Y:$Y, MATCH(A42, [1]Sheet1!$B:$B,0)), 固定数据!F39, 固定数据!G39, 2, 0,-10, 0)</f>
        <v>--</v>
      </c>
      <c r="E42" s="6" t="str" cm="1">
        <f t="array" ref="E42">计算得分(INDEX([1]Sheet1!$C:$C, MATCH(A42, [1]Sheet1!$B:$B,0)), 固定数据!H39, 固定数据!I39, 0.02, 10,0, 1)</f>
        <v>--</v>
      </c>
      <c r="F42" s="2" t="str" cm="1">
        <f t="array" ref="F42">计算得分(INDEX([1]Sheet1!$D:$D, MATCH(A42, [1]Sheet1!$B:$B,0)), 固定数据!J39, 固定数据!K39, 0, 0,0, 0)</f>
        <v>--</v>
      </c>
      <c r="G42" s="2" t="str" cm="1">
        <f t="array" ref="G42">计算得分(INDEX([1]Sheet1!$E:$E, MATCH(A42, [1]Sheet1!$B:$B,0)), 固定数据!L39, 固定数据!M39,  0.3, 3,0, 5)</f>
        <v>--</v>
      </c>
      <c r="H42" s="2" t="str" cm="1">
        <f t="array" ref="H42">计算得分(INDEX([1]Sheet1!$AG:$AG, MATCH(A42, [1]Sheet1!$B:$B,0)), 固定数据!N39, 固定数据!O39, 0.03, 3,0, 3)</f>
        <v>--</v>
      </c>
      <c r="I42" s="2" cm="1">
        <f t="array" ref="I42">计算得分(INDEX([1]Sheet1!$V:$V, MATCH(A42, [1]Sheet1!$B:$B,0)), 固定数据!P39, 固定数据!Q39, 1, 0,-100, 0)</f>
        <v>0</v>
      </c>
      <c r="J42" s="2" cm="1">
        <f t="array" ref="J42">计算得分(INDEX([1]Sheet1!$AI:$AI, MATCH(A42, [1]Sheet1!$B:$B,0)), 固定数据!R39, 固定数据!S39, 0.04, 12,0, 3)</f>
        <v>100</v>
      </c>
      <c r="K42" s="2" t="str" cm="1">
        <f t="array" ref="K42">计算得分(INDEX([1]Sheet1!$F:$F, MATCH(A42, [1]Sheet1!$B:$B,0)), 固定数据!T39, 固定数据!U39, 0.02, 3,0, 1)</f>
        <v>--</v>
      </c>
      <c r="L42" s="2" t="str" cm="1">
        <f t="array" ref="L42">计算得分(INDEX([1]Sheet1!$U:$U, MATCH(A42, [1]Sheet1!$B:$B,0)), 固定数据!V39, 固定数据!W39, 0.2, 20,0, 0)</f>
        <v>--</v>
      </c>
      <c r="M42" s="2" cm="1">
        <f t="array" ref="M42">计算得分(100, 固定数据!X39, 固定数据!Y39, 0, 5,0, 0)</f>
        <v>100</v>
      </c>
      <c r="N42" s="2" t="str" cm="1">
        <f t="array" ref="N42">计算得分(100, 固定数据!Z39, 固定数据!AA39, 0, 5,0, 0)</f>
        <v>--</v>
      </c>
      <c r="O42" s="2" t="str" cm="1">
        <f t="array" ref="O42">计算得分(100, 固定数据!AB39, 固定数据!AC39, 0, 7,0, 0)</f>
        <v>--</v>
      </c>
      <c r="P42" s="2" cm="1">
        <f t="array" ref="P42">计算得分(INDEX([1]Sheet1!$P:$P, MATCH(A42, [1]Sheet1!$B:$B,0)), 固定数据!AD39, 固定数据!AE39, 0.2, 0,0, 0)</f>
        <v>0</v>
      </c>
      <c r="Q42" s="2" t="str" cm="1">
        <f t="array" ref="Q42">计算得分(INDEX([1]Sheet1!$I:$I, MATCH(A42, [1]Sheet1!$B:$B,0)), 固定数据!AF39, 固定数据!AG39,0.2, IF(固定数据!AF39&lt;&gt;"--",固定数据!AF39,0),2, 5)</f>
        <v>--</v>
      </c>
      <c r="R42" s="2" t="str" cm="1">
        <f t="array" ref="R42">计算得分(INDEX([2]Sheet1!$AL:$AL, MATCH(A42, [2]Sheet1!$A:$A,0)), 固定数据!AH39, 固定数据!AI39, 0.02, 6,6, 1)</f>
        <v>--</v>
      </c>
      <c r="S42" s="2" t="str" cm="1">
        <f t="array" ref="S42">计算得分(INDEX([2]Sheet1!$I:$I, MATCH(A42, [2]Sheet1!$A:$A,0)), 固定数据!AJ39, 固定数据!AK39, 0.005, 6,0, 1)</f>
        <v>--</v>
      </c>
      <c r="T42" s="2" cm="1">
        <f t="array" ref="T42">计算得分(98, 固定数据!AL39, 固定数据!AM39, 0.03, IF(固定数据!AL39&lt;&gt;"--",固定数据!AL39,0),0, 3)</f>
        <v>98</v>
      </c>
      <c r="U42" s="2" t="str" cm="1">
        <f t="array" ref="U42">计算得分(INDEX([1]Sheet1!$G:$G, MATCH(A42, [1]Sheet1!$B:$B,0)), 固定数据!AN39, 固定数据!AO39, 0.5, 3,0, 0)</f>
        <v>--</v>
      </c>
      <c r="V42" s="2" t="str" cm="1">
        <f t="array" ref="V42">计算得分(INDEX([1]Sheet1!$H:$H, MATCH(A42, [1]Sheet1!$B:$B,0)), 固定数据!AP39, 固定数据!AQ39, 0.4, 5,0, 1)</f>
        <v>--</v>
      </c>
      <c r="W42" s="2" t="str" cm="1">
        <f t="array" ref="W42">计算得分(INDEX([1]Sheet1!$J:$J, MATCH(A42, [1]Sheet1!$B:$B,0)), 固定数据!AR39, 固定数据!AS39, 0.2, 2,2, 4)</f>
        <v>--</v>
      </c>
      <c r="X42" s="2" t="str" cm="1">
        <f t="array" ref="X42">计算得分(INDEX([1]Sheet1!$K:$K, MATCH(A42, [1]Sheet1!$B:$B,0)), 固定数据!AT39, 固定数据!AU39, 0.2, 1.5,1.5, 4)</f>
        <v>--</v>
      </c>
      <c r="Y42" s="2" cm="1">
        <f t="array" ref="Y42">计算得分(INDEX([1]Sheet1!$AA:$AA, MATCH(A42, [1]Sheet1!$B:$B,0)), 固定数据!AV39, 固定数据!AW39, 0.05, IF(固定数据!AV39&lt;&gt;"--",固定数据!AV39,0),0, 3)</f>
        <v>94</v>
      </c>
      <c r="Z42" s="2" t="str" cm="1">
        <f t="array" ref="Z42">计算得分(INDEX([1]Sheet1!$AB:$AB, MATCH(A42, [1]Sheet1!$B:$B,0)), 固定数据!AX39, 固定数据!AY39, 0.05, IF(固定数据!AX39&lt;&gt;"--",固定数据!AX39,0),0, 3)</f>
        <v>--</v>
      </c>
      <c r="AA42" s="2" t="str" cm="1">
        <f t="array" ref="AA42">计算得分(INDEX([1]Sheet1!$AC:$AC, MATCH(A42, [1]Sheet1!$B:$B,0)), 固定数据!AZ39, 固定数据!BA39, 0.04, IF(固定数据!AZ39&lt;&gt;"--",固定数据!AZ39,0),0, 3)</f>
        <v>--</v>
      </c>
      <c r="AB42" s="2" cm="1">
        <f t="array" ref="AB42">计算得分(INDEX([1]Sheet1!$AD:$AD, MATCH(A42, [1]Sheet1!$B:$B,0)), 固定数据!BB39, 固定数据!BC39, 0.03, IF(固定数据!BB39&lt;&gt;"--",固定数据!BB39,0),0, 3)</f>
        <v>99</v>
      </c>
      <c r="AC42" s="2" cm="1">
        <f t="array" ref="AC42">计算得分(INDEX([1]Sheet1!$AE:$AE, MATCH(A42, [1]Sheet1!$B:$B,0)), 固定数据!BD39, 固定数据!BE39, 0.04, IF(固定数据!BD39&lt;&gt;"--",固定数据!BD39,0),0, 3)</f>
        <v>99.3</v>
      </c>
      <c r="AD42" s="2" t="str" cm="1">
        <f t="array" ref="AD42">计算得分(INDEX([1]Sheet1!$L:$L, MATCH(A42, [1]Sheet1!$B:$B,0)), 固定数据!BF39, 固定数据!BG39, 0.1, 12.5,0, 3)</f>
        <v>--</v>
      </c>
      <c r="AE42" s="2" t="str" cm="1">
        <f t="array" ref="AE42">计算得分(INDEX([1]Sheet1!$N:$N, MATCH(A42, [1]Sheet1!$B:$B,0)), 固定数据!BH39, 固定数据!BI39, 0.2, 7,0, 0)</f>
        <v>--</v>
      </c>
      <c r="AF42" s="2" t="str" cm="1">
        <f t="array" ref="AF42">计算得分(INDEX([1]Sheet1!$Q:$Q, MATCH(A42, [1]Sheet1!$B:$B,0)), 固定数据!BJ39, 固定数据!BK39, 0.2, 7,0, 0)</f>
        <v>--</v>
      </c>
      <c r="AG42" s="2" t="str" cm="1">
        <f t="array" ref="AG42">计算得分(INDEX([1]Sheet1!$S:$S, MATCH(A42, [1]Sheet1!$B:$B,0)), 固定数据!BL39, 固定数据!BM39, 0.2, 20,0, 0)</f>
        <v>--</v>
      </c>
      <c r="AH42" s="6" cm="1">
        <f t="array" ref="AH42">计算得分(INDEX([1]Sheet1!$AF:$AF, MATCH(A42, [1]Sheet1!$B:$B,0)), 固定数据!BN39, 固定数据!BO39, 0.1, 10,0, 3)</f>
        <v>94</v>
      </c>
      <c r="AI42" s="2" cm="1">
        <f t="array" ref="AI42">计算得分(INDEX([1]Sheet1!$M:$M, MATCH(A42, [1]Sheet1!$B:$B,0)), 固定数据!BP39, 固定数据!BQ39, 0.2, 20,0, 3)</f>
        <v>134.9</v>
      </c>
      <c r="AJ42" s="2" cm="1">
        <f t="array" ref="AJ42">计算得分(INDEX([1]Sheet1!$Z:$Z, MATCH(A42, [1]Sheet1!$B:$B,0)), 固定数据!BR39, 固定数据!BS39, 10, 50,0, 0)</f>
        <v>0</v>
      </c>
      <c r="AK42" s="2" cm="1">
        <f t="array" ref="AK42">计算得分(INDEX([1]Sheet1!$O:$O, MATCH(A42, [1]Sheet1!$B:$B,0)), 固定数据!BT39, 固定数据!BU39, 0.2, 15,0, 0)</f>
        <v>0.2</v>
      </c>
      <c r="AL42" s="2" t="str" cm="1">
        <f t="array" ref="AL42">计算得分(INDEX([1]Sheet1!$R:$R, MATCH(A42, [1]Sheet1!$B:$B,0)), 固定数据!BV39, 固定数据!BW39, 0.2, 10,0, 0)</f>
        <v>--</v>
      </c>
      <c r="AM42" s="2" cm="1">
        <f t="array" ref="AM42">计算得分(INDEX([1]Sheet1!$T:$T, MATCH(A42, [1]Sheet1!$B:$B,0)), 固定数据!BX39, 固定数据!BY39, 0.2, 15,0, 0)</f>
        <v>67.88</v>
      </c>
      <c r="AN42" s="2" t="str" cm="1">
        <f t="array" ref="AN42">计算得分([3]Sheet1!$F$3, 固定数据!BZ39, 固定数据!CA39, 0.5, 15,0, 0)</f>
        <v>--</v>
      </c>
      <c r="AO42" s="6" t="str" cm="1">
        <f t="array" ref="AO42">计算得分([3]Sheet1!$G$3, 固定数据!CB39, 固定数据!CC39, 0.01, 5,0, 1)</f>
        <v>--</v>
      </c>
      <c r="AP42" s="6" t="str" cm="1">
        <f t="array" ref="AP42">计算得分([3]Sheet1!$H$3, 固定数据!CD39, 固定数据!CE39, 0.001, 5,0, 1)</f>
        <v>--</v>
      </c>
      <c r="AQ42" s="6" t="str" cm="1">
        <f t="array" ref="AQ42">计算得分([3]Sheet1!$D$3,固定数据!CF39,固定数据!CG39,0.05,5,0,3)</f>
        <v>--</v>
      </c>
      <c r="AR42" s="6" t="str" cm="1">
        <f t="array" ref="AR42">计算得分([3]Sheet1!$E$3,固定数据!CH39,固定数据!CI39,0.1,10,0,3)</f>
        <v>--</v>
      </c>
      <c r="AS42" s="7" t="s">
        <v>74</v>
      </c>
      <c r="AT42" s="6" t="str" cm="1">
        <f t="array" ref="AT42">计算得分(INDEX([3]Sheet1!$J:$J, MATCH(A42, [3]Sheet1!$B:$B,0)), 固定数据!CL39, 固定数据!CM39, 2, 0,-10, 0)</f>
        <v>--</v>
      </c>
      <c r="AU42" s="2" t="str" cm="1">
        <f t="array" ref="AU42">计算得分(INDEX([3]Sheet1!$K:$K, MATCH(A42, [3]Sheet1!$B:$B,0)), 固定数据!CN39, 固定数据!CO39, 3, 0,-10, 0)</f>
        <v>--</v>
      </c>
      <c r="AV42" s="2" t="str" cm="1">
        <f t="array" ref="AV42">计算得分(INDEX([3]Sheet1!$L:$L, MATCH(A42, [3]Sheet1!$B:$B,0)), 固定数据!CP39, 固定数据!CQ39, 3, 0,-10, 0)</f>
        <v>--</v>
      </c>
      <c r="AW42" s="2" t="str" cm="1">
        <f t="array" ref="AW42">计算得分(INDEX([3]Sheet1!$M:$M, MATCH(A42, [3]Sheet1!$B:$B,0)), 固定数据!CR39, 固定数据!CS39, 100, 0,-100, 0)</f>
        <v>--</v>
      </c>
      <c r="AX42" s="2" t="str" cm="1">
        <f t="array" ref="AX42">计算得分(INDEX([3]Sheet1!$N:$N, MATCH(A42, [3]Sheet1!$B:$B,0)), 固定数据!CT39, 固定数据!CU39, 3, 0,-10, 0)</f>
        <v>--</v>
      </c>
      <c r="AY42" s="7" t="s">
        <v>74</v>
      </c>
      <c r="AZ42" s="7" t="s">
        <v>74</v>
      </c>
      <c r="BA42" s="2" t="str">
        <f>IFERROR(VLOOKUP(A42,[4]KPI评分!B:C,2,FALSE)*60%,"--")</f>
        <v>--</v>
      </c>
    </row>
    <row r="43" spans="1:53" ht="24.75" customHeight="1" x14ac:dyDescent="0.25">
      <c r="A43" s="3" t="s">
        <v>111</v>
      </c>
      <c r="B43" s="4" t="str" cm="1">
        <f t="array" ref="B43">计算得分(INDEX([1]Sheet1!$W:$W, MATCH(A43, [1]Sheet1!$B:$B,0)), 固定数据!B40, 固定数据!C40, 0.5, 0,-10, 0)</f>
        <v>--</v>
      </c>
      <c r="C43" s="4" t="str" cm="1">
        <f t="array" ref="C43">计算得分(INDEX([1]Sheet1!$X:$X, MATCH(A43, [1]Sheet1!$B:$B,0)), 固定数据!D40, 固定数据!E40, 1, 0,-10, 0)</f>
        <v>--</v>
      </c>
      <c r="D43" s="4" t="str" cm="1">
        <f t="array" ref="D43">计算得分(INDEX([1]Sheet1!$Y:$Y, MATCH(A43, [1]Sheet1!$B:$B,0)), 固定数据!F40, 固定数据!G40, 2, 0,-10, 0)</f>
        <v>--</v>
      </c>
      <c r="E43" s="4" t="str" cm="1">
        <f t="array" ref="E43">计算得分(INDEX([1]Sheet1!$C:$C, MATCH(A43, [1]Sheet1!$B:$B,0)), 固定数据!H40, 固定数据!I40, 0.02, 10,0, 1)</f>
        <v>--</v>
      </c>
      <c r="F43" s="4" t="str" cm="1">
        <f t="array" ref="F43">计算得分(INDEX([1]Sheet1!$D:$D, MATCH(A43, [1]Sheet1!$B:$B,0)), 固定数据!J40, 固定数据!K40, 0, 0,0, 0)</f>
        <v>--</v>
      </c>
      <c r="G43" s="4" t="str" cm="1">
        <f t="array" ref="G43">计算得分(INDEX([1]Sheet1!$E:$E, MATCH(A43, [1]Sheet1!$B:$B,0)), 固定数据!L40, 固定数据!M40, 0.3, 3,0, 5)</f>
        <v>--</v>
      </c>
      <c r="H43" s="4" t="str" cm="1">
        <f t="array" ref="H43">计算得分(INDEX([1]Sheet1!$AG:$AG, MATCH(A43, [1]Sheet1!$B:$B,0)), 固定数据!N40, 固定数据!O40, 0.03, 3,0, 3)</f>
        <v>--</v>
      </c>
      <c r="I43" s="4" t="str" cm="1">
        <f t="array" ref="I43">计算得分(INDEX([1]Sheet1!$V:$V, MATCH(A43, [1]Sheet1!$B:$B,0)), 固定数据!P40, 固定数据!Q40, 1, 0,-100, 0)</f>
        <v>--</v>
      </c>
      <c r="J43" s="4" t="str" cm="1">
        <f t="array" ref="J43">计算得分(INDEX([1]Sheet1!$AI:$AI, MATCH(A43, [1]Sheet1!$B:$B,0)), 固定数据!R40, 固定数据!S40, 0.04, 12,0, 3)</f>
        <v>--</v>
      </c>
      <c r="K43" s="4" t="str" cm="1">
        <f t="array" ref="K43">计算得分(INDEX([1]Sheet1!$F:$F, MATCH(A43, [1]Sheet1!$B:$B,0)), 固定数据!T40, 固定数据!U40, 0.02, 3,0, 1)</f>
        <v>--</v>
      </c>
      <c r="L43" s="4" t="str" cm="1">
        <f t="array" ref="L43">计算得分(INDEX([1]Sheet1!$U:$U, MATCH(A43, [1]Sheet1!$B:$B,0)), 固定数据!V40, 固定数据!W40, 0.2, 20,0, 0)</f>
        <v>--</v>
      </c>
      <c r="M43" s="4" t="str" cm="1">
        <f t="array" ref="M43">计算得分(100, 固定数据!X40, 固定数据!Y40, 0, 5,0, 0)</f>
        <v>--</v>
      </c>
      <c r="N43" s="4" t="str" cm="1">
        <f t="array" ref="N43">计算得分(100, 固定数据!Z40, 固定数据!AA40, 0, 5,0, 0)</f>
        <v>--</v>
      </c>
      <c r="O43" s="4" t="str" cm="1">
        <f t="array" ref="O43">计算得分(100, 固定数据!AB40, 固定数据!AC40, 0, 7,0, 0)</f>
        <v>--</v>
      </c>
      <c r="P43" s="4" t="str" cm="1">
        <f t="array" ref="P43">计算得分(INDEX([1]Sheet1!$P:$P, MATCH(A43, [1]Sheet1!$B:$B,0)), 固定数据!AD40, 固定数据!AE40, 0.2, 7,0, 0)</f>
        <v>--</v>
      </c>
      <c r="Q43" s="4" t="str" cm="1">
        <f t="array" ref="Q43">计算得分(INDEX([1]Sheet1!$I:$I, MATCH(A43, [1]Sheet1!$B:$B,0)), 固定数据!AF40, 固定数据!AG40,0.2, IF(固定数据!AF40&lt;&gt;"--",固定数据!AF40,0),2, 5)</f>
        <v>--</v>
      </c>
      <c r="R43" s="4" t="str" cm="1">
        <f t="array" ref="R43">计算得分(INDEX([2]Sheet1!$AL:$AL, MATCH(A43, [2]Sheet1!$A:$A,0)), 固定数据!AH40, 固定数据!AI40, 0.02, 6,6, 1)</f>
        <v>--</v>
      </c>
      <c r="S43" s="4" t="str" cm="1">
        <f t="array" ref="S43">计算得分(INDEX([2]Sheet1!$I:$I, MATCH(A43, [2]Sheet1!$A:$A,0)), 固定数据!AJ40, 固定数据!AK40, 0.005, 6,0, 1)</f>
        <v>--</v>
      </c>
      <c r="T43" s="4" t="str" cm="1">
        <f t="array" ref="T43">计算得分(98, 固定数据!AL40, 固定数据!AM40, 0.03, IF(固定数据!AL40&lt;&gt;"--",固定数据!AL40,0),0, 3)</f>
        <v>--</v>
      </c>
      <c r="U43" s="4" t="str" cm="1">
        <f t="array" ref="U43">计算得分(INDEX([1]Sheet1!$G:$G, MATCH(A43, [1]Sheet1!$B:$B,0)), 固定数据!AN40, 固定数据!AO40, 0.5, 3,0, 0)</f>
        <v>--</v>
      </c>
      <c r="V43" s="4" t="str" cm="1">
        <f t="array" ref="V43">计算得分(INDEX([1]Sheet1!$H:$H, MATCH(A43, [1]Sheet1!$B:$B,0)), 固定数据!AP40, 固定数据!AQ40, 0.4, 5,0, 1)</f>
        <v>--</v>
      </c>
      <c r="W43" s="4" t="str" cm="1">
        <f t="array" ref="W43">计算得分(INDEX([1]Sheet1!$J:$J, MATCH(A43, [1]Sheet1!$B:$B,0)), 固定数据!AR40, 固定数据!AS40, 0.2, 2,2, 4)</f>
        <v>--</v>
      </c>
      <c r="X43" s="4" t="str" cm="1">
        <f t="array" ref="X43">计算得分(INDEX([1]Sheet1!$K:$K, MATCH(A43, [1]Sheet1!$B:$B,0)), 固定数据!AT40, 固定数据!AU40, 0.2, 1.5,1.5, 4)</f>
        <v>--</v>
      </c>
      <c r="Y43" s="4" t="str" cm="1">
        <f t="array" ref="Y43">计算得分(INDEX([1]Sheet1!$AA:$AA, MATCH(A43, [1]Sheet1!$B:$B,0)), 固定数据!AV40, 固定数据!AW40, 0.05, IF(固定数据!AV40&lt;&gt;"--",固定数据!AV40,0),0, 3)</f>
        <v>--</v>
      </c>
      <c r="Z43" s="4" t="str" cm="1">
        <f t="array" ref="Z43">计算得分(INDEX([1]Sheet1!$AB:$AB, MATCH(A43, [1]Sheet1!$B:$B,0)), 固定数据!AX40, 固定数据!AY40, 0.05, IF(固定数据!AX40&lt;&gt;"--",固定数据!AX40,0),0, 3)</f>
        <v>--</v>
      </c>
      <c r="AA43" s="4" t="str" cm="1">
        <f t="array" ref="AA43">计算得分(INDEX([1]Sheet1!$AC:$AC, MATCH(A43, [1]Sheet1!$B:$B,0)), 固定数据!AZ40, 固定数据!BA40, 0.04, IF(固定数据!AZ40&lt;&gt;"--",固定数据!AZ40,0),0, 3)</f>
        <v>--</v>
      </c>
      <c r="AB43" s="4" t="str" cm="1">
        <f t="array" ref="AB43">计算得分(INDEX([1]Sheet1!$AD:$AD, MATCH(A43, [1]Sheet1!$B:$B,0)), 固定数据!BB40, 固定数据!BC40, 0.03, IF(固定数据!BB40&lt;&gt;"--",固定数据!BB40,0),0, 3)</f>
        <v>--</v>
      </c>
      <c r="AC43" s="4" t="str" cm="1">
        <f t="array" ref="AC43">计算得分(INDEX([1]Sheet1!$AE:$AE, MATCH(A43, [1]Sheet1!$B:$B,0)), 固定数据!BD40, 固定数据!BE40, 0.04, IF(固定数据!BD40&lt;&gt;"--",固定数据!BD40,0),0, 3)</f>
        <v>--</v>
      </c>
      <c r="AD43" s="4" t="str" cm="1">
        <f t="array" ref="AD43">计算得分(INDEX([1]Sheet1!$L:$L, MATCH(A43, [1]Sheet1!$B:$B,0)), 固定数据!BF40, 固定数据!BG40, 0.1, 12.5,0, 3)</f>
        <v>--</v>
      </c>
      <c r="AE43" s="4" t="str" cm="1">
        <f t="array" ref="AE43">计算得分(INDEX([1]Sheet1!$N:$N, MATCH(A43, [1]Sheet1!$B:$B,0)), 固定数据!BH40, 固定数据!BI40, 0.2, 7,0, 0)</f>
        <v>--</v>
      </c>
      <c r="AF43" s="4" t="str" cm="1">
        <f t="array" ref="AF43">计算得分(INDEX([1]Sheet1!$Q:$Q, MATCH(A43, [1]Sheet1!$B:$B,0)), 固定数据!BJ40, 固定数据!BK40, 0.2, 7,0, 0)</f>
        <v>--</v>
      </c>
      <c r="AG43" s="4" t="str" cm="1">
        <f t="array" ref="AG43">计算得分(INDEX([1]Sheet1!$S:$S, MATCH(A43, [1]Sheet1!$B:$B,0)), 固定数据!BL40, 固定数据!BM40, 0.2, 20,0, 0)</f>
        <v>--</v>
      </c>
      <c r="AH43" s="4" t="str" cm="1">
        <f t="array" ref="AH43">计算得分(INDEX([1]Sheet1!$AF:$AF, MATCH(A43, [1]Sheet1!$B:$B,0)), 固定数据!BN40, 固定数据!BO40, 0.1, 10,0, 3)</f>
        <v>--</v>
      </c>
      <c r="AI43" s="4" t="str" cm="1">
        <f t="array" ref="AI43">计算得分(INDEX([1]Sheet1!$M:$M, MATCH(A43, [1]Sheet1!$B:$B,0)), 固定数据!BP40, 固定数据!BQ40, 0.2, 20,0, 3)</f>
        <v>--</v>
      </c>
      <c r="AJ43" s="4" t="str" cm="1">
        <f t="array" ref="AJ43">计算得分(INDEX([1]Sheet1!$Z:$Z, MATCH(A43, [1]Sheet1!$B:$B,0)), 固定数据!BR40, 固定数据!BS40, 10, 50,0, 0)</f>
        <v>--</v>
      </c>
      <c r="AK43" s="4" t="str" cm="1">
        <f t="array" ref="AK43">计算得分(INDEX([1]Sheet1!$O:$O, MATCH(A43, [1]Sheet1!$B:$B,0)), 固定数据!BT40, 固定数据!BU40, 0.2, 15,0, 0)</f>
        <v>--</v>
      </c>
      <c r="AL43" s="4" t="str" cm="1">
        <f t="array" ref="AL43">计算得分(INDEX([1]Sheet1!$R:$R, MATCH(A43, [1]Sheet1!$B:$B,0)), 固定数据!BV40, 固定数据!BW40, 0.2, 10,0, 0)</f>
        <v>--</v>
      </c>
      <c r="AM43" s="4" t="str" cm="1">
        <f t="array" ref="AM43">计算得分(INDEX([1]Sheet1!$T:$T, MATCH(A43, [1]Sheet1!$B:$B,0)), 固定数据!BX40, 固定数据!BY40, 0.2, 20,0, 0)</f>
        <v>--</v>
      </c>
      <c r="AN43" s="4" cm="1">
        <f t="array" ref="AN43">计算得分([3]Sheet1!$F$3, 固定数据!BZ40, 固定数据!CA40, 0.5, 15,0, 0)</f>
        <v>104.4</v>
      </c>
      <c r="AO43" s="4" cm="1">
        <f t="array" ref="AO43">计算得分([3]Sheet1!$G$3, 固定数据!CB40, 固定数据!CC40, 0.01, 5,0, 1)</f>
        <v>3675</v>
      </c>
      <c r="AP43" s="4" cm="1">
        <f t="array" ref="AP43">计算得分([3]Sheet1!$H$3, 固定数据!CD40, 固定数据!CE40, 0.001, 5,0, 1)</f>
        <v>18357</v>
      </c>
      <c r="AQ43" s="4" cm="1">
        <f t="array" ref="AQ43">计算得分([3]Sheet1!$D$3,固定数据!CF40,固定数据!CG40,0.05,5,0,3)</f>
        <v>186.8</v>
      </c>
      <c r="AR43" s="4" cm="1">
        <f t="array" ref="AR43">计算得分([3]Sheet1!$E$3,固定数据!CH40,固定数据!CI40,0.1,10,0,3)</f>
        <v>7574.53</v>
      </c>
      <c r="AS43" s="8" t="s">
        <v>74</v>
      </c>
      <c r="AT43" s="4" cm="1">
        <f t="array" ref="AT43">计算得分(INDEX([3]Sheet1!$J:$J, MATCH(A43, [3]Sheet1!$B:$B,0)), 固定数据!CL40, 固定数据!CM40, 2, 0,-10, 0)</f>
        <v>100</v>
      </c>
      <c r="AU43" s="4" cm="1">
        <f t="array" ref="AU43">计算得分(INDEX([3]Sheet1!$K:$K, MATCH(A43, [3]Sheet1!$B:$B,0)), 固定数据!CN40, 固定数据!CO40, 3, 0,-10, 0)</f>
        <v>100</v>
      </c>
      <c r="AV43" s="4" cm="1">
        <f t="array" ref="AV43">计算得分(INDEX([3]Sheet1!$L:$L, MATCH(A43, [3]Sheet1!$B:$B,0)), 固定数据!CP40, 固定数据!CQ40, 3, 0,-10, 0)</f>
        <v>100</v>
      </c>
      <c r="AW43" s="4" cm="1">
        <f t="array" ref="AW43">计算得分(INDEX([3]Sheet1!$M:$M, MATCH(A43, [3]Sheet1!$B:$B,0)), 固定数据!CR40, 固定数据!CS40, 100, 0,-100, 0)</f>
        <v>100</v>
      </c>
      <c r="AX43" s="4" cm="1">
        <f t="array" ref="AX43">计算得分(INDEX([3]Sheet1!$N:$N, MATCH(A43, [3]Sheet1!$B:$B,0)), 固定数据!CT40, 固定数据!CU40, 3, 0,-10, 0)</f>
        <v>100</v>
      </c>
      <c r="AY43" s="8" t="s">
        <v>74</v>
      </c>
      <c r="AZ43" s="8" t="s">
        <v>74</v>
      </c>
      <c r="BA43" s="4">
        <f>IFERROR(VLOOKUP(A43,[4]KPI评分!B:C,2,FALSE)*60%,"--")</f>
        <v>57.48</v>
      </c>
    </row>
    <row r="44" spans="1:53" ht="24.75" customHeight="1" x14ac:dyDescent="0.25">
      <c r="A44" s="1" t="s">
        <v>112</v>
      </c>
      <c r="B44" s="2" cm="1">
        <f t="array" ref="B44">计算得分(INDEX([1]Sheet1!$W:$W, MATCH(A44, [1]Sheet1!$B:$B,0)), 固定数据!B41, 固定数据!C41, 0.5, 0,-10, 0)</f>
        <v>0</v>
      </c>
      <c r="C44" s="2" cm="1">
        <f t="array" ref="C44">计算得分(INDEX([1]Sheet1!$X:$X, MATCH(A44, [1]Sheet1!$B:$B,0)), 固定数据!D41, 固定数据!E41, 1, 0,-10, 0)</f>
        <v>0</v>
      </c>
      <c r="D44" s="2" cm="1">
        <f t="array" ref="D44">计算得分(INDEX([1]Sheet1!$Y:$Y, MATCH(A44, [1]Sheet1!$B:$B,0)), 固定数据!F41, 固定数据!G41, 2, 0,-10, 0)</f>
        <v>0</v>
      </c>
      <c r="E44" s="6" t="str" cm="1">
        <f t="array" ref="E44">计算得分(INDEX([1]Sheet1!$C:$C, MATCH(A44, [1]Sheet1!$B:$B,0)), 固定数据!H41, 固定数据!I41, 0.02, 10,0, 1)</f>
        <v>--</v>
      </c>
      <c r="F44" s="2" t="str" cm="1">
        <f t="array" ref="F44">计算得分(INDEX([1]Sheet1!$D:$D, MATCH(A44, [1]Sheet1!$B:$B,0)), 固定数据!J41, 固定数据!K41, 0, 0,0, 0)</f>
        <v>--</v>
      </c>
      <c r="G44" s="2" cm="1">
        <f t="array" ref="G44">计算得分(INDEX([1]Sheet1!$E:$E, MATCH(A44, [1]Sheet1!$B:$B,0)), 固定数据!L41, 固定数据!M41,  0.3, 3,0, 5)</f>
        <v>23222.32</v>
      </c>
      <c r="H44" s="2" cm="1">
        <f t="array" ref="H44">计算得分(INDEX([1]Sheet1!$AG:$AG, MATCH(A44, [1]Sheet1!$B:$B,0)), 固定数据!N41, 固定数据!O41, 0.03, 3,0, 3)</f>
        <v>76</v>
      </c>
      <c r="I44" s="2" cm="1">
        <f t="array" ref="I44">计算得分(INDEX([1]Sheet1!$V:$V, MATCH(A44, [1]Sheet1!$B:$B,0)), 固定数据!P41, 固定数据!Q41, 1, 0,-100, 0)</f>
        <v>0</v>
      </c>
      <c r="J44" s="2" t="str" cm="1">
        <f t="array" ref="J44">计算得分(INDEX([1]Sheet1!$AI:$AI, MATCH(A44, [1]Sheet1!$B:$B,0)), 固定数据!R41, 固定数据!S41, 0.04, 12,0, 3)</f>
        <v>--</v>
      </c>
      <c r="K44" s="2" cm="1">
        <f t="array" ref="K44">计算得分(INDEX([1]Sheet1!$F:$F, MATCH(A44, [1]Sheet1!$B:$B,0)), 固定数据!T41, 固定数据!U41, 0.02, 3,0, 1)</f>
        <v>47.96</v>
      </c>
      <c r="L44" s="2" t="str" cm="1">
        <f t="array" ref="L44">计算得分(INDEX([1]Sheet1!$U:$U, MATCH(A44, [1]Sheet1!$B:$B,0)), 固定数据!V41, 固定数据!W41, 0.2, 20,0, 0)</f>
        <v>--</v>
      </c>
      <c r="M44" s="2" t="str" cm="1">
        <f t="array" ref="M44">计算得分(100, 固定数据!X41, 固定数据!Y41, 0, 5,0, 0)</f>
        <v>--</v>
      </c>
      <c r="N44" s="2" t="str" cm="1">
        <f t="array" ref="N44">计算得分(100, 固定数据!Z41, 固定数据!AA41, 0, 5,0, 0)</f>
        <v>--</v>
      </c>
      <c r="O44" s="2" t="str" cm="1">
        <f t="array" ref="O44">计算得分(100, 固定数据!AB41, 固定数据!AC41, 0, 7,0, 0)</f>
        <v>--</v>
      </c>
      <c r="P44" s="2" t="str" cm="1">
        <f t="array" ref="P44">计算得分(INDEX([1]Sheet1!$P:$P, MATCH(A44, [1]Sheet1!$B:$B,0)), 固定数据!AD41, 固定数据!AE41, 0.2, 7,0, 0)</f>
        <v>--</v>
      </c>
      <c r="Q44" s="2" cm="1">
        <f t="array" ref="Q44">计算得分(INDEX([1]Sheet1!$I:$I, MATCH(A44, [1]Sheet1!$B:$B,0)), 固定数据!AF41, 固定数据!AG41,0.2, IF(固定数据!AF41&lt;&gt;"--",固定数据!AF41,0),2, 5)</f>
        <v>133.16999999999999</v>
      </c>
      <c r="R44" s="2" cm="1">
        <f t="array" ref="R44">计算得分(INDEX([2]Sheet1!$AL:$AL, MATCH(A44, [2]Sheet1!$A:$A,0)), 固定数据!AH41, 固定数据!AI41, 0.02, 6,6, 1)</f>
        <v>125</v>
      </c>
      <c r="S44" s="2" cm="1">
        <f t="array" ref="S44">计算得分(INDEX([2]Sheet1!$I:$I, MATCH(A44, [2]Sheet1!$A:$A,0)), 固定数据!AJ41, 固定数据!AK41, 0.005, 6,0, 1)</f>
        <v>379</v>
      </c>
      <c r="T44" s="2" cm="1">
        <f t="array" ref="T44">计算得分(98, 固定数据!AL41, 固定数据!AM41, 0.03, IF(固定数据!AL41&lt;&gt;"--",固定数据!AL41,0),0, 3)</f>
        <v>98</v>
      </c>
      <c r="U44" s="2" cm="1">
        <f t="array" ref="U44">计算得分(INDEX([1]Sheet1!$G:$G, MATCH(A44, [1]Sheet1!$B:$B,0)), 固定数据!AN41, 固定数据!AO41, 0.5, 3,0, 0)</f>
        <v>9.2100000000000009</v>
      </c>
      <c r="V44" s="2" cm="1">
        <f t="array" ref="V44">计算得分(INDEX([1]Sheet1!$H:$H, MATCH(A44, [1]Sheet1!$B:$B,0)), 固定数据!AP41, 固定数据!AQ41, 0.4, 5,0, 1)</f>
        <v>2.19</v>
      </c>
      <c r="W44" s="2" cm="1">
        <f t="array" ref="W44">计算得分(INDEX([1]Sheet1!$J:$J, MATCH(A44, [1]Sheet1!$B:$B,0)), 固定数据!AR41, 固定数据!AS41, 0.2, 2,2, 4)</f>
        <v>133.16999999999999</v>
      </c>
      <c r="X44" s="2" cm="1">
        <f t="array" ref="X44">计算得分(INDEX([1]Sheet1!$K:$K, MATCH(A44, [1]Sheet1!$B:$B,0)), 固定数据!AT41, 固定数据!AU41, 0.2, 1.5,1.5, 4)</f>
        <v>9278.59</v>
      </c>
      <c r="Y44" s="2" cm="1">
        <f t="array" ref="Y44">计算得分(INDEX([1]Sheet1!$AA:$AA, MATCH(A44, [1]Sheet1!$B:$B,0)), 固定数据!AV41, 固定数据!AW41, 0.05, IF(固定数据!AV41&lt;&gt;"--",固定数据!AV41,0),0, 3)</f>
        <v>93</v>
      </c>
      <c r="Z44" s="2" cm="1">
        <f t="array" ref="Z44">计算得分(INDEX([1]Sheet1!$AB:$AB, MATCH(A44, [1]Sheet1!$B:$B,0)), 固定数据!AX41, 固定数据!AY41, 0.05, IF(固定数据!AX41&lt;&gt;"--",固定数据!AX41,0),0, 3)</f>
        <v>95.8</v>
      </c>
      <c r="AA44" s="2" cm="1">
        <f t="array" ref="AA44">计算得分(INDEX([1]Sheet1!$AC:$AC, MATCH(A44, [1]Sheet1!$B:$B,0)), 固定数据!AZ41, 固定数据!BA41, 0.04, IF(固定数据!AZ41&lt;&gt;"--",固定数据!AZ41,0),0, 3)</f>
        <v>91</v>
      </c>
      <c r="AB44" s="2" cm="1">
        <f t="array" ref="AB44">计算得分(INDEX([1]Sheet1!$AD:$AD, MATCH(A44, [1]Sheet1!$B:$B,0)), 固定数据!BB41, 固定数据!BC41, 0.03, IF(固定数据!BB41&lt;&gt;"--",固定数据!BB41,0),0, 3)</f>
        <v>93</v>
      </c>
      <c r="AC44" s="2" cm="1">
        <f t="array" ref="AC44">计算得分(INDEX([1]Sheet1!$AE:$AE, MATCH(A44, [1]Sheet1!$B:$B,0)), 固定数据!BD41, 固定数据!BE41, 0.04, IF(固定数据!BD41&lt;&gt;"--",固定数据!BD41,0),0, 3)</f>
        <v>95.75</v>
      </c>
      <c r="AD44" s="2" cm="1">
        <f t="array" ref="AD44">计算得分(INDEX([1]Sheet1!$L:$L, MATCH(A44, [1]Sheet1!$B:$B,0)), 固定数据!BF41, 固定数据!BG41, 0.1, 12.5,0, 3)</f>
        <v>6125.77</v>
      </c>
      <c r="AE44" s="2" cm="1">
        <f t="array" ref="AE44">计算得分(INDEX([1]Sheet1!$N:$N, MATCH(A44, [1]Sheet1!$B:$B,0)), 固定数据!BH41, 固定数据!BI41, 0.2, 7,0, 0)</f>
        <v>10.96</v>
      </c>
      <c r="AF44" s="2" cm="1">
        <f t="array" ref="AF44">计算得分(INDEX([1]Sheet1!$Q:$Q, MATCH(A44, [1]Sheet1!$B:$B,0)), 固定数据!BJ41, 固定数据!BK41, 0.2, 7,0, 0)</f>
        <v>24</v>
      </c>
      <c r="AG44" s="2" cm="1">
        <f t="array" ref="AG44">计算得分(INDEX([1]Sheet1!$S:$S, MATCH(A44, [1]Sheet1!$B:$B,0)), 固定数据!BL41, 固定数据!BM41, 0.2, 20,0, 0)</f>
        <v>86.92</v>
      </c>
      <c r="AH44" s="6" t="str" cm="1">
        <f t="array" ref="AH44">计算得分(INDEX([1]Sheet1!$AF:$AF, MATCH(A44, [1]Sheet1!$B:$B,0)), 固定数据!BN41, 固定数据!BO41, 0.1, 10,0, 3)</f>
        <v>--</v>
      </c>
      <c r="AI44" s="2" t="str" cm="1">
        <f t="array" ref="AI44">计算得分(INDEX([1]Sheet1!$M:$M, MATCH(A44, [1]Sheet1!$B:$B,0)), 固定数据!BP41, 固定数据!BQ41, 0.2, 20,0, 3)</f>
        <v>--</v>
      </c>
      <c r="AJ44" s="2" cm="1">
        <f t="array" ref="AJ44">计算得分(INDEX([1]Sheet1!$Z:$Z, MATCH(A44, [1]Sheet1!$B:$B,0)), 固定数据!BR41, 固定数据!BS41, 10, 50,0, 0)</f>
        <v>0</v>
      </c>
      <c r="AK44" s="2" t="str" cm="1">
        <f t="array" ref="AK44">计算得分(INDEX([1]Sheet1!$O:$O, MATCH(A44, [1]Sheet1!$B:$B,0)), 固定数据!BT41, 固定数据!BU41, 0.2, 15,0, 0)</f>
        <v>--</v>
      </c>
      <c r="AL44" s="2" t="str" cm="1">
        <f t="array" ref="AL44">计算得分(INDEX([1]Sheet1!$R:$R, MATCH(A44, [1]Sheet1!$B:$B,0)), 固定数据!BV41, 固定数据!BW41, 0.2, 10,0, 0)</f>
        <v>--</v>
      </c>
      <c r="AM44" s="2" t="str" cm="1">
        <f t="array" ref="AM44">计算得分(INDEX([1]Sheet1!$T:$T, MATCH(A44, [1]Sheet1!$B:$B,0)), 固定数据!BX41, 固定数据!BY41, 0.2, 20,0, 0)</f>
        <v>--</v>
      </c>
      <c r="AN44" s="2" t="str" cm="1">
        <f t="array" ref="AN44">计算得分([3]Sheet1!$F$3, 固定数据!BZ41, 固定数据!CA41, 0.5, 15,0, 0)</f>
        <v>--</v>
      </c>
      <c r="AO44" s="6" t="str" cm="1">
        <f t="array" ref="AO44">计算得分([3]Sheet1!$G$3, 固定数据!CB41, 固定数据!CC41, 0.01, 5,0, 1)</f>
        <v>--</v>
      </c>
      <c r="AP44" s="6" t="str" cm="1">
        <f t="array" ref="AP44">计算得分([3]Sheet1!$H$3, 固定数据!CD41, 固定数据!CE41, 0.001, 5,0, 1)</f>
        <v>--</v>
      </c>
      <c r="AQ44" s="6" t="str" cm="1">
        <f t="array" ref="AQ44">计算得分([3]Sheet1!$D$3,固定数据!CF41,固定数据!CG41,0.05,5,0,3)</f>
        <v>--</v>
      </c>
      <c r="AR44" s="6" t="str" cm="1">
        <f t="array" ref="AR44">计算得分([3]Sheet1!$E$3,固定数据!CH41,固定数据!CI41,0.1,10,0,3)</f>
        <v>--</v>
      </c>
      <c r="AS44" s="7" t="s">
        <v>74</v>
      </c>
      <c r="AT44" s="6" t="str" cm="1">
        <f t="array" ref="AT44">计算得分(INDEX([3]Sheet1!$J:$J, MATCH(A44, [3]Sheet1!$B:$B,0)), 固定数据!CL41, 固定数据!CM41, 2, 0,-10, 0)</f>
        <v>--</v>
      </c>
      <c r="AU44" s="2" t="str" cm="1">
        <f t="array" ref="AU44">计算得分(INDEX([3]Sheet1!$K:$K, MATCH(A44, [3]Sheet1!$B:$B,0)), 固定数据!CN41, 固定数据!CO41, 3, 0,-10, 0)</f>
        <v>--</v>
      </c>
      <c r="AV44" s="2" t="str" cm="1">
        <f t="array" ref="AV44">计算得分(INDEX([3]Sheet1!$L:$L, MATCH(A44, [3]Sheet1!$B:$B,0)), 固定数据!CP41, 固定数据!CQ41, 3, 0,-10, 0)</f>
        <v>--</v>
      </c>
      <c r="AW44" s="2" t="str" cm="1">
        <f t="array" ref="AW44">计算得分(INDEX([3]Sheet1!$M:$M, MATCH(A44, [3]Sheet1!$B:$B,0)), 固定数据!CR41, 固定数据!CS41, 100, 0,-100, 0)</f>
        <v>--</v>
      </c>
      <c r="AX44" s="2" t="str" cm="1">
        <f t="array" ref="AX44">计算得分(INDEX([3]Sheet1!$N:$N, MATCH(A44, [3]Sheet1!$B:$B,0)), 固定数据!CT41, 固定数据!CU41, 3, 0,-10, 0)</f>
        <v>--</v>
      </c>
      <c r="AY44" s="7" t="s">
        <v>74</v>
      </c>
      <c r="AZ44" s="7" t="s">
        <v>74</v>
      </c>
      <c r="BA44" s="2" t="str">
        <f>IFERROR(VLOOKUP(A44,[4]KPI评分!B:C,2,FALSE)*60%,"--")</f>
        <v>--</v>
      </c>
    </row>
    <row r="45" spans="1:53" ht="24.6" customHeight="1" x14ac:dyDescent="0.25">
      <c r="A45" s="3" t="s">
        <v>113</v>
      </c>
      <c r="B45" s="4" cm="1">
        <f t="array" ref="B45">计算得分(INDEX([1]Sheet1!$W:$W, MATCH(A45, [1]Sheet1!$B:$B,0)), 固定数据!B42, 固定数据!C42, 0.5, 0,-10, 0)</f>
        <v>0</v>
      </c>
      <c r="C45" s="4" cm="1">
        <f t="array" ref="C45">计算得分(INDEX([1]Sheet1!$X:$X, MATCH(A45, [1]Sheet1!$B:$B,0)), 固定数据!D42, 固定数据!E42, 1, 0,-10, 0)</f>
        <v>0</v>
      </c>
      <c r="D45" s="4" cm="1">
        <f t="array" ref="D45">计算得分(INDEX([1]Sheet1!$Y:$Y, MATCH(A45, [1]Sheet1!$B:$B,0)), 固定数据!F42, 固定数据!G42, 2, 0,-10, 0)</f>
        <v>0</v>
      </c>
      <c r="E45" s="4" cm="1">
        <f t="array" ref="E45">计算得分(INDEX([1]Sheet1!$C:$C, MATCH(A45, [1]Sheet1!$B:$B,0)), 固定数据!H42, 固定数据!I42, 0.02, 10,0, 1)</f>
        <v>202</v>
      </c>
      <c r="F45" s="4" t="str" cm="1">
        <f t="array" ref="F45">计算得分(INDEX([1]Sheet1!$D:$D, MATCH(A45, [1]Sheet1!$B:$B,0)), 固定数据!J42, 固定数据!K42, 0, 0,0, 0)</f>
        <v>--</v>
      </c>
      <c r="G45" s="4" cm="1">
        <f t="array" ref="G45">计算得分(INDEX([1]Sheet1!$E:$E, MATCH(A45, [1]Sheet1!$B:$B,0)), 固定数据!L42, 固定数据!M42, 0.3, 3,0, 5)</f>
        <v>29902.82</v>
      </c>
      <c r="H45" s="4" cm="1">
        <f t="array" ref="H45">计算得分(INDEX([1]Sheet1!$AG:$AG, MATCH(A45, [1]Sheet1!$B:$B,0)), 固定数据!N42, 固定数据!O42, 0.03, 3,0, 3)</f>
        <v>87</v>
      </c>
      <c r="I45" s="4" cm="1">
        <f t="array" ref="I45">计算得分(INDEX([1]Sheet1!$V:$V, MATCH(A45, [1]Sheet1!$B:$B,0)), 固定数据!P42, 固定数据!Q42, 1, 0,-100, 0)</f>
        <v>0</v>
      </c>
      <c r="J45" s="4" cm="1">
        <f t="array" ref="J45">计算得分(INDEX([1]Sheet1!$AI:$AI, MATCH(A45, [1]Sheet1!$B:$B,0)), 固定数据!R42, 固定数据!S42, 0.04, 12,0, 3)</f>
        <v>100</v>
      </c>
      <c r="K45" s="4" t="str" cm="1">
        <f t="array" ref="K45">计算得分(INDEX([1]Sheet1!$F:$F, MATCH(A45, [1]Sheet1!$B:$B,0)), 固定数据!T42, 固定数据!U42, 0.02, 3,0, 1)</f>
        <v>--</v>
      </c>
      <c r="L45" s="4" t="str" cm="1">
        <f t="array" ref="L45">计算得分(INDEX([1]Sheet1!$U:$U, MATCH(A45, [1]Sheet1!$B:$B,0)), 固定数据!V42, 固定数据!W42, 0.2, 20,0, 0)</f>
        <v>--</v>
      </c>
      <c r="M45" s="4" t="str" cm="1">
        <f t="array" ref="M45">计算得分(100, 固定数据!X42, 固定数据!Y42, 0, 5,0, 0)</f>
        <v>--</v>
      </c>
      <c r="N45" s="4" t="str" cm="1">
        <f t="array" ref="N45">计算得分(100, 固定数据!Z42, 固定数据!AA42, 0, 5,0, 0)</f>
        <v>--</v>
      </c>
      <c r="O45" s="4" t="str" cm="1">
        <f t="array" ref="O45">计算得分(100, 固定数据!AB42, 固定数据!AC42, 0, 7,0, 0)</f>
        <v>--</v>
      </c>
      <c r="P45" s="4" t="str" cm="1">
        <f t="array" ref="P45">计算得分(INDEX([1]Sheet1!$P:$P, MATCH(A45, [1]Sheet1!$B:$B,0)), 固定数据!AD42, 固定数据!AE42, 0.2, 7,0, 0)</f>
        <v>--</v>
      </c>
      <c r="Q45" s="4" t="str" cm="1">
        <f t="array" ref="Q45">计算得分(INDEX([1]Sheet1!$I:$I, MATCH(A45, [1]Sheet1!$B:$B,0)), 固定数据!AF42, 固定数据!AG42,0.2, IF(固定数据!AF42&lt;&gt;"--",固定数据!AF42,0),2, 5)</f>
        <v>--</v>
      </c>
      <c r="R45" s="4" t="str" cm="1">
        <f t="array" ref="R45">计算得分(INDEX([2]Sheet1!$AL:$AL, MATCH(A45, [2]Sheet1!$A:$A,0)), 固定数据!AH42, 固定数据!AI42, 0.02, 6,6, 1)</f>
        <v>--</v>
      </c>
      <c r="S45" s="4" t="str" cm="1">
        <f t="array" ref="S45">计算得分(INDEX([2]Sheet1!$I:$I, MATCH(A45, [2]Sheet1!$A:$A,0)), 固定数据!AJ42, 固定数据!AK42, 0.005, 6,0, 1)</f>
        <v>--</v>
      </c>
      <c r="T45" s="4" cm="1">
        <f t="array" ref="T45">计算得分(98, 固定数据!AL42, 固定数据!AM42, 0.03, IF(固定数据!AL42&lt;&gt;"--",固定数据!AL42,0),0, 3)</f>
        <v>98</v>
      </c>
      <c r="U45" s="4" t="str" cm="1">
        <f t="array" ref="U45">计算得分(INDEX([1]Sheet1!$G:$G, MATCH(A45, [1]Sheet1!$B:$B,0)), 固定数据!AN42, 固定数据!AO42, 0.5, 3,0, 0)</f>
        <v>--</v>
      </c>
      <c r="V45" s="4" t="str" cm="1">
        <f t="array" ref="V45">计算得分(INDEX([1]Sheet1!$H:$H, MATCH(A45, [1]Sheet1!$B:$B,0)), 固定数据!AP42, 固定数据!AQ42, 0.4, 5,0, 1)</f>
        <v>--</v>
      </c>
      <c r="W45" s="4" t="str" cm="1">
        <f t="array" ref="W45">计算得分(INDEX([1]Sheet1!$J:$J, MATCH(A45, [1]Sheet1!$B:$B,0)), 固定数据!AR42, 固定数据!AS42, 0.2, 2,2, 4)</f>
        <v>--</v>
      </c>
      <c r="X45" s="4" t="str" cm="1">
        <f t="array" ref="X45">计算得分(INDEX([1]Sheet1!$K:$K, MATCH(A45, [1]Sheet1!$B:$B,0)), 固定数据!AT42, 固定数据!AU42, 0.2, 1.5,1.5, 4)</f>
        <v>--</v>
      </c>
      <c r="Y45" s="4" cm="1">
        <f t="array" ref="Y45">计算得分(INDEX([1]Sheet1!$AA:$AA, MATCH(A45, [1]Sheet1!$B:$B,0)), 固定数据!AV42, 固定数据!AW42, 0.05, IF(固定数据!AV42&lt;&gt;"--",固定数据!AV42,0),0, 3)</f>
        <v>94</v>
      </c>
      <c r="Z45" s="4" cm="1">
        <f t="array" ref="Z45">计算得分(INDEX([1]Sheet1!$AB:$AB, MATCH(A45, [1]Sheet1!$B:$B,0)), 固定数据!AX42, 固定数据!AY42, 0.05, IF(固定数据!AX42&lt;&gt;"--",固定数据!AX42,0),0, 3)</f>
        <v>95</v>
      </c>
      <c r="AA45" s="4" cm="1">
        <f t="array" ref="AA45">计算得分(INDEX([1]Sheet1!$AC:$AC, MATCH(A45, [1]Sheet1!$B:$B,0)), 固定数据!AZ42, 固定数据!BA42, 0.04, IF(固定数据!AZ42&lt;&gt;"--",固定数据!AZ42,0),0, 3)</f>
        <v>98</v>
      </c>
      <c r="AB45" s="4" cm="1">
        <f t="array" ref="AB45">计算得分(INDEX([1]Sheet1!$AD:$AD, MATCH(A45, [1]Sheet1!$B:$B,0)), 固定数据!BB42, 固定数据!BC42, 0.03, IF(固定数据!BB42&lt;&gt;"--",固定数据!BB42,0),0, 3)</f>
        <v>100</v>
      </c>
      <c r="AC45" s="4" cm="1">
        <f t="array" ref="AC45">计算得分(INDEX([1]Sheet1!$AE:$AE, MATCH(A45, [1]Sheet1!$B:$B,0)), 固定数据!BD42, 固定数据!BE42, 0.04, IF(固定数据!BD42&lt;&gt;"--",固定数据!BD42,0),0, 3)</f>
        <v>96.09</v>
      </c>
      <c r="AD45" s="4" t="str" cm="1">
        <f t="array" ref="AD45">计算得分(INDEX([1]Sheet1!$L:$L, MATCH(A45, [1]Sheet1!$B:$B,0)), 固定数据!BF42, 固定数据!BG42, 0.1, 12.5,0, 3)</f>
        <v>--</v>
      </c>
      <c r="AE45" s="4" t="str" cm="1">
        <f t="array" ref="AE45">计算得分(INDEX([1]Sheet1!$N:$N, MATCH(A45, [1]Sheet1!$B:$B,0)), 固定数据!BH42, 固定数据!BI42, 0.2, 7,0, 0)</f>
        <v>--</v>
      </c>
      <c r="AF45" s="4" cm="1">
        <f t="array" ref="AF45">计算得分(INDEX([1]Sheet1!$Q:$Q, MATCH(A45, [1]Sheet1!$B:$B,0)), 固定数据!BJ42, 固定数据!BK42, 0.2, 10,0, 0)</f>
        <v>23.69</v>
      </c>
      <c r="AG45" s="4" t="str" cm="1">
        <f t="array" ref="AG45">计算得分(INDEX([1]Sheet1!$S:$S, MATCH(A45, [1]Sheet1!$B:$B,0)), 固定数据!BL42, 固定数据!BM42, 0.2, 20,0, 0)</f>
        <v>--</v>
      </c>
      <c r="AH45" s="4" t="str" cm="1">
        <f t="array" ref="AH45">计算得分(INDEX([1]Sheet1!$AF:$AF, MATCH(A45, [1]Sheet1!$B:$B,0)), 固定数据!BN42, 固定数据!BO42, 0.1, 10,0, 3)</f>
        <v>--</v>
      </c>
      <c r="AI45" s="4" cm="1">
        <f t="array" ref="AI45">计算得分(INDEX([1]Sheet1!$M:$M, MATCH(A45, [1]Sheet1!$B:$B,0)), 固定数据!BP42, 固定数据!BQ42, 0.1, 10,0, 3)</f>
        <v>895.39</v>
      </c>
      <c r="AJ45" s="4" cm="1">
        <f t="array" ref="AJ45">计算得分(INDEX([1]Sheet1!$Z:$Z, MATCH(A45, [1]Sheet1!$B:$B,0)), 固定数据!BR42, 固定数据!BS42, 10, 50,0, 0)</f>
        <v>0</v>
      </c>
      <c r="AK45" s="4" cm="1">
        <f t="array" ref="AK45">计算得分(INDEX([1]Sheet1!$O:$O, MATCH(A45, [1]Sheet1!$B:$B,0)), 固定数据!BT42, 固定数据!BU42, 0.2, 15,0, 0)</f>
        <v>12.87</v>
      </c>
      <c r="AL45" s="4" t="str" cm="1">
        <f t="array" ref="AL45">计算得分(INDEX([1]Sheet1!$R:$R, MATCH(A45, [1]Sheet1!$B:$B,0)), 固定数据!BV42, 固定数据!BW42, 0.2, 10,0, 0)</f>
        <v>--</v>
      </c>
      <c r="AM45" s="4" cm="1">
        <f t="array" ref="AM45">计算得分(INDEX([1]Sheet1!$T:$T, MATCH(A45, [1]Sheet1!$B:$B,0)), 固定数据!BX42, 固定数据!BY42, 0.2, 25,0, 0)</f>
        <v>190.98</v>
      </c>
      <c r="AN45" s="4" t="str" cm="1">
        <f t="array" ref="AN45">计算得分([3]Sheet1!$F$3, 固定数据!BZ42, 固定数据!CA42, 0.5, 15,0, 0)</f>
        <v>--</v>
      </c>
      <c r="AO45" s="4" t="str" cm="1">
        <f t="array" ref="AO45">计算得分([3]Sheet1!$G$3, 固定数据!CB42, 固定数据!CC42, 0.01, 5,0, 1)</f>
        <v>--</v>
      </c>
      <c r="AP45" s="4" t="str" cm="1">
        <f t="array" ref="AP45">计算得分([3]Sheet1!$H$3, 固定数据!CD42, 固定数据!CE42, 0.001, 5,0, 1)</f>
        <v>--</v>
      </c>
      <c r="AQ45" s="4" t="str" cm="1">
        <f t="array" ref="AQ45">计算得分([3]Sheet1!$D$3,固定数据!CF42,固定数据!CG42,0.05,5,0,3)</f>
        <v>--</v>
      </c>
      <c r="AR45" s="4" t="str" cm="1">
        <f t="array" ref="AR45">计算得分([3]Sheet1!$E$3,固定数据!CH42,固定数据!CI42,0.1,10,0,3)</f>
        <v>--</v>
      </c>
      <c r="AS45" s="8" t="s">
        <v>74</v>
      </c>
      <c r="AT45" s="4" t="str" cm="1">
        <f t="array" ref="AT45">计算得分(INDEX([3]Sheet1!$J:$J, MATCH(A45, [3]Sheet1!$B:$B,0)), 固定数据!CL42, 固定数据!CM42, 2, 0,-10, 0)</f>
        <v>--</v>
      </c>
      <c r="AU45" s="4" t="str" cm="1">
        <f t="array" ref="AU45">计算得分(INDEX([3]Sheet1!$K:$K, MATCH(A45, [3]Sheet1!$B:$B,0)), 固定数据!CN42, 固定数据!CO42, 3, 0,-10, 0)</f>
        <v>--</v>
      </c>
      <c r="AV45" s="4" t="str" cm="1">
        <f t="array" ref="AV45">计算得分(INDEX([3]Sheet1!$L:$L, MATCH(A45, [3]Sheet1!$B:$B,0)), 固定数据!CP42, 固定数据!CQ42, 3, 0,-10, 0)</f>
        <v>--</v>
      </c>
      <c r="AW45" s="4" t="str" cm="1">
        <f t="array" ref="AW45">计算得分(INDEX([3]Sheet1!$M:$M, MATCH(A45, [3]Sheet1!$B:$B,0)), 固定数据!CR42, 固定数据!CS42, 100, 0,-100, 0)</f>
        <v>--</v>
      </c>
      <c r="AX45" s="4" t="str" cm="1">
        <f t="array" ref="AX45">计算得分(INDEX([3]Sheet1!$N:$N, MATCH(A45, [3]Sheet1!$B:$B,0)), 固定数据!CT42, 固定数据!CU42, 3, 0,-10, 0)</f>
        <v>--</v>
      </c>
      <c r="AY45" s="8" t="s">
        <v>74</v>
      </c>
      <c r="AZ45" s="8" t="s">
        <v>74</v>
      </c>
      <c r="BA45" s="4" t="str">
        <f>IFERROR(VLOOKUP(A45,[4]KPI评分!B:C,2,FALSE)*60%,"--")</f>
        <v>--</v>
      </c>
    </row>
    <row r="46" spans="1:53" ht="24.75" customHeight="1" x14ac:dyDescent="0.25">
      <c r="A46" s="1" t="s">
        <v>114</v>
      </c>
      <c r="B46" s="2" cm="1">
        <f t="array" ref="B46">计算得分(INDEX([1]Sheet1!$W:$W, MATCH(A46, [1]Sheet1!$B:$B,0)), 固定数据!B43, 固定数据!C43, 0.5, 0,-10, 0)</f>
        <v>0</v>
      </c>
      <c r="C46" s="2" cm="1">
        <f t="array" ref="C46">计算得分(INDEX([1]Sheet1!$X:$X, MATCH(A46, [1]Sheet1!$B:$B,0)), 固定数据!D43, 固定数据!E43, 1, 0,-10, 0)</f>
        <v>0</v>
      </c>
      <c r="D46" s="2" cm="1">
        <f t="array" ref="D46">计算得分(INDEX([1]Sheet1!$Y:$Y, MATCH(A46, [1]Sheet1!$B:$B,0)), 固定数据!F43, 固定数据!G43, 2, 0,-10, 0)</f>
        <v>0</v>
      </c>
      <c r="E46" s="6" t="str" cm="1">
        <f t="array" ref="E46">计算得分(INDEX([1]Sheet1!$C:$C, MATCH(A46, [1]Sheet1!$B:$B,0)), 固定数据!H43, 固定数据!I43, 0.02, 10,0, 1)</f>
        <v>--</v>
      </c>
      <c r="F46" s="2" t="str" cm="1">
        <f t="array" ref="F46">计算得分(INDEX([1]Sheet1!$D:$D, MATCH(A46, [1]Sheet1!$B:$B,0)), 固定数据!J43, 固定数据!K43, 0, 0,0, 0)</f>
        <v>--</v>
      </c>
      <c r="G46" s="2" cm="1">
        <f t="array" ref="G46">计算得分(INDEX([1]Sheet1!$E:$E, MATCH(A46, [1]Sheet1!$B:$B,0)), 固定数据!L43, 固定数据!M43,  0.3, 3,0, 5)</f>
        <v>63202.9</v>
      </c>
      <c r="H46" s="2" cm="1">
        <f t="array" ref="H46">计算得分(INDEX([1]Sheet1!$AG:$AG, MATCH(A46, [1]Sheet1!$B:$B,0)), 固定数据!N43, 固定数据!O43, 0.03, 3,0, 3)</f>
        <v>80.33</v>
      </c>
      <c r="I46" s="2" cm="1">
        <f t="array" ref="I46">计算得分(INDEX([1]Sheet1!$V:$V, MATCH(A46, [1]Sheet1!$B:$B,0)), 固定数据!P43, 固定数据!Q43, 1, 0,-100, 0)</f>
        <v>0</v>
      </c>
      <c r="J46" s="2" t="str" cm="1">
        <f t="array" ref="J46">计算得分(INDEX([1]Sheet1!$AI:$AI, MATCH(A46, [1]Sheet1!$B:$B,0)), 固定数据!R43, 固定数据!S43, 0.04, 12,0, 3)</f>
        <v>--</v>
      </c>
      <c r="K46" s="2" cm="1">
        <f t="array" ref="K46">计算得分(INDEX([1]Sheet1!$F:$F, MATCH(A46, [1]Sheet1!$B:$B,0)), 固定数据!T43, 固定数据!U43, 0.02, 3,0, 1)</f>
        <v>93.32</v>
      </c>
      <c r="L46" s="2" cm="1">
        <f t="array" ref="L46">计算得分(INDEX([1]Sheet1!$U:$U, MATCH(A46, [1]Sheet1!$B:$B,0)), 固定数据!V43, 固定数据!W43, 0.2, 20,0, 0)</f>
        <v>23.28</v>
      </c>
      <c r="M46" s="2" t="str" cm="1">
        <f t="array" ref="M46">计算得分(100, 固定数据!X43, 固定数据!Y43, 0, 5,0, 0)</f>
        <v>--</v>
      </c>
      <c r="N46" s="2" t="str" cm="1">
        <f t="array" ref="N46">计算得分(100, 固定数据!Z43, 固定数据!AA43, 0, 5,0, 0)</f>
        <v>--</v>
      </c>
      <c r="O46" s="2" t="str" cm="1">
        <f t="array" ref="O46">计算得分(100, 固定数据!AB43, 固定数据!AC43, 0, 7,0, 0)</f>
        <v>--</v>
      </c>
      <c r="P46" s="2" t="str" cm="1">
        <f t="array" ref="P46">计算得分(INDEX([1]Sheet1!$P:$P, MATCH(A46, [1]Sheet1!$B:$B,0)), 固定数据!AD43, 固定数据!AE43, 0.2, 7,0, 0)</f>
        <v>--</v>
      </c>
      <c r="Q46" s="2" cm="1">
        <f t="array" ref="Q46">计算得分(INDEX([1]Sheet1!$I:$I, MATCH(A46, [1]Sheet1!$B:$B,0)), 固定数据!AF43, 固定数据!AG43,0.2, IF(固定数据!AF43&lt;&gt;"--",固定数据!AF43,0),1.5, 5)</f>
        <v>560.89</v>
      </c>
      <c r="R46" s="2" cm="1">
        <f t="array" ref="R46">计算得分(INDEX([2]Sheet1!$AL:$AL, MATCH(A46, [2]Sheet1!$A:$A,0)), 固定数据!AH43, 固定数据!AI43, 0.02, 5,0, 1)</f>
        <v>413</v>
      </c>
      <c r="S46" s="2" cm="1">
        <f t="array" ref="S46">计算得分(INDEX([2]Sheet1!$I:$I, MATCH(A46, [2]Sheet1!$A:$A,0)), 固定数据!AJ43, 固定数据!AK43, 0.005, 5,0, 1)</f>
        <v>794</v>
      </c>
      <c r="T46" s="2" cm="1">
        <f t="array" ref="T46">计算得分(98, 固定数据!AL43, 固定数据!AM43, 0.03, IF(固定数据!AL43&lt;&gt;"--",固定数据!AL43,0),0, 3)</f>
        <v>98</v>
      </c>
      <c r="U46" s="2" cm="1">
        <f t="array" ref="U46">计算得分(INDEX([1]Sheet1!$G:$G, MATCH(A46, [1]Sheet1!$B:$B,0)), 固定数据!AN43, 固定数据!AO43, 0.5, 3,0, 0)</f>
        <v>16.04</v>
      </c>
      <c r="V46" s="2" cm="1">
        <f t="array" ref="V46">计算得分(INDEX([1]Sheet1!$H:$H, MATCH(A46, [1]Sheet1!$B:$B,0)), 固定数据!AP43, 固定数据!AQ43, 0.4, 5,0, 1)</f>
        <v>2.42</v>
      </c>
      <c r="W46" s="2" cm="1">
        <f t="array" ref="W46">计算得分(INDEX([1]Sheet1!$J:$J, MATCH(A46, [1]Sheet1!$B:$B,0)), 固定数据!AR43, 固定数据!AS43, 0.2, 1.5,1.5, 4)</f>
        <v>560.89</v>
      </c>
      <c r="X46" s="2" cm="1">
        <f t="array" ref="X46">计算得分(INDEX([1]Sheet1!$K:$K, MATCH(A46, [1]Sheet1!$B:$B,0)), 固定数据!AT43, 固定数据!AU43, 0.2, 1.5,1.5, 4)</f>
        <v>27182.1</v>
      </c>
      <c r="Y46" s="2" cm="1">
        <f t="array" ref="Y46">计算得分(INDEX([1]Sheet1!$AA:$AA, MATCH(A46, [1]Sheet1!$B:$B,0)), 固定数据!AV43, 固定数据!AW43, 0.05, IF(固定数据!AV43&lt;&gt;"--",固定数据!AV43,0),0, 3)</f>
        <v>89.83</v>
      </c>
      <c r="Z46" s="2" cm="1">
        <f t="array" ref="Z46">计算得分(INDEX([1]Sheet1!$AB:$AB, MATCH(A46, [1]Sheet1!$B:$B,0)), 固定数据!AX43, 固定数据!AY43, 0.05, IF(固定数据!AX43&lt;&gt;"--",固定数据!AX43,0),0, 3)</f>
        <v>95.8</v>
      </c>
      <c r="AA46" s="2" cm="1">
        <f t="array" ref="AA46">计算得分(INDEX([1]Sheet1!$AC:$AC, MATCH(A46, [1]Sheet1!$B:$B,0)), 固定数据!AZ43, 固定数据!BA43, 0.04, IF(固定数据!AZ43&lt;&gt;"--",固定数据!AZ43,0),0, 3)</f>
        <v>94</v>
      </c>
      <c r="AB46" s="2" cm="1">
        <f t="array" ref="AB46">计算得分(INDEX([1]Sheet1!$AD:$AD, MATCH(A46, [1]Sheet1!$B:$B,0)), 固定数据!BB43, 固定数据!BC43, 0.03, IF(固定数据!BB43&lt;&gt;"--",固定数据!BB43,0),0, 3)</f>
        <v>97.3</v>
      </c>
      <c r="AC46" s="2" cm="1">
        <f t="array" ref="AC46">计算得分(INDEX([1]Sheet1!$AE:$AE, MATCH(A46, [1]Sheet1!$B:$B,0)), 固定数据!BD43, 固定数据!BE43, 0.04, IF(固定数据!BD43&lt;&gt;"--",固定数据!BD43,0),0, 3)</f>
        <v>95.72</v>
      </c>
      <c r="AD46" s="2" cm="1">
        <f t="array" ref="AD46">计算得分(INDEX([1]Sheet1!$L:$L, MATCH(A46, [1]Sheet1!$B:$B,0)), 固定数据!BF43, 固定数据!BG43, 0.1, 12.5,0, 3)</f>
        <v>23158.67</v>
      </c>
      <c r="AE46" s="2" cm="1">
        <f t="array" ref="AE46">计算得分(INDEX([1]Sheet1!$N:$N, MATCH(A46, [1]Sheet1!$B:$B,0)), 固定数据!BH43, 固定数据!BI43, 0.2, 7,0, 0)</f>
        <v>1.56</v>
      </c>
      <c r="AF46" s="2" cm="1">
        <f t="array" ref="AF46">计算得分(INDEX([1]Sheet1!$Q:$Q, MATCH(A46, [1]Sheet1!$B:$B,0)), 固定数据!BJ43, 固定数据!BK43, 0.2, 5,0, 0)</f>
        <v>13.37</v>
      </c>
      <c r="AG46" s="2" cm="1">
        <f t="array" ref="AG46">计算得分(INDEX([1]Sheet1!$S:$S, MATCH(A46, [1]Sheet1!$B:$B,0)), 固定数据!BL43, 固定数据!BM43, 0.2, 20,0, 0)</f>
        <v>47.23</v>
      </c>
      <c r="AH46" s="6" t="str" cm="1">
        <f t="array" ref="AH46">计算得分(INDEX([1]Sheet1!$AF:$AF, MATCH(A46, [1]Sheet1!$B:$B,0)), 固定数据!BN43, 固定数据!BO43, 0.1, 10,0, 3)</f>
        <v>--</v>
      </c>
      <c r="AI46" s="2" cm="1">
        <f t="array" ref="AI46">计算得分(INDEX([1]Sheet1!$M:$M, MATCH(A46, [1]Sheet1!$B:$B,0)), 固定数据!BP43, 固定数据!BQ43, 0.08, 8,0, 3)</f>
        <v>2005.52</v>
      </c>
      <c r="AJ46" s="2" cm="1">
        <f t="array" ref="AJ46">计算得分(INDEX([1]Sheet1!$Z:$Z, MATCH(A46, [1]Sheet1!$B:$B,0)), 固定数据!BR43, 固定数据!BS43, 10, 50,0, 0)</f>
        <v>0</v>
      </c>
      <c r="AK46" s="2" t="str" cm="1">
        <f t="array" ref="AK46">计算得分(INDEX([1]Sheet1!$O:$O, MATCH(A46, [1]Sheet1!$B:$B,0)), 固定数据!BT43, 固定数据!BU43, 0.2, 15,0, 0)</f>
        <v>--</v>
      </c>
      <c r="AL46" s="2" t="str" cm="1">
        <f t="array" ref="AL46">计算得分(INDEX([1]Sheet1!$R:$R, MATCH(A46, [1]Sheet1!$B:$B,0)), 固定数据!BV43, 固定数据!BW43, 0.2, 10,0, 0)</f>
        <v>--</v>
      </c>
      <c r="AM46" s="2" t="str" cm="1">
        <f t="array" ref="AM46">计算得分(INDEX([1]Sheet1!$T:$T, MATCH(A46, [1]Sheet1!$B:$B,0)), 固定数据!BX43, 固定数据!BY43, 0.2, 20,0, 0)</f>
        <v>--</v>
      </c>
      <c r="AN46" s="2" t="str" cm="1">
        <f t="array" ref="AN46">计算得分([3]Sheet1!$F$3, 固定数据!BZ43, 固定数据!CA43, 0.5, 15,0, 0)</f>
        <v>--</v>
      </c>
      <c r="AO46" s="6" t="str" cm="1">
        <f t="array" ref="AO46">计算得分([3]Sheet1!$G$3, 固定数据!CB43, 固定数据!CC43, 0.01, 5,0, 1)</f>
        <v>--</v>
      </c>
      <c r="AP46" s="6" t="str" cm="1">
        <f t="array" ref="AP46">计算得分([3]Sheet1!$H$3, 固定数据!CD43, 固定数据!CE43, 0.001, 5,0, 1)</f>
        <v>--</v>
      </c>
      <c r="AQ46" s="6" t="str" cm="1">
        <f t="array" ref="AQ46">计算得分([3]Sheet1!$D$3,固定数据!CF43,固定数据!CG43,0.05,5,0,3)</f>
        <v>--</v>
      </c>
      <c r="AR46" s="6" t="str" cm="1">
        <f t="array" ref="AR46">计算得分([3]Sheet1!$E$3,固定数据!CH43,固定数据!CI43,0.1,10,0,3)</f>
        <v>--</v>
      </c>
      <c r="AS46" s="7" t="s">
        <v>74</v>
      </c>
      <c r="AT46" s="6" t="str" cm="1">
        <f t="array" ref="AT46">计算得分(INDEX([3]Sheet1!$J:$J, MATCH(A46, [3]Sheet1!$B:$B,0)), 固定数据!CL43, 固定数据!CM43, 2, 0,-10, 0)</f>
        <v>--</v>
      </c>
      <c r="AU46" s="2" t="str" cm="1">
        <f t="array" ref="AU46">计算得分(INDEX([3]Sheet1!$K:$K, MATCH(A46, [3]Sheet1!$B:$B,0)), 固定数据!CN43, 固定数据!CO43, 3, 0,-10, 0)</f>
        <v>--</v>
      </c>
      <c r="AV46" s="2" t="str" cm="1">
        <f t="array" ref="AV46">计算得分(INDEX([3]Sheet1!$L:$L, MATCH(A46, [3]Sheet1!$B:$B,0)), 固定数据!CP43, 固定数据!CQ43, 3, 0,-10, 0)</f>
        <v>--</v>
      </c>
      <c r="AW46" s="2" t="str" cm="1">
        <f t="array" ref="AW46">计算得分(INDEX([3]Sheet1!$M:$M, MATCH(A46, [3]Sheet1!$B:$B,0)), 固定数据!CR43, 固定数据!CS43, 100, 0,-100, 0)</f>
        <v>--</v>
      </c>
      <c r="AX46" s="2" t="str" cm="1">
        <f t="array" ref="AX46">计算得分(INDEX([3]Sheet1!$N:$N, MATCH(A46, [3]Sheet1!$B:$B,0)), 固定数据!CT43, 固定数据!CU43, 3, 0,-10, 0)</f>
        <v>--</v>
      </c>
      <c r="AY46" s="7" t="s">
        <v>74</v>
      </c>
      <c r="AZ46" s="7" t="s">
        <v>74</v>
      </c>
      <c r="BA46" s="2" t="str">
        <f>IFERROR(VLOOKUP(A46,[4]KPI评分!B:C,2,FALSE)*60%,"--")</f>
        <v>--</v>
      </c>
    </row>
    <row r="47" spans="1:53" ht="24.75" customHeight="1" x14ac:dyDescent="0.25">
      <c r="A47" s="3" t="s">
        <v>115</v>
      </c>
      <c r="B47" s="4" t="str" cm="1">
        <f t="array" ref="B47">计算得分(INDEX([1]Sheet1!$W:$W, MATCH(A47, [1]Sheet1!$B:$B,0)), 固定数据!B44, 固定数据!C44, 0.5, 0,-10, 0)</f>
        <v>--</v>
      </c>
      <c r="C47" s="4" t="str" cm="1">
        <f t="array" ref="C47">计算得分(INDEX([1]Sheet1!$X:$X, MATCH(A47, [1]Sheet1!$B:$B,0)), 固定数据!D44, 固定数据!E44, 1, 0,-10, 0)</f>
        <v>--</v>
      </c>
      <c r="D47" s="4" t="str" cm="1">
        <f t="array" ref="D47">计算得分(INDEX([1]Sheet1!$Y:$Y, MATCH(A47, [1]Sheet1!$B:$B,0)), 固定数据!F44, 固定数据!G44, 2, 0,-10, 0)</f>
        <v>--</v>
      </c>
      <c r="E47" s="4" t="str" cm="1">
        <f t="array" ref="E47">计算得分(INDEX([1]Sheet1!$C:$C, MATCH(A47, [1]Sheet1!$B:$B,0)), 固定数据!H44, 固定数据!I44, 0.02, 10,0, 1)</f>
        <v>--</v>
      </c>
      <c r="F47" s="4" t="str" cm="1">
        <f t="array" ref="F47">计算得分(INDEX([1]Sheet1!$D:$D, MATCH(A47, [1]Sheet1!$B:$B,0)), 固定数据!J44, 固定数据!K44, 0, 0,0, 0)</f>
        <v>--</v>
      </c>
      <c r="G47" s="4" t="str" cm="1">
        <f t="array" ref="G47">计算得分(INDEX([1]Sheet1!$E:$E, MATCH(A47, [1]Sheet1!$B:$B,0)), 固定数据!L44, 固定数据!M44, 0.3, 3,0, 5)</f>
        <v>--</v>
      </c>
      <c r="H47" s="4" t="str" cm="1">
        <f t="array" ref="H47">计算得分(INDEX([1]Sheet1!$AG:$AG, MATCH(A47, [1]Sheet1!$B:$B,0)), 固定数据!N44, 固定数据!O44, 0.03, 3,0, 3)</f>
        <v>--</v>
      </c>
      <c r="I47" s="4" t="str" cm="1">
        <f t="array" ref="I47">计算得分(INDEX([1]Sheet1!$V:$V, MATCH(A47, [1]Sheet1!$B:$B,0)), 固定数据!P44, 固定数据!Q44, 1, 0,-100, 0)</f>
        <v>--</v>
      </c>
      <c r="J47" s="4" t="str" cm="1">
        <f t="array" ref="J47">计算得分(INDEX([1]Sheet1!$AI:$AI, MATCH(A47, [1]Sheet1!$B:$B,0)), 固定数据!R44, 固定数据!S44, 0.04, 12,0, 3)</f>
        <v>--</v>
      </c>
      <c r="K47" s="4" t="str" cm="1">
        <f t="array" ref="K47">计算得分(INDEX([1]Sheet1!$F:$F, MATCH(A47, [1]Sheet1!$B:$B,0)), 固定数据!T44, 固定数据!U44, 0.02, 3,0, 1)</f>
        <v>--</v>
      </c>
      <c r="L47" s="4" t="str" cm="1">
        <f t="array" ref="L47">计算得分(INDEX([1]Sheet1!$U:$U, MATCH(A47, [1]Sheet1!$B:$B,0)), 固定数据!V44, 固定数据!W44, 0.2, 20,0, 0)</f>
        <v>--</v>
      </c>
      <c r="M47" s="4" t="str" cm="1">
        <f t="array" ref="M47">计算得分(100, 固定数据!X44, 固定数据!Y44, 0, 5,0, 0)</f>
        <v>--</v>
      </c>
      <c r="N47" s="4" t="str" cm="1">
        <f t="array" ref="N47">计算得分(100, 固定数据!Z44, 固定数据!AA44, 0, 5,0, 0)</f>
        <v>--</v>
      </c>
      <c r="O47" s="4" t="str" cm="1">
        <f t="array" ref="O47">计算得分(100, 固定数据!AB44, 固定数据!AC44, 0, 7,0, 0)</f>
        <v>--</v>
      </c>
      <c r="P47" s="4" t="str" cm="1">
        <f t="array" ref="P47">计算得分(INDEX([1]Sheet1!$P:$P, MATCH(A47, [1]Sheet1!$B:$B,0)), 固定数据!AD44, 固定数据!AE44, 0.2, 7,0, 0)</f>
        <v>--</v>
      </c>
      <c r="Q47" s="4" t="str" cm="1">
        <f t="array" ref="Q47">计算得分(INDEX([1]Sheet1!$I:$I, MATCH(A47, [1]Sheet1!$B:$B,0)), 固定数据!AF44, 固定数据!AG44,0.2, IF(固定数据!AF44&lt;&gt;"--",固定数据!AF44,0),2, 5)</f>
        <v>--</v>
      </c>
      <c r="R47" s="4" t="str" cm="1">
        <f t="array" ref="R47">计算得分(INDEX([2]Sheet1!$AL:$AL, MATCH(A47, [2]Sheet1!$A:$A,0)), 固定数据!AH44, 固定数据!AI44, 0.02, 6,6, 1)</f>
        <v>--</v>
      </c>
      <c r="S47" s="4" t="str" cm="1">
        <f t="array" ref="S47">计算得分(INDEX([2]Sheet1!$I:$I, MATCH(A47, [2]Sheet1!$A:$A,0)), 固定数据!AJ44, 固定数据!AK44, 0.005, 6,0, 1)</f>
        <v>--</v>
      </c>
      <c r="T47" s="4" t="str" cm="1">
        <f t="array" ref="T47">计算得分(98, 固定数据!AL44, 固定数据!AM44, 0.03, IF(固定数据!AL44&lt;&gt;"--",固定数据!AL44,0),0, 3)</f>
        <v>--</v>
      </c>
      <c r="U47" s="4" t="str" cm="1">
        <f t="array" ref="U47">计算得分(INDEX([1]Sheet1!$G:$G, MATCH(A47, [1]Sheet1!$B:$B,0)), 固定数据!AN44, 固定数据!AO44, 0.5, 3,0, 0)</f>
        <v>--</v>
      </c>
      <c r="V47" s="4" t="str" cm="1">
        <f t="array" ref="V47">计算得分(INDEX([1]Sheet1!$H:$H, MATCH(A47, [1]Sheet1!$B:$B,0)), 固定数据!AP44, 固定数据!AQ44, 0.4, 5,0, 1)</f>
        <v>--</v>
      </c>
      <c r="W47" s="4" t="str" cm="1">
        <f t="array" ref="W47">计算得分(INDEX([1]Sheet1!$J:$J, MATCH(A47, [1]Sheet1!$B:$B,0)), 固定数据!AR44, 固定数据!AS44, 0.2, 2,2, 4)</f>
        <v>--</v>
      </c>
      <c r="X47" s="4" t="str" cm="1">
        <f t="array" ref="X47">计算得分(INDEX([1]Sheet1!$K:$K, MATCH(A47, [1]Sheet1!$B:$B,0)), 固定数据!AT44, 固定数据!AU44, 0.2, 1.5,1.5, 4)</f>
        <v>--</v>
      </c>
      <c r="Y47" s="4" t="str" cm="1">
        <f t="array" ref="Y47">计算得分(INDEX([1]Sheet1!$AA:$AA, MATCH(A47, [1]Sheet1!$B:$B,0)), 固定数据!AV44, 固定数据!AW44, 0.05, IF(固定数据!AV44&lt;&gt;"--",固定数据!AV44,0),0, 3)</f>
        <v>--</v>
      </c>
      <c r="Z47" s="4" t="str" cm="1">
        <f t="array" ref="Z47">计算得分(INDEX([1]Sheet1!$AB:$AB, MATCH(A47, [1]Sheet1!$B:$B,0)), 固定数据!AX44, 固定数据!AY44, 0.05, IF(固定数据!AX44&lt;&gt;"--",固定数据!AX44,0),0, 3)</f>
        <v>--</v>
      </c>
      <c r="AA47" s="4" t="str" cm="1">
        <f t="array" ref="AA47">计算得分(INDEX([1]Sheet1!$AC:$AC, MATCH(A47, [1]Sheet1!$B:$B,0)), 固定数据!AZ44, 固定数据!BA44, 0.04, IF(固定数据!AZ44&lt;&gt;"--",固定数据!AZ44,0),0, 3)</f>
        <v>--</v>
      </c>
      <c r="AB47" s="4" t="str" cm="1">
        <f t="array" ref="AB47">计算得分(INDEX([1]Sheet1!$AD:$AD, MATCH(A47, [1]Sheet1!$B:$B,0)), 固定数据!BB44, 固定数据!BC44, 0.03, IF(固定数据!BB44&lt;&gt;"--",固定数据!BB44,0),0, 3)</f>
        <v>--</v>
      </c>
      <c r="AC47" s="4" t="str" cm="1">
        <f t="array" ref="AC47">计算得分(INDEX([1]Sheet1!$AE:$AE, MATCH(A47, [1]Sheet1!$B:$B,0)), 固定数据!BD44, 固定数据!BE44, 0.04, IF(固定数据!BD44&lt;&gt;"--",固定数据!BD44,0),0, 3)</f>
        <v>--</v>
      </c>
      <c r="AD47" s="4" t="str" cm="1">
        <f t="array" ref="AD47">计算得分(INDEX([1]Sheet1!$L:$L, MATCH(A47, [1]Sheet1!$B:$B,0)), 固定数据!BF44, 固定数据!BG44, 0.1, 12.5,0, 3)</f>
        <v>--</v>
      </c>
      <c r="AE47" s="4" t="str" cm="1">
        <f t="array" ref="AE47">计算得分(INDEX([1]Sheet1!$N:$N, MATCH(A47, [1]Sheet1!$B:$B,0)), 固定数据!BH44, 固定数据!BI44, 0.2, 7,0, 0)</f>
        <v>--</v>
      </c>
      <c r="AF47" s="4" t="str" cm="1">
        <f t="array" ref="AF47">计算得分(INDEX([1]Sheet1!$Q:$Q, MATCH(A47, [1]Sheet1!$B:$B,0)), 固定数据!BJ44, 固定数据!BK44, 0.2, 7,0, 0)</f>
        <v>--</v>
      </c>
      <c r="AG47" s="4" t="str" cm="1">
        <f t="array" ref="AG47">计算得分(INDEX([1]Sheet1!$S:$S, MATCH(A47, [1]Sheet1!$B:$B,0)), 固定数据!BL44, 固定数据!BM44, 0.2, 20,0, 0)</f>
        <v>--</v>
      </c>
      <c r="AH47" s="4" t="str" cm="1">
        <f t="array" ref="AH47">计算得分(INDEX([1]Sheet1!$AF:$AF, MATCH(A47, [1]Sheet1!$B:$B,0)), 固定数据!BN44, 固定数据!BO44, 0.1, 10,0, 3)</f>
        <v>--</v>
      </c>
      <c r="AI47" s="4" t="str" cm="1">
        <f t="array" ref="AI47">计算得分(INDEX([1]Sheet1!$M:$M, MATCH(A47, [1]Sheet1!$B:$B,0)), 固定数据!BP44, 固定数据!BQ44, 0.2, 20,0, 3)</f>
        <v>--</v>
      </c>
      <c r="AJ47" s="4" t="str" cm="1">
        <f t="array" ref="AJ47">计算得分(INDEX([1]Sheet1!$Z:$Z, MATCH(A47, [1]Sheet1!$B:$B,0)), 固定数据!BR44, 固定数据!BS44, 10, 50,0, 0)</f>
        <v>--</v>
      </c>
      <c r="AK47" s="4" t="str" cm="1">
        <f t="array" ref="AK47">计算得分(INDEX([1]Sheet1!$O:$O, MATCH(A47, [1]Sheet1!$B:$B,0)), 固定数据!BT44, 固定数据!BU44, 0.2, 15,0, 0)</f>
        <v>--</v>
      </c>
      <c r="AL47" s="4" t="str" cm="1">
        <f t="array" ref="AL47">计算得分(INDEX([1]Sheet1!$R:$R, MATCH(A47, [1]Sheet1!$B:$B,0)), 固定数据!BV44, 固定数据!BW44, 0.2, 10,0, 0)</f>
        <v>--</v>
      </c>
      <c r="AM47" s="4" t="str" cm="1">
        <f t="array" ref="AM47">计算得分(INDEX([1]Sheet1!$T:$T, MATCH(A47, [1]Sheet1!$B:$B,0)), 固定数据!BX44, 固定数据!BY44, 0.2, 20,0, 0)</f>
        <v>--</v>
      </c>
      <c r="AN47" s="4" cm="1">
        <f t="array" ref="AN47">计算得分([3]Sheet1!$F$3, 固定数据!BZ44, 固定数据!CA44, 0.5, 15,0, 0)</f>
        <v>104.4</v>
      </c>
      <c r="AO47" s="4" cm="1">
        <f t="array" ref="AO47">计算得分([3]Sheet1!$G$3, 固定数据!CB44, 固定数据!CC44, 0.01, 5,0, 1)</f>
        <v>3675</v>
      </c>
      <c r="AP47" s="4" cm="1">
        <f t="array" ref="AP47">计算得分([3]Sheet1!$H$3, 固定数据!CD44, 固定数据!CE44, 0.001, 5,0, 1)</f>
        <v>18357</v>
      </c>
      <c r="AQ47" s="4" cm="1">
        <f t="array" ref="AQ47">计算得分([3]Sheet1!$D$3,固定数据!CF44,固定数据!CG44,0.05,5,0,3)</f>
        <v>186.8</v>
      </c>
      <c r="AR47" s="4" cm="1">
        <f t="array" ref="AR47">计算得分([3]Sheet1!$E$3,固定数据!CH44,固定数据!CI44,0.1,10,0,3)</f>
        <v>7574.53</v>
      </c>
      <c r="AS47" s="8" t="s">
        <v>74</v>
      </c>
      <c r="AT47" s="4" cm="1">
        <f t="array" ref="AT47">计算得分(INDEX([3]Sheet1!$J:$J, MATCH(A47, [3]Sheet1!$B:$B,0)), 固定数据!CL44, 固定数据!CM44, 2, 0,-10, 0)</f>
        <v>100</v>
      </c>
      <c r="AU47" s="4" cm="1">
        <f t="array" ref="AU47">计算得分(INDEX([3]Sheet1!$K:$K, MATCH(A47, [3]Sheet1!$B:$B,0)), 固定数据!CN44, 固定数据!CO44, 3, 0,-10, 0)</f>
        <v>100</v>
      </c>
      <c r="AV47" s="4" cm="1">
        <f t="array" ref="AV47">计算得分(INDEX([3]Sheet1!$L:$L, MATCH(A47, [3]Sheet1!$B:$B,0)), 固定数据!CP44, 固定数据!CQ44, 3, 0,-10, 0)</f>
        <v>100</v>
      </c>
      <c r="AW47" s="4" cm="1">
        <f t="array" ref="AW47">计算得分(INDEX([3]Sheet1!$M:$M, MATCH(A47, [3]Sheet1!$B:$B,0)), 固定数据!CR44, 固定数据!CS44, 100, 0,-100, 0)</f>
        <v>100</v>
      </c>
      <c r="AX47" s="4" cm="1">
        <f t="array" ref="AX47">计算得分(INDEX([3]Sheet1!$N:$N, MATCH(A47, [3]Sheet1!$B:$B,0)), 固定数据!CT44, 固定数据!CU44, 3, 0,-10, 0)</f>
        <v>100</v>
      </c>
      <c r="AY47" s="8" t="s">
        <v>74</v>
      </c>
      <c r="AZ47" s="8" t="s">
        <v>74</v>
      </c>
      <c r="BA47" s="4">
        <f>IFERROR(VLOOKUP(A47,[4]KPI评分!B:C,2,FALSE)*60%,"--")</f>
        <v>58.44</v>
      </c>
    </row>
    <row r="48" spans="1:53" ht="24.75" customHeight="1" x14ac:dyDescent="0.25">
      <c r="A48" s="1" t="s">
        <v>116</v>
      </c>
      <c r="B48" s="2" t="str" cm="1">
        <f t="array" ref="B48">计算得分(INDEX([1]Sheet1!$W:$W, MATCH(A48, [1]Sheet1!$B:$B,0)), 固定数据!B45, 固定数据!C45, 0.5, 0,-10, 0)</f>
        <v>--</v>
      </c>
      <c r="C48" s="2" t="str" cm="1">
        <f t="array" ref="C48">计算得分(INDEX([1]Sheet1!$X:$X, MATCH(A48, [1]Sheet1!$B:$B,0)), 固定数据!D45, 固定数据!E45, 1, 0,-10, 0)</f>
        <v>--</v>
      </c>
      <c r="D48" s="2" t="str" cm="1">
        <f t="array" ref="D48">计算得分(INDEX([1]Sheet1!$Y:$Y, MATCH(A48, [1]Sheet1!$B:$B,0)), 固定数据!F45, 固定数据!G45, 2, 0,-10, 0)</f>
        <v>--</v>
      </c>
      <c r="E48" s="6" t="str" cm="1">
        <f t="array" ref="E48">计算得分(INDEX([1]Sheet1!$C:$C, MATCH(A48, [1]Sheet1!$B:$B,0)), 固定数据!H45, 固定数据!I45, 0.02, 10,0, 1)</f>
        <v>--</v>
      </c>
      <c r="F48" s="2" t="str" cm="1">
        <f t="array" ref="F48">计算得分(INDEX([1]Sheet1!$D:$D, MATCH(A48, [1]Sheet1!$B:$B,0)), 固定数据!J45, 固定数据!K45, 0, 0,0, 0)</f>
        <v>--</v>
      </c>
      <c r="G48" s="2" t="str" cm="1">
        <f t="array" ref="G48">计算得分(INDEX([1]Sheet1!$E:$E, MATCH(A48, [1]Sheet1!$B:$B,0)), 固定数据!L45, 固定数据!M45,  0.3, 3,0, 5)</f>
        <v>--</v>
      </c>
      <c r="H48" s="2" t="str" cm="1">
        <f t="array" ref="H48">计算得分(INDEX([1]Sheet1!$AG:$AG, MATCH(A48, [1]Sheet1!$B:$B,0)), 固定数据!N45, 固定数据!O45, 0.03, 3,0, 3)</f>
        <v>--</v>
      </c>
      <c r="I48" s="2" t="str" cm="1">
        <f t="array" ref="I48">计算得分(INDEX([1]Sheet1!$V:$V, MATCH(A48, [1]Sheet1!$B:$B,0)), 固定数据!P45, 固定数据!Q45, 1, 0,-100, 0)</f>
        <v>--</v>
      </c>
      <c r="J48" s="2" t="str" cm="1">
        <f t="array" ref="J48">计算得分(INDEX([1]Sheet1!$AI:$AI, MATCH(A48, [1]Sheet1!$B:$B,0)), 固定数据!R45, 固定数据!S45, 0.04, 12,0, 3)</f>
        <v>--</v>
      </c>
      <c r="K48" s="2" t="str" cm="1">
        <f t="array" ref="K48">计算得分(INDEX([1]Sheet1!$F:$F, MATCH(A48, [1]Sheet1!$B:$B,0)), 固定数据!T45, 固定数据!U45, 0.02, 3,0, 1)</f>
        <v>--</v>
      </c>
      <c r="L48" s="2" t="str" cm="1">
        <f t="array" ref="L48">计算得分(INDEX([1]Sheet1!$U:$U, MATCH(A48, [1]Sheet1!$B:$B,0)), 固定数据!V45, 固定数据!W45, 0.2, 20,0, 0)</f>
        <v>--</v>
      </c>
      <c r="M48" s="2" t="str" cm="1">
        <f t="array" ref="M48">计算得分(100, 固定数据!X45, 固定数据!Y45, 0, 5,0, 0)</f>
        <v>--</v>
      </c>
      <c r="N48" s="2" t="str" cm="1">
        <f t="array" ref="N48">计算得分(100, 固定数据!Z45, 固定数据!AA45, 0, 5,0, 0)</f>
        <v>--</v>
      </c>
      <c r="O48" s="2" t="str" cm="1">
        <f t="array" ref="O48">计算得分(100, 固定数据!AB45, 固定数据!AC45, 0, 7,0, 0)</f>
        <v>--</v>
      </c>
      <c r="P48" s="2" t="str" cm="1">
        <f t="array" ref="P48">计算得分(INDEX([1]Sheet1!$P:$P, MATCH(A48, [1]Sheet1!$B:$B,0)), 固定数据!AD45, 固定数据!AE45, 0.2, 7,0, 0)</f>
        <v>--</v>
      </c>
      <c r="Q48" s="2" t="str" cm="1">
        <f t="array" ref="Q48">计算得分(INDEX([1]Sheet1!$I:$I, MATCH(A48, [1]Sheet1!$B:$B,0)), 固定数据!AF45, 固定数据!AG45,0.2, IF(固定数据!AF45&lt;&gt;"--",固定数据!AF45,0),2, 5)</f>
        <v>--</v>
      </c>
      <c r="R48" s="2" t="str" cm="1">
        <f t="array" ref="R48">计算得分(INDEX([2]Sheet1!$AL:$AL, MATCH(A48, [2]Sheet1!$A:$A,0)), 固定数据!AH45, 固定数据!AI45, 0.02, 6,6, 1)</f>
        <v>--</v>
      </c>
      <c r="S48" s="2" t="str" cm="1">
        <f t="array" ref="S48">计算得分(INDEX([2]Sheet1!$I:$I, MATCH(A48, [2]Sheet1!$A:$A,0)), 固定数据!AJ45, 固定数据!AK45, 0.005, 6,0, 1)</f>
        <v>--</v>
      </c>
      <c r="T48" s="2" t="str" cm="1">
        <f t="array" ref="T48">计算得分(98, 固定数据!AL45, 固定数据!AM45, 0.03, IF(固定数据!AL45&lt;&gt;"--",固定数据!AL45,0),0, 3)</f>
        <v>--</v>
      </c>
      <c r="U48" s="2" t="str" cm="1">
        <f t="array" ref="U48">计算得分(INDEX([1]Sheet1!$G:$G, MATCH(A48, [1]Sheet1!$B:$B,0)), 固定数据!AN45, 固定数据!AO45, 0.5, 3,0, 0)</f>
        <v>--</v>
      </c>
      <c r="V48" s="2" t="str" cm="1">
        <f t="array" ref="V48">计算得分(INDEX([1]Sheet1!$H:$H, MATCH(A48, [1]Sheet1!$B:$B,0)), 固定数据!AP45, 固定数据!AQ45, 0.4, 5,0, 1)</f>
        <v>--</v>
      </c>
      <c r="W48" s="2" t="str" cm="1">
        <f t="array" ref="W48">计算得分(INDEX([1]Sheet1!$J:$J, MATCH(A48, [1]Sheet1!$B:$B,0)), 固定数据!AR45, 固定数据!AS45, 0.2, 2,2, 4)</f>
        <v>--</v>
      </c>
      <c r="X48" s="2" t="str" cm="1">
        <f t="array" ref="X48">计算得分(INDEX([1]Sheet1!$K:$K, MATCH(A48, [1]Sheet1!$B:$B,0)), 固定数据!AT45, 固定数据!AU45, 0.2, 1.5,1.5, 4)</f>
        <v>--</v>
      </c>
      <c r="Y48" s="2" t="str" cm="1">
        <f t="array" ref="Y48">计算得分(INDEX([1]Sheet1!$AA:$AA, MATCH(A48, [1]Sheet1!$B:$B,0)), 固定数据!AV45, 固定数据!AW45, 0.05, IF(固定数据!AV45&lt;&gt;"--",固定数据!AV45,0),0, 3)</f>
        <v>--</v>
      </c>
      <c r="Z48" s="2" t="str" cm="1">
        <f t="array" ref="Z48">计算得分(INDEX([1]Sheet1!$AB:$AB, MATCH(A48, [1]Sheet1!$B:$B,0)), 固定数据!AX45, 固定数据!AY45, 0.05, IF(固定数据!AX45&lt;&gt;"--",固定数据!AX45,0),0, 3)</f>
        <v>--</v>
      </c>
      <c r="AA48" s="2" t="str" cm="1">
        <f t="array" ref="AA48">计算得分(INDEX([1]Sheet1!$AC:$AC, MATCH(A48, [1]Sheet1!$B:$B,0)), 固定数据!AZ45, 固定数据!BA45, 0.04, IF(固定数据!AZ45&lt;&gt;"--",固定数据!AZ45,0),0, 3)</f>
        <v>--</v>
      </c>
      <c r="AB48" s="2" t="str" cm="1">
        <f t="array" ref="AB48">计算得分(INDEX([1]Sheet1!$AD:$AD, MATCH(A48, [1]Sheet1!$B:$B,0)), 固定数据!BB45, 固定数据!BC45, 0.03, IF(固定数据!BB45&lt;&gt;"--",固定数据!BB45,0),0, 3)</f>
        <v>--</v>
      </c>
      <c r="AC48" s="2" t="str" cm="1">
        <f t="array" ref="AC48">计算得分(INDEX([1]Sheet1!$AE:$AE, MATCH(A48, [1]Sheet1!$B:$B,0)), 固定数据!BD45, 固定数据!BE45, 0.04, IF(固定数据!BD45&lt;&gt;"--",固定数据!BD45,0),0, 3)</f>
        <v>--</v>
      </c>
      <c r="AD48" s="2" t="str" cm="1">
        <f t="array" ref="AD48">计算得分(INDEX([1]Sheet1!$L:$L, MATCH(A48, [1]Sheet1!$B:$B,0)), 固定数据!BF45, 固定数据!BG45, 0.1, 12.5,0, 3)</f>
        <v>--</v>
      </c>
      <c r="AE48" s="2" t="str" cm="1">
        <f t="array" ref="AE48">计算得分(INDEX([1]Sheet1!$N:$N, MATCH(A48, [1]Sheet1!$B:$B,0)), 固定数据!BH45, 固定数据!BI45, 0.2, 7,0, 0)</f>
        <v>--</v>
      </c>
      <c r="AF48" s="2" t="str" cm="1">
        <f t="array" ref="AF48">计算得分(INDEX([1]Sheet1!$Q:$Q, MATCH(A48, [1]Sheet1!$B:$B,0)), 固定数据!BJ45, 固定数据!BK45, 0.2, 7,0, 0)</f>
        <v>--</v>
      </c>
      <c r="AG48" s="2" t="str" cm="1">
        <f t="array" ref="AG48">计算得分(INDEX([1]Sheet1!$S:$S, MATCH(A48, [1]Sheet1!$B:$B,0)), 固定数据!BL45, 固定数据!BM45, 0.2, 20,0, 0)</f>
        <v>--</v>
      </c>
      <c r="AH48" s="6" t="str" cm="1">
        <f t="array" ref="AH48">计算得分(INDEX([1]Sheet1!$AF:$AF, MATCH(A48, [1]Sheet1!$B:$B,0)), 固定数据!BN45, 固定数据!BO45, 0.1, 10,0, 3)</f>
        <v>--</v>
      </c>
      <c r="AI48" s="2" t="str" cm="1">
        <f t="array" ref="AI48">计算得分(INDEX([1]Sheet1!$M:$M, MATCH(A48, [1]Sheet1!$B:$B,0)), 固定数据!BP45, 固定数据!BQ45, 0.2, 20,0, 3)</f>
        <v>--</v>
      </c>
      <c r="AJ48" s="2" t="str" cm="1">
        <f t="array" ref="AJ48">计算得分(INDEX([1]Sheet1!$Z:$Z, MATCH(A48, [1]Sheet1!$B:$B,0)), 固定数据!BR45, 固定数据!BS45, 10, 50,0, 0)</f>
        <v>--</v>
      </c>
      <c r="AK48" s="2" t="str" cm="1">
        <f t="array" ref="AK48">计算得分(INDEX([1]Sheet1!$O:$O, MATCH(A48, [1]Sheet1!$B:$B,0)), 固定数据!BT45, 固定数据!BU45, 0.2, 15,0, 0)</f>
        <v>--</v>
      </c>
      <c r="AL48" s="2" t="str" cm="1">
        <f t="array" ref="AL48">计算得分(INDEX([1]Sheet1!$R:$R, MATCH(A48, [1]Sheet1!$B:$B,0)), 固定数据!BV45, 固定数据!BW45, 0.2, 10,0, 0)</f>
        <v>--</v>
      </c>
      <c r="AM48" s="2" t="str" cm="1">
        <f t="array" ref="AM48">计算得分(INDEX([1]Sheet1!$T:$T, MATCH(A48, [1]Sheet1!$B:$B,0)), 固定数据!BX45, 固定数据!BY45, 0.2, 20,0, 0)</f>
        <v>--</v>
      </c>
      <c r="AN48" s="2" cm="1">
        <f t="array" ref="AN48">计算得分([3]Sheet1!$F$3, 固定数据!BZ45, 固定数据!CA45, 0.5, 15,0, 0)</f>
        <v>104.4</v>
      </c>
      <c r="AO48" s="6" cm="1">
        <f t="array" ref="AO48">计算得分([3]Sheet1!$G$3, 固定数据!CB45, 固定数据!CC45, 0.01, 5,0, 1)</f>
        <v>3675</v>
      </c>
      <c r="AP48" s="6" cm="1">
        <f t="array" ref="AP48">计算得分([3]Sheet1!$H$3, 固定数据!CD45, 固定数据!CE45, 0.001, 5,0, 1)</f>
        <v>18357</v>
      </c>
      <c r="AQ48" s="6" cm="1">
        <f t="array" ref="AQ48">计算得分([3]Sheet1!$D$3,固定数据!CF45,固定数据!CG45,0.05,5,0,3)</f>
        <v>186.8</v>
      </c>
      <c r="AR48" s="6" cm="1">
        <f t="array" ref="AR48">计算得分([3]Sheet1!$E$3,固定数据!CH45,固定数据!CI45,0.1,10,0,3)</f>
        <v>7574.53</v>
      </c>
      <c r="AS48" s="7" t="s">
        <v>74</v>
      </c>
      <c r="AT48" s="6" cm="1">
        <f t="array" ref="AT48">计算得分(INDEX([3]Sheet1!$J:$J, MATCH(A48, [3]Sheet1!$B:$B,0)), 固定数据!CL45, 固定数据!CM45, 2, 0,-10, 0)</f>
        <v>100</v>
      </c>
      <c r="AU48" s="2" cm="1">
        <f t="array" ref="AU48">计算得分(INDEX([3]Sheet1!$K:$K, MATCH(A48, [3]Sheet1!$B:$B,0)), 固定数据!CN45, 固定数据!CO45, 3, 0,-10, 0)</f>
        <v>100</v>
      </c>
      <c r="AV48" s="2" cm="1">
        <f t="array" ref="AV48">计算得分(INDEX([3]Sheet1!$L:$L, MATCH(A48, [3]Sheet1!$B:$B,0)), 固定数据!CP45, 固定数据!CQ45, 3, 0,-10, 0)</f>
        <v>100</v>
      </c>
      <c r="AW48" s="2" cm="1">
        <f t="array" ref="AW48">计算得分(INDEX([3]Sheet1!$M:$M, MATCH(A48, [3]Sheet1!$B:$B,0)), 固定数据!CR45, 固定数据!CS45, 100, 0,-100, 0)</f>
        <v>100</v>
      </c>
      <c r="AX48" s="2" cm="1">
        <f t="array" ref="AX48">计算得分(INDEX([3]Sheet1!$N:$N, MATCH(A48, [3]Sheet1!$B:$B,0)), 固定数据!CT45, 固定数据!CU45, 3, 0,-10, 0)</f>
        <v>100</v>
      </c>
      <c r="AY48" s="7" t="s">
        <v>74</v>
      </c>
      <c r="AZ48" s="7" t="s">
        <v>74</v>
      </c>
      <c r="BA48" s="2">
        <f>IFERROR(VLOOKUP(A48,[4]KPI评分!B:C,2,FALSE)*60%,"--")</f>
        <v>57.48</v>
      </c>
    </row>
    <row r="49" spans="1:53" ht="24.75" customHeight="1" x14ac:dyDescent="0.25">
      <c r="A49" s="3" t="s">
        <v>117</v>
      </c>
      <c r="B49" s="4" cm="1">
        <f t="array" ref="B49">计算得分(INDEX([1]Sheet1!$W:$W, MATCH(A49, [1]Sheet1!$B:$B,0)), 固定数据!B46, 固定数据!C46, 0.5, 0,-10, 0)</f>
        <v>0</v>
      </c>
      <c r="C49" s="4" cm="1">
        <f t="array" ref="C49">计算得分(INDEX([1]Sheet1!$X:$X, MATCH(A49, [1]Sheet1!$B:$B,0)), 固定数据!D46, 固定数据!E46, 1, 0,-10, 0)</f>
        <v>0</v>
      </c>
      <c r="D49" s="4" t="str" cm="1">
        <f t="array" ref="D49">计算得分(INDEX([1]Sheet1!$Y:$Y, MATCH(A49, [1]Sheet1!$B:$B,0)), 固定数据!F46, 固定数据!G46, 2, 0,-10, 0)</f>
        <v>--</v>
      </c>
      <c r="E49" s="4" t="str" cm="1">
        <f t="array" ref="E49">计算得分(INDEX([1]Sheet1!$C:$C, MATCH(A49, [1]Sheet1!$B:$B,0)), 固定数据!H46, 固定数据!I46, 0.02, 10,0, 1)</f>
        <v>--</v>
      </c>
      <c r="F49" s="4" t="str" cm="1">
        <f t="array" ref="F49">计算得分(INDEX([1]Sheet1!$D:$D, MATCH(A49, [1]Sheet1!$B:$B,0)), 固定数据!J46, 固定数据!K46, 0, 0,0, 0)</f>
        <v>--</v>
      </c>
      <c r="G49" s="4" t="str" cm="1">
        <f t="array" ref="G49">计算得分(INDEX([1]Sheet1!$E:$E, MATCH(A49, [1]Sheet1!$B:$B,0)), 固定数据!L46, 固定数据!M46, 0.3, 3,0, 5)</f>
        <v>--</v>
      </c>
      <c r="H49" s="4" t="str" cm="1">
        <f t="array" ref="H49">计算得分(INDEX([1]Sheet1!$AG:$AG, MATCH(A49, [1]Sheet1!$B:$B,0)), 固定数据!N46, 固定数据!O46, 0.03, 3,0, 3)</f>
        <v>--</v>
      </c>
      <c r="I49" s="4" cm="1">
        <f t="array" ref="I49">计算得分(INDEX([1]Sheet1!$V:$V, MATCH(A49, [1]Sheet1!$B:$B,0)), 固定数据!P46, 固定数据!Q46, 1, 0,-100, 0)</f>
        <v>0</v>
      </c>
      <c r="J49" s="4" cm="1">
        <f t="array" ref="J49">计算得分(INDEX([1]Sheet1!$AI:$AI, MATCH(A49, [1]Sheet1!$B:$B,0)), 固定数据!R46, 固定数据!S46, 0.04, 12,0, 3)</f>
        <v>100</v>
      </c>
      <c r="K49" s="4" t="str" cm="1">
        <f t="array" ref="K49">计算得分(INDEX([1]Sheet1!$F:$F, MATCH(A49, [1]Sheet1!$B:$B,0)), 固定数据!T46, 固定数据!U46, 0.02, 3,0, 1)</f>
        <v>--</v>
      </c>
      <c r="L49" s="4" t="str" cm="1">
        <f t="array" ref="L49">计算得分(INDEX([1]Sheet1!$U:$U, MATCH(A49, [1]Sheet1!$B:$B,0)), 固定数据!V46, 固定数据!W46, 0.2, 20,0, 0)</f>
        <v>--</v>
      </c>
      <c r="M49" s="4" cm="1">
        <f t="array" ref="M49">计算得分(100, 固定数据!X46, 固定数据!Y46, 0, 5,0, 0)</f>
        <v>100</v>
      </c>
      <c r="N49" s="4" t="str" cm="1">
        <f t="array" ref="N49">计算得分(100, 固定数据!Z46, 固定数据!AA46, 0, 5,0, 0)</f>
        <v>--</v>
      </c>
      <c r="O49" s="4" t="str" cm="1">
        <f t="array" ref="O49">计算得分(100, 固定数据!AB46, 固定数据!AC46, 0, 7,0, 0)</f>
        <v>--</v>
      </c>
      <c r="P49" s="4" cm="1">
        <f t="array" ref="P49">计算得分(INDEX([1]Sheet1!$P:$P, MATCH(A49, [1]Sheet1!$B:$B,0)), 固定数据!AD46, 固定数据!AE46, 0.2, 10,0, 0)</f>
        <v>34.770000000000003</v>
      </c>
      <c r="Q49" s="4" t="str" cm="1">
        <f t="array" ref="Q49">计算得分(INDEX([1]Sheet1!$I:$I, MATCH(A49, [1]Sheet1!$B:$B,0)), 固定数据!AF46, 固定数据!AG46,0.2, IF(固定数据!AF46&lt;&gt;"--",固定数据!AF46,0),2, 5)</f>
        <v>--</v>
      </c>
      <c r="R49" s="4" t="str" cm="1">
        <f t="array" ref="R49">计算得分(INDEX([2]Sheet1!$AL:$AL, MATCH(A49, [2]Sheet1!$A:$A,0)), 固定数据!AH46, 固定数据!AI46, 0.02, 6,6, 1)</f>
        <v>--</v>
      </c>
      <c r="S49" s="4" t="str" cm="1">
        <f t="array" ref="S49">计算得分(INDEX([2]Sheet1!$I:$I, MATCH(A49, [2]Sheet1!$A:$A,0)), 固定数据!AJ46, 固定数据!AK46, 0.005, 6,0, 1)</f>
        <v>--</v>
      </c>
      <c r="T49" s="4" cm="1">
        <f t="array" ref="T49">计算得分(98, 固定数据!AL46, 固定数据!AM46, 0.03, IF(固定数据!AL46&lt;&gt;"--",固定数据!AL46,0),0, 3)</f>
        <v>98</v>
      </c>
      <c r="U49" s="4" t="str" cm="1">
        <f t="array" ref="U49">计算得分(INDEX([1]Sheet1!$G:$G, MATCH(A49, [1]Sheet1!$B:$B,0)), 固定数据!AN46, 固定数据!AO46, 0.5, 3,0, 0)</f>
        <v>--</v>
      </c>
      <c r="V49" s="4" t="str" cm="1">
        <f t="array" ref="V49">计算得分(INDEX([1]Sheet1!$H:$H, MATCH(A49, [1]Sheet1!$B:$B,0)), 固定数据!AP46, 固定数据!AQ46, 0.4, 5,0, 1)</f>
        <v>--</v>
      </c>
      <c r="W49" s="4" t="str" cm="1">
        <f t="array" ref="W49">计算得分(INDEX([1]Sheet1!$J:$J, MATCH(A49, [1]Sheet1!$B:$B,0)), 固定数据!AR46, 固定数据!AS46, 0.2, 2,2, 4)</f>
        <v>--</v>
      </c>
      <c r="X49" s="4" t="str" cm="1">
        <f t="array" ref="X49">计算得分(INDEX([1]Sheet1!$K:$K, MATCH(A49, [1]Sheet1!$B:$B,0)), 固定数据!AT46, 固定数据!AU46, 0.2, 1.5,1.5, 4)</f>
        <v>--</v>
      </c>
      <c r="Y49" s="4" cm="1">
        <f t="array" ref="Y49">计算得分(INDEX([1]Sheet1!$AA:$AA, MATCH(A49, [1]Sheet1!$B:$B,0)), 固定数据!AV46, 固定数据!AW46, 0.05, IF(固定数据!AV46&lt;&gt;"--",固定数据!AV46,0),0, 3)</f>
        <v>97</v>
      </c>
      <c r="Z49" s="4" t="str" cm="1">
        <f t="array" ref="Z49">计算得分(INDEX([1]Sheet1!$AB:$AB, MATCH(A49, [1]Sheet1!$B:$B,0)), 固定数据!AX46, 固定数据!AY46, 0.05, IF(固定数据!AX46&lt;&gt;"--",固定数据!AX46,0),0, 3)</f>
        <v>--</v>
      </c>
      <c r="AA49" s="4" t="str" cm="1">
        <f t="array" ref="AA49">计算得分(INDEX([1]Sheet1!$AC:$AC, MATCH(A49, [1]Sheet1!$B:$B,0)), 固定数据!AZ46, 固定数据!BA46, 0.04, IF(固定数据!AZ46&lt;&gt;"--",固定数据!AZ46,0),0, 3)</f>
        <v>--</v>
      </c>
      <c r="AB49" s="4" cm="1">
        <f t="array" ref="AB49">计算得分(INDEX([1]Sheet1!$AD:$AD, MATCH(A49, [1]Sheet1!$B:$B,0)), 固定数据!BB46, 固定数据!BC46, 0.03, IF(固定数据!BB46&lt;&gt;"--",固定数据!BB46,0),0, 3)</f>
        <v>95.5</v>
      </c>
      <c r="AC49" s="4" cm="1">
        <f t="array" ref="AC49">计算得分(INDEX([1]Sheet1!$AE:$AE, MATCH(A49, [1]Sheet1!$B:$B,0)), 固定数据!BD46, 固定数据!BE46, 0.04, IF(固定数据!BD46&lt;&gt;"--",固定数据!BD46,0),0, 3)</f>
        <v>100</v>
      </c>
      <c r="AD49" s="4" t="str" cm="1">
        <f t="array" ref="AD49">计算得分(INDEX([1]Sheet1!$L:$L, MATCH(A49, [1]Sheet1!$B:$B,0)), 固定数据!BF46, 固定数据!BG46, 0.1, 12.5,0, 3)</f>
        <v>--</v>
      </c>
      <c r="AE49" s="4" t="str" cm="1">
        <f t="array" ref="AE49">计算得分(INDEX([1]Sheet1!$N:$N, MATCH(A49, [1]Sheet1!$B:$B,0)), 固定数据!BH46, 固定数据!BI46, 0.2, 7,0, 0)</f>
        <v>--</v>
      </c>
      <c r="AF49" s="4" t="str" cm="1">
        <f t="array" ref="AF49">计算得分(INDEX([1]Sheet1!$Q:$Q, MATCH(A49, [1]Sheet1!$B:$B,0)), 固定数据!BJ46, 固定数据!BK46, 0.2, 7,0, 0)</f>
        <v>--</v>
      </c>
      <c r="AG49" s="4" t="str" cm="1">
        <f t="array" ref="AG49">计算得分(INDEX([1]Sheet1!$S:$S, MATCH(A49, [1]Sheet1!$B:$B,0)), 固定数据!BL46, 固定数据!BM46, 0.2, 20,0, 0)</f>
        <v>--</v>
      </c>
      <c r="AH49" s="4" cm="1">
        <f t="array" ref="AH49">计算得分(INDEX([1]Sheet1!$AF:$AF, MATCH(A49, [1]Sheet1!$B:$B,0)), 固定数据!BN46, 固定数据!BO46, 0.1, 10,0, 3)</f>
        <v>97</v>
      </c>
      <c r="AI49" s="4" cm="1">
        <f t="array" ref="AI49">计算得分(INDEX([1]Sheet1!$M:$M, MATCH(A49, [1]Sheet1!$B:$B,0)), 固定数据!BP46, 固定数据!BQ46, 0.2, 20,0, 3)</f>
        <v>21.57</v>
      </c>
      <c r="AJ49" s="4" cm="1">
        <f t="array" ref="AJ49">计算得分(INDEX([1]Sheet1!$Z:$Z, MATCH(A49, [1]Sheet1!$B:$B,0)), 固定数据!BR46, 固定数据!BS46, 10, 50,0, 0)</f>
        <v>0</v>
      </c>
      <c r="AK49" s="4" cm="1">
        <f t="array" ref="AK49">计算得分(INDEX([1]Sheet1!$O:$O, MATCH(A49, [1]Sheet1!$B:$B,0)), 固定数据!BT46, 固定数据!BU46, 0.2, 15,0, 0)</f>
        <v>34.799999999999997</v>
      </c>
      <c r="AL49" s="4" t="str" cm="1">
        <f t="array" ref="AL49">计算得分(INDEX([1]Sheet1!$R:$R, MATCH(A49, [1]Sheet1!$B:$B,0)), 固定数据!BV46, 固定数据!BW46, 0.2, 10,0, 0)</f>
        <v>--</v>
      </c>
      <c r="AM49" s="4" cm="1">
        <f t="array" ref="AM49">计算得分(INDEX([1]Sheet1!$T:$T, MATCH(A49, [1]Sheet1!$B:$B,0)), 固定数据!BX46, 固定数据!BY46, 0.2, 15,0, 0)</f>
        <v>45.68</v>
      </c>
      <c r="AN49" s="4" t="str" cm="1">
        <f t="array" ref="AN49">计算得分([3]Sheet1!$F$3, 固定数据!BZ46, 固定数据!CA46, 0.5, 15,0, 0)</f>
        <v>--</v>
      </c>
      <c r="AO49" s="4" t="str" cm="1">
        <f t="array" ref="AO49">计算得分([3]Sheet1!$G$3, 固定数据!CB46, 固定数据!CC46, 0.01, 5,0, 1)</f>
        <v>--</v>
      </c>
      <c r="AP49" s="4" t="str" cm="1">
        <f t="array" ref="AP49">计算得分([3]Sheet1!$H$3, 固定数据!CD46, 固定数据!CE46, 0.001, 5,0, 1)</f>
        <v>--</v>
      </c>
      <c r="AQ49" s="4" t="str" cm="1">
        <f t="array" ref="AQ49">计算得分([3]Sheet1!$D$3,固定数据!CF46,固定数据!CG46,0.05,5,0,3)</f>
        <v>--</v>
      </c>
      <c r="AR49" s="4" t="str" cm="1">
        <f t="array" ref="AR49">计算得分([3]Sheet1!$E$3,固定数据!CH46,固定数据!CI46,0.1,10,0,3)</f>
        <v>--</v>
      </c>
      <c r="AS49" s="8" t="s">
        <v>74</v>
      </c>
      <c r="AT49" s="4" t="str" cm="1">
        <f t="array" ref="AT49">计算得分(INDEX([3]Sheet1!$J:$J, MATCH(A49, [3]Sheet1!$B:$B,0)), 固定数据!CL46, 固定数据!CM46, 2, 0,-10, 0)</f>
        <v>--</v>
      </c>
      <c r="AU49" s="4" t="str" cm="1">
        <f t="array" ref="AU49">计算得分(INDEX([3]Sheet1!$K:$K, MATCH(A49, [3]Sheet1!$B:$B,0)), 固定数据!CN46, 固定数据!CO46, 3, 0,-10, 0)</f>
        <v>--</v>
      </c>
      <c r="AV49" s="4" t="str" cm="1">
        <f t="array" ref="AV49">计算得分(INDEX([3]Sheet1!$L:$L, MATCH(A49, [3]Sheet1!$B:$B,0)), 固定数据!CP46, 固定数据!CQ46, 3, 0,-10, 0)</f>
        <v>--</v>
      </c>
      <c r="AW49" s="4" t="str" cm="1">
        <f t="array" ref="AW49">计算得分(INDEX([3]Sheet1!$M:$M, MATCH(A49, [3]Sheet1!$B:$B,0)), 固定数据!CR46, 固定数据!CS46, 100, 0,-100, 0)</f>
        <v>--</v>
      </c>
      <c r="AX49" s="4" t="str" cm="1">
        <f t="array" ref="AX49">计算得分(INDEX([3]Sheet1!$N:$N, MATCH(A49, [3]Sheet1!$B:$B,0)), 固定数据!CT46, 固定数据!CU46, 3, 0,-10, 0)</f>
        <v>--</v>
      </c>
      <c r="AY49" s="8" t="s">
        <v>74</v>
      </c>
      <c r="AZ49" s="8" t="s">
        <v>74</v>
      </c>
      <c r="BA49" s="4" t="str">
        <f>IFERROR(VLOOKUP(A49,[4]KPI评分!B:C,2,FALSE)*60%,"--")</f>
        <v>--</v>
      </c>
    </row>
    <row r="50" spans="1:53" ht="24.75" customHeight="1" x14ac:dyDescent="0.25">
      <c r="A50" s="1" t="s">
        <v>118</v>
      </c>
      <c r="B50" s="2" t="str" cm="1">
        <f t="array" ref="B50">计算得分(INDEX([1]Sheet1!$W:$W, MATCH(A50, [1]Sheet1!$B:$B,0)), 固定数据!B47, 固定数据!C47, 0.5, 0,-10, 0)</f>
        <v>--</v>
      </c>
      <c r="C50" s="2" t="str" cm="1">
        <f t="array" ref="C50">计算得分(INDEX([1]Sheet1!$X:$X, MATCH(A50, [1]Sheet1!$B:$B,0)), 固定数据!D47, 固定数据!E47, 1, 0,-10, 0)</f>
        <v>--</v>
      </c>
      <c r="D50" s="2" t="str" cm="1">
        <f t="array" ref="D50">计算得分(INDEX([1]Sheet1!$Y:$Y, MATCH(A50, [1]Sheet1!$B:$B,0)), 固定数据!F47, 固定数据!G47, 2, 0,-10, 0)</f>
        <v>--</v>
      </c>
      <c r="E50" s="6" t="str" cm="1">
        <f t="array" ref="E50">计算得分(INDEX([1]Sheet1!$C:$C, MATCH(A50, [1]Sheet1!$B:$B,0)), 固定数据!H47, 固定数据!I47, 0.02, 10,0, 1)</f>
        <v>--</v>
      </c>
      <c r="F50" s="2" t="str" cm="1">
        <f t="array" ref="F50">计算得分(INDEX([1]Sheet1!$D:$D, MATCH(A50, [1]Sheet1!$B:$B,0)), 固定数据!J47, 固定数据!K47, 0, 0,0, 0)</f>
        <v>--</v>
      </c>
      <c r="G50" s="2" t="str" cm="1">
        <f t="array" ref="G50">计算得分(INDEX([1]Sheet1!$E:$E, MATCH(A50, [1]Sheet1!$B:$B,0)), 固定数据!L47, 固定数据!M47,  0.3, 3,0, 5)</f>
        <v>--</v>
      </c>
      <c r="H50" s="2" t="str" cm="1">
        <f t="array" ref="H50">计算得分(INDEX([1]Sheet1!$AG:$AG, MATCH(A50, [1]Sheet1!$B:$B,0)), 固定数据!N47, 固定数据!O47, 0.03, 3,0, 3)</f>
        <v>--</v>
      </c>
      <c r="I50" s="2" t="str" cm="1">
        <f t="array" ref="I50">计算得分(INDEX([1]Sheet1!$V:$V, MATCH(A50, [1]Sheet1!$B:$B,0)), 固定数据!P47, 固定数据!Q47, 1, 0,-100, 0)</f>
        <v>--</v>
      </c>
      <c r="J50" s="2" t="str" cm="1">
        <f t="array" ref="J50">计算得分(INDEX([1]Sheet1!$AI:$AI, MATCH(A50, [1]Sheet1!$B:$B,0)), 固定数据!R47, 固定数据!S47, 0.04, 12,0, 3)</f>
        <v>--</v>
      </c>
      <c r="K50" s="2" t="str" cm="1">
        <f t="array" ref="K50">计算得分(INDEX([1]Sheet1!$F:$F, MATCH(A50, [1]Sheet1!$B:$B,0)), 固定数据!T47, 固定数据!U47, 0.02, 3,0, 1)</f>
        <v>--</v>
      </c>
      <c r="L50" s="2" t="str" cm="1">
        <f t="array" ref="L50">计算得分(INDEX([1]Sheet1!$U:$U, MATCH(A50, [1]Sheet1!$B:$B,0)), 固定数据!V47, 固定数据!W47, 0.2, 20,0, 0)</f>
        <v>--</v>
      </c>
      <c r="M50" s="2" t="str" cm="1">
        <f t="array" ref="M50">计算得分(100, 固定数据!X47, 固定数据!Y47, 0, 5,0, 0)</f>
        <v>--</v>
      </c>
      <c r="N50" s="2" t="str" cm="1">
        <f t="array" ref="N50">计算得分(100, 固定数据!Z47, 固定数据!AA47, 0, 5,0, 0)</f>
        <v>--</v>
      </c>
      <c r="O50" s="2" t="str" cm="1">
        <f t="array" ref="O50">计算得分(100, 固定数据!AB47, 固定数据!AC47, 0, 7,0, 0)</f>
        <v>--</v>
      </c>
      <c r="P50" s="2" t="str" cm="1">
        <f t="array" ref="P50">计算得分(INDEX([1]Sheet1!$P:$P, MATCH(A50, [1]Sheet1!$B:$B,0)), 固定数据!AD47, 固定数据!AE47, 0.2, 7,0, 0)</f>
        <v>--</v>
      </c>
      <c r="Q50" s="2" t="str" cm="1">
        <f t="array" ref="Q50">计算得分(INDEX([1]Sheet1!$I:$I, MATCH(A50, [1]Sheet1!$B:$B,0)), 固定数据!AF47, 固定数据!AG47,0.2, IF(固定数据!AF47&lt;&gt;"--",固定数据!AF47,0),2, 5)</f>
        <v>--</v>
      </c>
      <c r="R50" s="2" t="str" cm="1">
        <f t="array" ref="R50">计算得分(INDEX([2]Sheet1!$AL:$AL, MATCH(A50, [2]Sheet1!$A:$A,0)), 固定数据!AH47, 固定数据!AI47, 0.02, 6,6, 1)</f>
        <v>--</v>
      </c>
      <c r="S50" s="2" t="str" cm="1">
        <f t="array" ref="S50">计算得分(INDEX([2]Sheet1!$I:$I, MATCH(A50, [2]Sheet1!$A:$A,0)), 固定数据!AJ47, 固定数据!AK47, 0.005, 6,0, 1)</f>
        <v>--</v>
      </c>
      <c r="T50" s="2" t="str" cm="1">
        <f t="array" ref="T50">计算得分(98, 固定数据!AL47, 固定数据!AM47, 0.03, IF(固定数据!AL47&lt;&gt;"--",固定数据!AL47,0),0, 3)</f>
        <v>--</v>
      </c>
      <c r="U50" s="2" t="str" cm="1">
        <f t="array" ref="U50">计算得分(INDEX([1]Sheet1!$G:$G, MATCH(A50, [1]Sheet1!$B:$B,0)), 固定数据!AN47, 固定数据!AO47, 0.5, 3,0, 0)</f>
        <v>--</v>
      </c>
      <c r="V50" s="2" t="str" cm="1">
        <f t="array" ref="V50">计算得分(INDEX([1]Sheet1!$H:$H, MATCH(A50, [1]Sheet1!$B:$B,0)), 固定数据!AP47, 固定数据!AQ47, 0.4, 5,0, 1)</f>
        <v>--</v>
      </c>
      <c r="W50" s="2" t="str" cm="1">
        <f t="array" ref="W50">计算得分(INDEX([1]Sheet1!$J:$J, MATCH(A50, [1]Sheet1!$B:$B,0)), 固定数据!AR47, 固定数据!AS47, 0.2, 2,2, 4)</f>
        <v>--</v>
      </c>
      <c r="X50" s="2" t="str" cm="1">
        <f t="array" ref="X50">计算得分(INDEX([1]Sheet1!$K:$K, MATCH(A50, [1]Sheet1!$B:$B,0)), 固定数据!AT47, 固定数据!AU47, 0.2, 1.5,1.5, 4)</f>
        <v>--</v>
      </c>
      <c r="Y50" s="2" t="str" cm="1">
        <f t="array" ref="Y50">计算得分(INDEX([1]Sheet1!$AA:$AA, MATCH(A50, [1]Sheet1!$B:$B,0)), 固定数据!AV47, 固定数据!AW47, 0.05, IF(固定数据!AV47&lt;&gt;"--",固定数据!AV47,0),0, 3)</f>
        <v>--</v>
      </c>
      <c r="Z50" s="2" t="str" cm="1">
        <f t="array" ref="Z50">计算得分(INDEX([1]Sheet1!$AB:$AB, MATCH(A50, [1]Sheet1!$B:$B,0)), 固定数据!AX47, 固定数据!AY47, 0.05, IF(固定数据!AX47&lt;&gt;"--",固定数据!AX47,0),0, 3)</f>
        <v>--</v>
      </c>
      <c r="AA50" s="2" t="str" cm="1">
        <f t="array" ref="AA50">计算得分(INDEX([1]Sheet1!$AC:$AC, MATCH(A50, [1]Sheet1!$B:$B,0)), 固定数据!AZ47, 固定数据!BA47, 0.04, IF(固定数据!AZ47&lt;&gt;"--",固定数据!AZ47,0),0, 3)</f>
        <v>--</v>
      </c>
      <c r="AB50" s="2" t="str" cm="1">
        <f t="array" ref="AB50">计算得分(INDEX([1]Sheet1!$AD:$AD, MATCH(A50, [1]Sheet1!$B:$B,0)), 固定数据!BB47, 固定数据!BC47, 0.03, IF(固定数据!BB47&lt;&gt;"--",固定数据!BB47,0),0, 3)</f>
        <v>--</v>
      </c>
      <c r="AC50" s="2" t="str" cm="1">
        <f t="array" ref="AC50">计算得分(INDEX([1]Sheet1!$AE:$AE, MATCH(A50, [1]Sheet1!$B:$B,0)), 固定数据!BD47, 固定数据!BE47, 0.04, IF(固定数据!BD47&lt;&gt;"--",固定数据!BD47,0),0, 3)</f>
        <v>--</v>
      </c>
      <c r="AD50" s="2" t="str" cm="1">
        <f t="array" ref="AD50">计算得分(INDEX([1]Sheet1!$L:$L, MATCH(A50, [1]Sheet1!$B:$B,0)), 固定数据!BF47, 固定数据!BG47, 0.1, 12.5,0, 3)</f>
        <v>--</v>
      </c>
      <c r="AE50" s="2" t="str" cm="1">
        <f t="array" ref="AE50">计算得分(INDEX([1]Sheet1!$N:$N, MATCH(A50, [1]Sheet1!$B:$B,0)), 固定数据!BH47, 固定数据!BI47, 0.2, 7,0, 0)</f>
        <v>--</v>
      </c>
      <c r="AF50" s="2" t="str" cm="1">
        <f t="array" ref="AF50">计算得分(INDEX([1]Sheet1!$Q:$Q, MATCH(A50, [1]Sheet1!$B:$B,0)), 固定数据!BJ47, 固定数据!BK47, 0.2, 7,0, 0)</f>
        <v>--</v>
      </c>
      <c r="AG50" s="2" t="str" cm="1">
        <f t="array" ref="AG50">计算得分(INDEX([1]Sheet1!$S:$S, MATCH(A50, [1]Sheet1!$B:$B,0)), 固定数据!BL47, 固定数据!BM47, 0.2, 20,0, 0)</f>
        <v>--</v>
      </c>
      <c r="AH50" s="6" t="str" cm="1">
        <f t="array" ref="AH50">计算得分(INDEX([1]Sheet1!$AF:$AF, MATCH(A50, [1]Sheet1!$B:$B,0)), 固定数据!BN47, 固定数据!BO47, 0.1, 10,0, 3)</f>
        <v>--</v>
      </c>
      <c r="AI50" s="2" t="str" cm="1">
        <f t="array" ref="AI50">计算得分(INDEX([1]Sheet1!$M:$M, MATCH(A50, [1]Sheet1!$B:$B,0)), 固定数据!BP47, 固定数据!BQ47, 0.2, 20,0, 3)</f>
        <v>--</v>
      </c>
      <c r="AJ50" s="2" t="str" cm="1">
        <f t="array" ref="AJ50">计算得分(INDEX([1]Sheet1!$Z:$Z, MATCH(A50, [1]Sheet1!$B:$B,0)), 固定数据!BR47, 固定数据!BS47, 10, 50,0, 0)</f>
        <v>--</v>
      </c>
      <c r="AK50" s="2" t="str" cm="1">
        <f t="array" ref="AK50">计算得分(INDEX([1]Sheet1!$O:$O, MATCH(A50, [1]Sheet1!$B:$B,0)), 固定数据!BT47, 固定数据!BU47, 0.2, 15,0, 0)</f>
        <v>--</v>
      </c>
      <c r="AL50" s="2" t="str" cm="1">
        <f t="array" ref="AL50">计算得分(INDEX([1]Sheet1!$R:$R, MATCH(A50, [1]Sheet1!$B:$B,0)), 固定数据!BV47, 固定数据!BW47, 0.2, 10,0, 0)</f>
        <v>--</v>
      </c>
      <c r="AM50" s="2" t="str" cm="1">
        <f t="array" ref="AM50">计算得分(INDEX([1]Sheet1!$T:$T, MATCH(A50, [1]Sheet1!$B:$B,0)), 固定数据!BX47, 固定数据!BY47, 0.2, 20,0, 0)</f>
        <v>--</v>
      </c>
      <c r="AN50" s="2" cm="1">
        <f t="array" ref="AN50">计算得分([3]Sheet1!$F$3, 固定数据!BZ47, 固定数据!CA47, 0.5, 15,0, 0)</f>
        <v>104.4</v>
      </c>
      <c r="AO50" s="6" cm="1">
        <f t="array" ref="AO50">计算得分([3]Sheet1!$G$3, 固定数据!CB47, 固定数据!CC47, 0.01, 5,0, 1)</f>
        <v>3675</v>
      </c>
      <c r="AP50" s="6" cm="1">
        <f t="array" ref="AP50">计算得分([3]Sheet1!$H$3, 固定数据!CD47, 固定数据!CE47, 0.001, 5,0, 1)</f>
        <v>18357</v>
      </c>
      <c r="AQ50" s="6" cm="1">
        <f t="array" ref="AQ50">计算得分([3]Sheet1!$D$3,固定数据!CF47,固定数据!CG47,0.05,5,0,3)</f>
        <v>186.8</v>
      </c>
      <c r="AR50" s="6" cm="1">
        <f t="array" ref="AR50">计算得分([3]Sheet1!$E$3,固定数据!CH47,固定数据!CI47,0.1,10,0,3)</f>
        <v>7574.53</v>
      </c>
      <c r="AS50" s="7" t="s">
        <v>74</v>
      </c>
      <c r="AT50" s="6" cm="1">
        <f t="array" ref="AT50">计算得分(INDEX([3]Sheet1!$J:$J, MATCH(A50, [3]Sheet1!$B:$B,0)), 固定数据!CL47, 固定数据!CM47, 2, 0,-10, 0)</f>
        <v>100</v>
      </c>
      <c r="AU50" s="2" cm="1">
        <f t="array" ref="AU50">计算得分(INDEX([3]Sheet1!$K:$K, MATCH(A50, [3]Sheet1!$B:$B,0)), 固定数据!CN47, 固定数据!CO47, 3, 0,-10, 0)</f>
        <v>100</v>
      </c>
      <c r="AV50" s="2" cm="1">
        <f t="array" ref="AV50">计算得分(INDEX([3]Sheet1!$L:$L, MATCH(A50, [3]Sheet1!$B:$B,0)), 固定数据!CP47, 固定数据!CQ47, 3, 0,-10, 0)</f>
        <v>100</v>
      </c>
      <c r="AW50" s="2" cm="1">
        <f t="array" ref="AW50">计算得分(INDEX([3]Sheet1!$M:$M, MATCH(A50, [3]Sheet1!$B:$B,0)), 固定数据!CR47, 固定数据!CS47, 100, 0,-100, 0)</f>
        <v>100</v>
      </c>
      <c r="AX50" s="2" cm="1">
        <f t="array" ref="AX50">计算得分(INDEX([3]Sheet1!$N:$N, MATCH(A50, [3]Sheet1!$B:$B,0)), 固定数据!CT47, 固定数据!CU47, 3, 0,-10, 0)</f>
        <v>100</v>
      </c>
      <c r="AY50" s="7" t="s">
        <v>74</v>
      </c>
      <c r="AZ50" s="7" t="s">
        <v>74</v>
      </c>
      <c r="BA50" s="2">
        <f>IFERROR(VLOOKUP(A50,[4]KPI评分!B:C,2,FALSE)*60%,"--")</f>
        <v>57.24</v>
      </c>
    </row>
    <row r="51" spans="1:53" ht="24.75" customHeight="1" x14ac:dyDescent="0.25">
      <c r="A51" s="3" t="s">
        <v>119</v>
      </c>
      <c r="B51" s="4" cm="1">
        <f t="array" ref="B51">计算得分(INDEX([1]Sheet1!$W:$W, MATCH(A51, [1]Sheet1!$B:$B,0)), 固定数据!B48, 固定数据!C48, 0.5, 0,-10, 0)</f>
        <v>0</v>
      </c>
      <c r="C51" s="4" cm="1">
        <f t="array" ref="C51">计算得分(INDEX([1]Sheet1!$X:$X, MATCH(A51, [1]Sheet1!$B:$B,0)), 固定数据!D48, 固定数据!E48, 1, 0,-10, 0)</f>
        <v>0</v>
      </c>
      <c r="D51" s="4" cm="1">
        <f t="array" ref="D51">计算得分(INDEX([1]Sheet1!$Y:$Y, MATCH(A51, [1]Sheet1!$B:$B,0)), 固定数据!F48, 固定数据!G48, 2, 0,-10, 0)</f>
        <v>0</v>
      </c>
      <c r="E51" s="4" t="str" cm="1">
        <f t="array" ref="E51">计算得分(INDEX([1]Sheet1!$C:$C, MATCH(A51, [1]Sheet1!$B:$B,0)), 固定数据!H48, 固定数据!I48, 0.02, 10,0, 1)</f>
        <v>--</v>
      </c>
      <c r="F51" s="4" t="str" cm="1">
        <f t="array" ref="F51">计算得分(INDEX([1]Sheet1!$D:$D, MATCH(A51, [1]Sheet1!$B:$B,0)), 固定数据!J48, 固定数据!K48, 0, 0,0, 0)</f>
        <v>--</v>
      </c>
      <c r="G51" s="4" cm="1">
        <f t="array" ref="G51">计算得分(INDEX([1]Sheet1!$E:$E, MATCH(A51, [1]Sheet1!$B:$B,0)), 固定数据!L48, 固定数据!M48, 0.3, 3,0, 5)</f>
        <v>36389.279999999999</v>
      </c>
      <c r="H51" s="4" cm="1">
        <f t="array" ref="H51">计算得分(INDEX([1]Sheet1!$AG:$AG, MATCH(A51, [1]Sheet1!$B:$B,0)), 固定数据!N48, 固定数据!O48, 0.03, 3,0, 3)</f>
        <v>94</v>
      </c>
      <c r="I51" s="4" cm="1">
        <f t="array" ref="I51">计算得分(INDEX([1]Sheet1!$V:$V, MATCH(A51, [1]Sheet1!$B:$B,0)), 固定数据!P48, 固定数据!Q48, 1, 0,-100, 0)</f>
        <v>0</v>
      </c>
      <c r="J51" s="4" t="str" cm="1">
        <f t="array" ref="J51">计算得分(INDEX([1]Sheet1!$AI:$AI, MATCH(A51, [1]Sheet1!$B:$B,0)), 固定数据!R48, 固定数据!S48, 0.04, 12,0, 3)</f>
        <v>--</v>
      </c>
      <c r="K51" s="4" cm="1">
        <f t="array" ref="K51">计算得分(INDEX([1]Sheet1!$F:$F, MATCH(A51, [1]Sheet1!$B:$B,0)), 固定数据!T48, 固定数据!U48, 0.02, 3,0, 1)</f>
        <v>28.42</v>
      </c>
      <c r="L51" s="4" t="str" cm="1">
        <f t="array" ref="L51">计算得分(INDEX([1]Sheet1!$U:$U, MATCH(A51, [1]Sheet1!$B:$B,0)), 固定数据!V48, 固定数据!W48, 0.2, 20,0, 0)</f>
        <v>--</v>
      </c>
      <c r="M51" s="4" t="str" cm="1">
        <f t="array" ref="M51">计算得分(100, 固定数据!X48, 固定数据!Y48, 0, 5,0, 0)</f>
        <v>--</v>
      </c>
      <c r="N51" s="4" t="str" cm="1">
        <f t="array" ref="N51">计算得分(100, 固定数据!Z48, 固定数据!AA48, 0, 5,0, 0)</f>
        <v>--</v>
      </c>
      <c r="O51" s="4" t="str" cm="1">
        <f t="array" ref="O51">计算得分(100, 固定数据!AB48, 固定数据!AC48, 0, 7,0, 0)</f>
        <v>--</v>
      </c>
      <c r="P51" s="4" t="str" cm="1">
        <f t="array" ref="P51">计算得分(INDEX([1]Sheet1!$P:$P, MATCH(A51, [1]Sheet1!$B:$B,0)), 固定数据!AD48, 固定数据!AE48, 0.2, 7,0, 0)</f>
        <v>--</v>
      </c>
      <c r="Q51" s="4" cm="1">
        <f t="array" ref="Q51">计算得分(INDEX([1]Sheet1!$I:$I, MATCH(A51, [1]Sheet1!$B:$B,0)), 固定数据!AF48, 固定数据!AG48,0.2, IF(固定数据!AF48&lt;&gt;"--",固定数据!AF48,0),2, 5)</f>
        <v>195.39</v>
      </c>
      <c r="R51" s="4" cm="1">
        <f t="array" ref="R51">计算得分(INDEX([2]Sheet1!$AL:$AL, MATCH(A51, [2]Sheet1!$A:$A,0)), 固定数据!AH48, 固定数据!AI48, 0.02, 6,6, 1)</f>
        <v>57</v>
      </c>
      <c r="S51" s="4" cm="1">
        <f t="array" ref="S51">计算得分(INDEX([2]Sheet1!$I:$I, MATCH(A51, [2]Sheet1!$A:$A,0)), 固定数据!AJ48, 固定数据!AK48, 0.005, 6,0, 1)</f>
        <v>249</v>
      </c>
      <c r="T51" s="4" cm="1">
        <f t="array" ref="T51">计算得分(98, 固定数据!AL48, 固定数据!AM48, 0.03, IF(固定数据!AL48&lt;&gt;"--",固定数据!AL48,0),0, 3)</f>
        <v>98</v>
      </c>
      <c r="U51" s="4" cm="1">
        <f t="array" ref="U51">计算得分(INDEX([1]Sheet1!$G:$G, MATCH(A51, [1]Sheet1!$B:$B,0)), 固定数据!AN48, 固定数据!AO48, 0.5, 3,0, 0)</f>
        <v>11.96</v>
      </c>
      <c r="V51" s="4" cm="1">
        <f t="array" ref="V51">计算得分(INDEX([1]Sheet1!$H:$H, MATCH(A51, [1]Sheet1!$B:$B,0)), 固定数据!AP48, 固定数据!AQ48, 0.4, 5,0, 1)</f>
        <v>2.04</v>
      </c>
      <c r="W51" s="4" cm="1">
        <f t="array" ref="W51">计算得分(INDEX([1]Sheet1!$J:$J, MATCH(A51, [1]Sheet1!$B:$B,0)), 固定数据!AR48, 固定数据!AS48, 0.2, 2,2, 4)</f>
        <v>195.39</v>
      </c>
      <c r="X51" s="4" cm="1">
        <f t="array" ref="X51">计算得分(INDEX([1]Sheet1!$K:$K, MATCH(A51, [1]Sheet1!$B:$B,0)), 固定数据!AT48, 固定数据!AU48, 0.2, 1.5,1.5, 4)</f>
        <v>16374.32</v>
      </c>
      <c r="Y51" s="4" cm="1">
        <f t="array" ref="Y51">计算得分(INDEX([1]Sheet1!$AA:$AA, MATCH(A51, [1]Sheet1!$B:$B,0)), 固定数据!AV48, 固定数据!AW48, 0.05, IF(固定数据!AV48&lt;&gt;"--",固定数据!AV48,0),0, 3)</f>
        <v>92</v>
      </c>
      <c r="Z51" s="4" cm="1">
        <f t="array" ref="Z51">计算得分(INDEX([1]Sheet1!$AB:$AB, MATCH(A51, [1]Sheet1!$B:$B,0)), 固定数据!AX48, 固定数据!AY48, 0.05, IF(固定数据!AX48&lt;&gt;"--",固定数据!AX48,0),0, 3)</f>
        <v>95.8</v>
      </c>
      <c r="AA51" s="4" cm="1">
        <f t="array" ref="AA51">计算得分(INDEX([1]Sheet1!$AC:$AC, MATCH(A51, [1]Sheet1!$B:$B,0)), 固定数据!AZ48, 固定数据!BA48, 0.04, IF(固定数据!AZ48&lt;&gt;"--",固定数据!AZ48,0),0, 3)</f>
        <v>97</v>
      </c>
      <c r="AB51" s="4" cm="1">
        <f t="array" ref="AB51">计算得分(INDEX([1]Sheet1!$AD:$AD, MATCH(A51, [1]Sheet1!$B:$B,0)), 固定数据!BB48, 固定数据!BC48, 0.03, IF(固定数据!BB48&lt;&gt;"--",固定数据!BB48,0),0, 3)</f>
        <v>93</v>
      </c>
      <c r="AC51" s="4" cm="1">
        <f t="array" ref="AC51">计算得分(INDEX([1]Sheet1!$AE:$AE, MATCH(A51, [1]Sheet1!$B:$B,0)), 固定数据!BD48, 固定数据!BE48, 0.04, IF(固定数据!BD48&lt;&gt;"--",固定数据!BD48,0),0, 3)</f>
        <v>97.81</v>
      </c>
      <c r="AD51" s="4" cm="1">
        <f t="array" ref="AD51">计算得分(INDEX([1]Sheet1!$L:$L, MATCH(A51, [1]Sheet1!$B:$B,0)), 固定数据!BF48, 固定数据!BG48, 0.1, 12.5,0, 3)</f>
        <v>10597.61</v>
      </c>
      <c r="AE51" s="4" cm="1">
        <f t="array" ref="AE51">计算得分(INDEX([1]Sheet1!$N:$N, MATCH(A51, [1]Sheet1!$B:$B,0)), 固定数据!BH48, 固定数据!BI48, 0.2, 7,0, 0)</f>
        <v>18.32</v>
      </c>
      <c r="AF51" s="4" cm="1">
        <f t="array" ref="AF51">计算得分(INDEX([1]Sheet1!$Q:$Q, MATCH(A51, [1]Sheet1!$B:$B,0)), 固定数据!BJ48, 固定数据!BK48, 0.2, 7,0, 0)</f>
        <v>16.23</v>
      </c>
      <c r="AG51" s="4" cm="1">
        <f t="array" ref="AG51">计算得分(INDEX([1]Sheet1!$S:$S, MATCH(A51, [1]Sheet1!$B:$B,0)), 固定数据!BL48, 固定数据!BM48, 0.2, 20,0, 0)</f>
        <v>64.62</v>
      </c>
      <c r="AH51" s="4" t="str" cm="1">
        <f t="array" ref="AH51">计算得分(INDEX([1]Sheet1!$AF:$AF, MATCH(A51, [1]Sheet1!$B:$B,0)), 固定数据!BN48, 固定数据!BO48, 0.1, 10,0, 3)</f>
        <v>--</v>
      </c>
      <c r="AI51" s="4" t="str" cm="1">
        <f t="array" ref="AI51">计算得分(INDEX([1]Sheet1!$M:$M, MATCH(A51, [1]Sheet1!$B:$B,0)), 固定数据!BP48, 固定数据!BQ48, 0.2, 20,0, 3)</f>
        <v>--</v>
      </c>
      <c r="AJ51" s="4" cm="1">
        <f t="array" ref="AJ51">计算得分(INDEX([1]Sheet1!$Z:$Z, MATCH(A51, [1]Sheet1!$B:$B,0)), 固定数据!BR48, 固定数据!BS48, 10, 50,0, 0)</f>
        <v>0</v>
      </c>
      <c r="AK51" s="4" t="str" cm="1">
        <f t="array" ref="AK51">计算得分(INDEX([1]Sheet1!$O:$O, MATCH(A51, [1]Sheet1!$B:$B,0)), 固定数据!BT48, 固定数据!BU48, 0.2, 15,0, 0)</f>
        <v>--</v>
      </c>
      <c r="AL51" s="4" t="str" cm="1">
        <f t="array" ref="AL51">计算得分(INDEX([1]Sheet1!$R:$R, MATCH(A51, [1]Sheet1!$B:$B,0)), 固定数据!BV48, 固定数据!BW48, 0.2, 10,0, 0)</f>
        <v>--</v>
      </c>
      <c r="AM51" s="4" t="str" cm="1">
        <f t="array" ref="AM51">计算得分(INDEX([1]Sheet1!$T:$T, MATCH(A51, [1]Sheet1!$B:$B,0)), 固定数据!BX48, 固定数据!BY48, 0.2, 20,0, 0)</f>
        <v>--</v>
      </c>
      <c r="AN51" s="4" t="str" cm="1">
        <f t="array" ref="AN51">计算得分([3]Sheet1!$F$3, 固定数据!BZ48, 固定数据!CA48, 0.5, 15,0, 0)</f>
        <v>--</v>
      </c>
      <c r="AO51" s="4" t="str" cm="1">
        <f t="array" ref="AO51">计算得分([3]Sheet1!$G$3, 固定数据!CB48, 固定数据!CC48, 0.01, 5,0, 1)</f>
        <v>--</v>
      </c>
      <c r="AP51" s="4" t="str" cm="1">
        <f t="array" ref="AP51">计算得分([3]Sheet1!$H$3, 固定数据!CD48, 固定数据!CE48, 0.001, 5,0, 1)</f>
        <v>--</v>
      </c>
      <c r="AQ51" s="4" t="str" cm="1">
        <f t="array" ref="AQ51">计算得分([3]Sheet1!$D$3,固定数据!CF48,固定数据!CG48,0.05,5,0,3)</f>
        <v>--</v>
      </c>
      <c r="AR51" s="4" t="str" cm="1">
        <f t="array" ref="AR51">计算得分([3]Sheet1!$E$3,固定数据!CH48,固定数据!CI48,0.1,10,0,3)</f>
        <v>--</v>
      </c>
      <c r="AS51" s="8" t="s">
        <v>74</v>
      </c>
      <c r="AT51" s="4" t="str" cm="1">
        <f t="array" ref="AT51">计算得分(INDEX([3]Sheet1!$J:$J, MATCH(A51, [3]Sheet1!$B:$B,0)), 固定数据!CL48, 固定数据!CM48, 2, 0,-10, 0)</f>
        <v>--</v>
      </c>
      <c r="AU51" s="4" t="str" cm="1">
        <f t="array" ref="AU51">计算得分(INDEX([3]Sheet1!$K:$K, MATCH(A51, [3]Sheet1!$B:$B,0)), 固定数据!CN48, 固定数据!CO48, 3, 0,-10, 0)</f>
        <v>--</v>
      </c>
      <c r="AV51" s="4" t="str" cm="1">
        <f t="array" ref="AV51">计算得分(INDEX([3]Sheet1!$L:$L, MATCH(A51, [3]Sheet1!$B:$B,0)), 固定数据!CP48, 固定数据!CQ48, 3, 0,-10, 0)</f>
        <v>--</v>
      </c>
      <c r="AW51" s="4" t="str" cm="1">
        <f t="array" ref="AW51">计算得分(INDEX([3]Sheet1!$M:$M, MATCH(A51, [3]Sheet1!$B:$B,0)), 固定数据!CR48, 固定数据!CS48, 100, 0,-100, 0)</f>
        <v>--</v>
      </c>
      <c r="AX51" s="4" t="str" cm="1">
        <f t="array" ref="AX51">计算得分(INDEX([3]Sheet1!$N:$N, MATCH(A51, [3]Sheet1!$B:$B,0)), 固定数据!CT48, 固定数据!CU48, 3, 0,-10, 0)</f>
        <v>--</v>
      </c>
      <c r="AY51" s="8" t="s">
        <v>74</v>
      </c>
      <c r="AZ51" s="8" t="s">
        <v>74</v>
      </c>
      <c r="BA51" s="4" t="str">
        <f>IFERROR(VLOOKUP(A51,[4]KPI评分!B:C,2,FALSE)*60%,"--")</f>
        <v>--</v>
      </c>
    </row>
    <row r="52" spans="1:53" ht="24.75" customHeight="1" x14ac:dyDescent="0.25">
      <c r="A52" s="1" t="s">
        <v>120</v>
      </c>
      <c r="B52" s="2" cm="1">
        <f t="array" ref="B52">计算得分(INDEX([1]Sheet1!$W:$W, MATCH(A52, [1]Sheet1!$B:$B,0)), 固定数据!B49, 固定数据!C49, 0.5, 0,-10, 0)</f>
        <v>0</v>
      </c>
      <c r="C52" s="2" cm="1">
        <f t="array" ref="C52">计算得分(INDEX([1]Sheet1!$X:$X, MATCH(A52, [1]Sheet1!$B:$B,0)), 固定数据!D49, 固定数据!E49, 1, 0,-10, 0)</f>
        <v>0</v>
      </c>
      <c r="D52" s="2" t="str" cm="1">
        <f t="array" ref="D52">计算得分(INDEX([1]Sheet1!$Y:$Y, MATCH(A52, [1]Sheet1!$B:$B,0)), 固定数据!F49, 固定数据!G49, 2, 0,-10, 0)</f>
        <v>--</v>
      </c>
      <c r="E52" s="6" t="str" cm="1">
        <f t="array" ref="E52">计算得分(INDEX([1]Sheet1!$C:$C, MATCH(A52, [1]Sheet1!$B:$B,0)), 固定数据!H49, 固定数据!I49, 0.02, 10,0, 1)</f>
        <v>--</v>
      </c>
      <c r="F52" s="2" t="str" cm="1">
        <f t="array" ref="F52">计算得分(INDEX([1]Sheet1!$D:$D, MATCH(A52, [1]Sheet1!$B:$B,0)), 固定数据!J49, 固定数据!K49, 0, 0,0, 0)</f>
        <v>--</v>
      </c>
      <c r="G52" s="2" t="str" cm="1">
        <f t="array" ref="G52">计算得分(INDEX([1]Sheet1!$E:$E, MATCH(A52, [1]Sheet1!$B:$B,0)), 固定数据!L49, 固定数据!M49,  0.3, 3,0, 5)</f>
        <v>--</v>
      </c>
      <c r="H52" s="2" t="str" cm="1">
        <f t="array" ref="H52">计算得分(INDEX([1]Sheet1!$AG:$AG, MATCH(A52, [1]Sheet1!$B:$B,0)), 固定数据!N49, 固定数据!O49, 0.03, 3,0, 3)</f>
        <v>--</v>
      </c>
      <c r="I52" s="2" cm="1">
        <f t="array" ref="I52">计算得分(INDEX([1]Sheet1!$V:$V, MATCH(A52, [1]Sheet1!$B:$B,0)), 固定数据!P49, 固定数据!Q49, 1, 0,-100, 0)</f>
        <v>0</v>
      </c>
      <c r="J52" s="2" cm="1">
        <f t="array" ref="J52">计算得分(INDEX([1]Sheet1!$AI:$AI, MATCH(A52, [1]Sheet1!$B:$B,0)), 固定数据!R49, 固定数据!S49, 0.04, 12,0, 3)</f>
        <v>100</v>
      </c>
      <c r="K52" s="2" t="str" cm="1">
        <f t="array" ref="K52">计算得分(INDEX([1]Sheet1!$F:$F, MATCH(A52, [1]Sheet1!$B:$B,0)), 固定数据!T49, 固定数据!U49, 0.02, 3,0, 1)</f>
        <v>--</v>
      </c>
      <c r="L52" s="2" t="str" cm="1">
        <f t="array" ref="L52">计算得分(INDEX([1]Sheet1!$U:$U, MATCH(A52, [1]Sheet1!$B:$B,0)), 固定数据!V49, 固定数据!W49, 0.2, 20,0, 0)</f>
        <v>--</v>
      </c>
      <c r="M52" s="2" cm="1">
        <f t="array" ref="M52">计算得分(100, 固定数据!X49, 固定数据!Y49, 0, 5,0, 0)</f>
        <v>100</v>
      </c>
      <c r="N52" s="2" cm="1">
        <f t="array" ref="N52">计算得分(100, 固定数据!Z49, 固定数据!AA49, 0, 5,0, 0)</f>
        <v>100</v>
      </c>
      <c r="O52" s="2" cm="1">
        <f t="array" ref="O52">计算得分(100, 固定数据!AB49, 固定数据!AC49, 0, 7,0, 0)</f>
        <v>100</v>
      </c>
      <c r="P52" s="2" t="str" cm="1">
        <f t="array" ref="P52">计算得分(INDEX([1]Sheet1!$P:$P, MATCH(A52, [1]Sheet1!$B:$B,0)), 固定数据!AD49, 固定数据!AE49, 0.2, 7,0, 0)</f>
        <v>--</v>
      </c>
      <c r="Q52" s="2" t="str" cm="1">
        <f t="array" ref="Q52">计算得分(INDEX([1]Sheet1!$I:$I, MATCH(A52, [1]Sheet1!$B:$B,0)), 固定数据!AF49, 固定数据!AG49,0.2, IF(固定数据!AF49&lt;&gt;"--",固定数据!AF49,0),2, 5)</f>
        <v>--</v>
      </c>
      <c r="R52" s="2" t="str" cm="1">
        <f t="array" ref="R52">计算得分(INDEX([2]Sheet1!$AL:$AL, MATCH(A52, [2]Sheet1!$A:$A,0)), 固定数据!AH49, 固定数据!AI49, 0.02, 6,6, 1)</f>
        <v>--</v>
      </c>
      <c r="S52" s="2" t="str" cm="1">
        <f t="array" ref="S52">计算得分(INDEX([2]Sheet1!$I:$I, MATCH(A52, [2]Sheet1!$A:$A,0)), 固定数据!AJ49, 固定数据!AK49, 0.005, 6,0, 1)</f>
        <v>--</v>
      </c>
      <c r="T52" s="2" t="str" cm="1">
        <f t="array" ref="T52">计算得分(98, 固定数据!AL49, 固定数据!AM49, 0.03, IF(固定数据!AL49&lt;&gt;"--",固定数据!AL49,0),0, 3)</f>
        <v>--</v>
      </c>
      <c r="U52" s="2" t="str" cm="1">
        <f t="array" ref="U52">计算得分(INDEX([1]Sheet1!$G:$G, MATCH(A52, [1]Sheet1!$B:$B,0)), 固定数据!AN49, 固定数据!AO49, 0.5, 3,0, 0)</f>
        <v>--</v>
      </c>
      <c r="V52" s="2" t="str" cm="1">
        <f t="array" ref="V52">计算得分(INDEX([1]Sheet1!$H:$H, MATCH(A52, [1]Sheet1!$B:$B,0)), 固定数据!AP49, 固定数据!AQ49, 0.4, 5,0, 1)</f>
        <v>--</v>
      </c>
      <c r="W52" s="2" t="str" cm="1">
        <f t="array" ref="W52">计算得分(INDEX([1]Sheet1!$J:$J, MATCH(A52, [1]Sheet1!$B:$B,0)), 固定数据!AR49, 固定数据!AS49, 0.2, 2,2, 4)</f>
        <v>--</v>
      </c>
      <c r="X52" s="2" t="str" cm="1">
        <f t="array" ref="X52">计算得分(INDEX([1]Sheet1!$K:$K, MATCH(A52, [1]Sheet1!$B:$B,0)), 固定数据!AT49, 固定数据!AU49, 0.2, 1.5,1.5, 4)</f>
        <v>--</v>
      </c>
      <c r="Y52" s="2" cm="1">
        <f t="array" ref="Y52">计算得分(INDEX([1]Sheet1!$AA:$AA, MATCH(A52, [1]Sheet1!$B:$B,0)), 固定数据!AV49, 固定数据!AW49, 0.05, IF(固定数据!AV49&lt;&gt;"--",固定数据!AV49,0),0, 3)</f>
        <v>95</v>
      </c>
      <c r="Z52" s="2" t="str" cm="1">
        <f t="array" ref="Z52">计算得分(INDEX([1]Sheet1!$AB:$AB, MATCH(A52, [1]Sheet1!$B:$B,0)), 固定数据!AX49, 固定数据!AY49, 0.05, IF(固定数据!AX49&lt;&gt;"--",固定数据!AX49,0),0, 3)</f>
        <v>--</v>
      </c>
      <c r="AA52" s="2" t="str" cm="1">
        <f t="array" ref="AA52">计算得分(INDEX([1]Sheet1!$AC:$AC, MATCH(A52, [1]Sheet1!$B:$B,0)), 固定数据!AZ49, 固定数据!BA49, 0.04, IF(固定数据!AZ49&lt;&gt;"--",固定数据!AZ49,0),0, 3)</f>
        <v>--</v>
      </c>
      <c r="AB52" s="2" cm="1">
        <f t="array" ref="AB52">计算得分(INDEX([1]Sheet1!$AD:$AD, MATCH(A52, [1]Sheet1!$B:$B,0)), 固定数据!BB49, 固定数据!BC49, 0.03, IF(固定数据!BB49&lt;&gt;"--",固定数据!BB49,0),0, 3)</f>
        <v>93</v>
      </c>
      <c r="AC52" s="2" cm="1">
        <f t="array" ref="AC52">计算得分(INDEX([1]Sheet1!$AE:$AE, MATCH(A52, [1]Sheet1!$B:$B,0)), 固定数据!BD49, 固定数据!BE49, 0.04, IF(固定数据!BD49&lt;&gt;"--",固定数据!BD49,0),0, 3)</f>
        <v>95.7</v>
      </c>
      <c r="AD52" s="2" t="str" cm="1">
        <f t="array" ref="AD52">计算得分(INDEX([1]Sheet1!$L:$L, MATCH(A52, [1]Sheet1!$B:$B,0)), 固定数据!BF49, 固定数据!BG49, 0.1, 12.5,0, 3)</f>
        <v>--</v>
      </c>
      <c r="AE52" s="2" t="str" cm="1">
        <f t="array" ref="AE52">计算得分(INDEX([1]Sheet1!$N:$N, MATCH(A52, [1]Sheet1!$B:$B,0)), 固定数据!BH49, 固定数据!BI49, 0.2, 7,0, 0)</f>
        <v>--</v>
      </c>
      <c r="AF52" s="2" t="str" cm="1">
        <f t="array" ref="AF52">计算得分(INDEX([1]Sheet1!$Q:$Q, MATCH(A52, [1]Sheet1!$B:$B,0)), 固定数据!BJ49, 固定数据!BK49, 0.2, 7,0, 0)</f>
        <v>--</v>
      </c>
      <c r="AG52" s="2" t="str" cm="1">
        <f t="array" ref="AG52">计算得分(INDEX([1]Sheet1!$S:$S, MATCH(A52, [1]Sheet1!$B:$B,0)), 固定数据!BL49, 固定数据!BM49, 0.2, 20,0, 0)</f>
        <v>--</v>
      </c>
      <c r="AH52" s="6" t="str" cm="1">
        <f t="array" ref="AH52">计算得分(INDEX([1]Sheet1!$AF:$AF, MATCH(A52, [1]Sheet1!$B:$B,0)), 固定数据!BN49, 固定数据!BO49, 0.1, 10,0, 3)</f>
        <v>--</v>
      </c>
      <c r="AI52" s="2" cm="1">
        <f t="array" ref="AI52">计算得分(INDEX([1]Sheet1!$M:$M, MATCH(A52, [1]Sheet1!$B:$B,0)), 固定数据!BP49, 固定数据!BQ49, 0.2, 20,0, 3)</f>
        <v>379.5</v>
      </c>
      <c r="AJ52" s="2" cm="1">
        <f t="array" ref="AJ52">计算得分(INDEX([1]Sheet1!$Z:$Z, MATCH(A52, [1]Sheet1!$B:$B,0)), 固定数据!BR49, 固定数据!BS49, 10, 50,0, 0)</f>
        <v>0</v>
      </c>
      <c r="AK52" s="2" cm="1">
        <f t="array" ref="AK52">计算得分(INDEX([1]Sheet1!$O:$O, MATCH(A52, [1]Sheet1!$B:$B,0)), 固定数据!BT49, 固定数据!BU49, 0.2, 15,0, 0)</f>
        <v>16.79</v>
      </c>
      <c r="AL52" s="2" t="str" cm="1">
        <f t="array" ref="AL52">计算得分(INDEX([1]Sheet1!$R:$R, MATCH(A52, [1]Sheet1!$B:$B,0)), 固定数据!BV49, 固定数据!BW49, 0.2, 10,0, 0)</f>
        <v>--</v>
      </c>
      <c r="AM52" s="2" cm="1">
        <f t="array" ref="AM52">计算得分(INDEX([1]Sheet1!$T:$T, MATCH(A52, [1]Sheet1!$B:$B,0)), 固定数据!BX49, 固定数据!BY49, 0.2, 20,0, 0)</f>
        <v>50.51</v>
      </c>
      <c r="AN52" s="2" t="str" cm="1">
        <f t="array" ref="AN52">计算得分([3]Sheet1!$F$3, 固定数据!BZ49, 固定数据!CA49, 0.5, 15,0, 0)</f>
        <v>--</v>
      </c>
      <c r="AO52" s="6" t="str" cm="1">
        <f t="array" ref="AO52">计算得分([3]Sheet1!$G$3, 固定数据!CB49, 固定数据!CC49, 0.01, 5,0, 1)</f>
        <v>--</v>
      </c>
      <c r="AP52" s="6" t="str" cm="1">
        <f t="array" ref="AP52">计算得分([3]Sheet1!$H$3, 固定数据!CD49, 固定数据!CE49, 0.001, 5,0, 1)</f>
        <v>--</v>
      </c>
      <c r="AQ52" s="6" t="str" cm="1">
        <f t="array" ref="AQ52">计算得分([3]Sheet1!$D$3,固定数据!CF49,固定数据!CG49,0.05,5,0,3)</f>
        <v>--</v>
      </c>
      <c r="AR52" s="6" t="str" cm="1">
        <f t="array" ref="AR52">计算得分([3]Sheet1!$E$3,固定数据!CH49,固定数据!CI49,0.1,10,0,3)</f>
        <v>--</v>
      </c>
      <c r="AS52" s="7" t="s">
        <v>74</v>
      </c>
      <c r="AT52" s="6" t="str" cm="1">
        <f t="array" ref="AT52">计算得分(INDEX([3]Sheet1!$J:$J, MATCH(A52, [3]Sheet1!$B:$B,0)), 固定数据!CL49, 固定数据!CM49, 2, 0,-10, 0)</f>
        <v>--</v>
      </c>
      <c r="AU52" s="2" t="str" cm="1">
        <f t="array" ref="AU52">计算得分(INDEX([3]Sheet1!$K:$K, MATCH(A52, [3]Sheet1!$B:$B,0)), 固定数据!CN49, 固定数据!CO49, 3, 0,-10, 0)</f>
        <v>--</v>
      </c>
      <c r="AV52" s="2" t="str" cm="1">
        <f t="array" ref="AV52">计算得分(INDEX([3]Sheet1!$L:$L, MATCH(A52, [3]Sheet1!$B:$B,0)), 固定数据!CP49, 固定数据!CQ49, 3, 0,-10, 0)</f>
        <v>--</v>
      </c>
      <c r="AW52" s="2" t="str" cm="1">
        <f t="array" ref="AW52">计算得分(INDEX([3]Sheet1!$M:$M, MATCH(A52, [3]Sheet1!$B:$B,0)), 固定数据!CR49, 固定数据!CS49, 100, 0,-100, 0)</f>
        <v>--</v>
      </c>
      <c r="AX52" s="2" t="str" cm="1">
        <f t="array" ref="AX52">计算得分(INDEX([3]Sheet1!$N:$N, MATCH(A52, [3]Sheet1!$B:$B,0)), 固定数据!CT49, 固定数据!CU49, 3, 0,-10, 0)</f>
        <v>--</v>
      </c>
      <c r="AY52" s="7" t="s">
        <v>74</v>
      </c>
      <c r="AZ52" s="7" t="s">
        <v>74</v>
      </c>
      <c r="BA52" s="2" t="str">
        <f>IFERROR(VLOOKUP(A52,[4]KPI评分!B:C,2,FALSE)*60%,"--")</f>
        <v>--</v>
      </c>
    </row>
    <row r="53" spans="1:53" ht="24.75" customHeight="1" x14ac:dyDescent="0.25">
      <c r="A53" s="3" t="s">
        <v>121</v>
      </c>
      <c r="B53" s="4" cm="1">
        <f t="array" ref="B53">计算得分(INDEX([1]Sheet1!$W:$W, MATCH(A53, [1]Sheet1!$B:$B,0)), 固定数据!B50, 固定数据!C50, 0.5, 0,-10, 0)</f>
        <v>0</v>
      </c>
      <c r="C53" s="4" cm="1">
        <f t="array" ref="C53">计算得分(INDEX([1]Sheet1!$X:$X, MATCH(A53, [1]Sheet1!$B:$B,0)), 固定数据!D50, 固定数据!E50, 1, 0,-10, 0)</f>
        <v>0</v>
      </c>
      <c r="D53" s="4" cm="1">
        <f t="array" ref="D53">计算得分(INDEX([1]Sheet1!$Y:$Y, MATCH(A53, [1]Sheet1!$B:$B,0)), 固定数据!F50, 固定数据!G50, 2, 0,-10, 0)</f>
        <v>0</v>
      </c>
      <c r="E53" s="4" t="str" cm="1">
        <f t="array" ref="E53">计算得分(INDEX([1]Sheet1!$C:$C, MATCH(A53, [1]Sheet1!$B:$B,0)), 固定数据!H50, 固定数据!I50, 0.02, 10,0, 1)</f>
        <v>--</v>
      </c>
      <c r="F53" s="4" t="str" cm="1">
        <f t="array" ref="F53">计算得分(INDEX([1]Sheet1!$D:$D, MATCH(A53, [1]Sheet1!$B:$B,0)), 固定数据!J50, 固定数据!K50, 0, 0,0, 0)</f>
        <v>--</v>
      </c>
      <c r="G53" s="4" cm="1">
        <f t="array" ref="G53">计算得分(INDEX([1]Sheet1!$E:$E, MATCH(A53, [1]Sheet1!$B:$B,0)), 固定数据!L50, 固定数据!M50, 0.3, 3,0, 5)</f>
        <v>38130.629999999997</v>
      </c>
      <c r="H53" s="4" cm="1">
        <f t="array" ref="H53">计算得分(INDEX([1]Sheet1!$AG:$AG, MATCH(A53, [1]Sheet1!$B:$B,0)), 固定数据!N50, 固定数据!O50, 0.03, 3,0, 3)</f>
        <v>100</v>
      </c>
      <c r="I53" s="4" cm="1">
        <f t="array" ref="I53">计算得分(INDEX([1]Sheet1!$V:$V, MATCH(A53, [1]Sheet1!$B:$B,0)), 固定数据!P50, 固定数据!Q50, 1, 0,-100, 0)</f>
        <v>0</v>
      </c>
      <c r="J53" s="4" t="str" cm="1">
        <f t="array" ref="J53">计算得分(INDEX([1]Sheet1!$AI:$AI, MATCH(A53, [1]Sheet1!$B:$B,0)), 固定数据!R50, 固定数据!S50, 0.04, 12,0, 3)</f>
        <v>--</v>
      </c>
      <c r="K53" s="4" cm="1">
        <f t="array" ref="K53">计算得分(INDEX([1]Sheet1!$F:$F, MATCH(A53, [1]Sheet1!$B:$B,0)), 固定数据!T50, 固定数据!U50, 0.02, 3,0, 1)</f>
        <v>27.9</v>
      </c>
      <c r="L53" s="4" t="str" cm="1">
        <f t="array" ref="L53">计算得分(INDEX([1]Sheet1!$U:$U, MATCH(A53, [1]Sheet1!$B:$B,0)), 固定数据!V50, 固定数据!W50, 0.2, 20,0, 0)</f>
        <v>--</v>
      </c>
      <c r="M53" s="4" t="str" cm="1">
        <f t="array" ref="M53">计算得分(100, 固定数据!X50, 固定数据!Y50, 0, 5,0, 0)</f>
        <v>--</v>
      </c>
      <c r="N53" s="4" t="str" cm="1">
        <f t="array" ref="N53">计算得分(100, 固定数据!Z50, 固定数据!AA50, 0, 5,0, 0)</f>
        <v>--</v>
      </c>
      <c r="O53" s="4" t="str" cm="1">
        <f t="array" ref="O53">计算得分(100, 固定数据!AB50, 固定数据!AC50, 0, 7,0, 0)</f>
        <v>--</v>
      </c>
      <c r="P53" s="4" t="str" cm="1">
        <f t="array" ref="P53">计算得分(INDEX([1]Sheet1!$P:$P, MATCH(A53, [1]Sheet1!$B:$B,0)), 固定数据!AD50, 固定数据!AE50, 0.2, 7,0, 0)</f>
        <v>--</v>
      </c>
      <c r="Q53" s="4" cm="1">
        <f t="array" ref="Q53">计算得分(INDEX([1]Sheet1!$I:$I, MATCH(A53, [1]Sheet1!$B:$B,0)), 固定数据!AF50, 固定数据!AG50,0.2, IF(固定数据!AF50&lt;&gt;"--",固定数据!AF50,0),0, 5)</f>
        <v>309.83</v>
      </c>
      <c r="R53" s="4" cm="1">
        <f t="array" ref="R53">计算得分(INDEX([2]Sheet1!$AL:$AL, MATCH(A53, [2]Sheet1!$A:$A,0)), 固定数据!AH50, 固定数据!AI50, 0.02, 6,0, 1)</f>
        <v>110</v>
      </c>
      <c r="S53" s="4" cm="1">
        <f t="array" ref="S53">计算得分(INDEX([2]Sheet1!$I:$I, MATCH(A53, [2]Sheet1!$A:$A,0)), 固定数据!AJ50, 固定数据!AK50, 0.005, 6,0, 1)</f>
        <v>775</v>
      </c>
      <c r="T53" s="4" cm="1">
        <f t="array" ref="T53">计算得分(98, 固定数据!AL50, 固定数据!AM50, 0.03, IF(固定数据!AL50&lt;&gt;"--",固定数据!AL50,0),0, 3)</f>
        <v>98</v>
      </c>
      <c r="U53" s="4" cm="1">
        <f t="array" ref="U53">计算得分(INDEX([1]Sheet1!$G:$G, MATCH(A53, [1]Sheet1!$B:$B,0)), 固定数据!AN50, 固定数据!AO50, 0.5, 3,0, 0)</f>
        <v>5.07</v>
      </c>
      <c r="V53" s="4" cm="1">
        <f t="array" ref="V53">计算得分(INDEX([1]Sheet1!$H:$H, MATCH(A53, [1]Sheet1!$B:$B,0)), 固定数据!AP50, 固定数据!AQ50, 0.4, 5,0, 1)</f>
        <v>4.2300000000000004</v>
      </c>
      <c r="W53" s="4" cm="1">
        <f t="array" ref="W53">计算得分(INDEX([1]Sheet1!$J:$J, MATCH(A53, [1]Sheet1!$B:$B,0)), 固定数据!AR50, 固定数据!AS50, 0.2, 2,0, 4)</f>
        <v>309.83</v>
      </c>
      <c r="X53" s="4" cm="1">
        <f t="array" ref="X53">计算得分(INDEX([1]Sheet1!$K:$K, MATCH(A53, [1]Sheet1!$B:$B,0)), 固定数据!AT50, 固定数据!AU50, 0.2, 1.5,0, 4)</f>
        <v>7226.54</v>
      </c>
      <c r="Y53" s="4" cm="1">
        <f t="array" ref="Y53">计算得分(INDEX([1]Sheet1!$AA:$AA, MATCH(A53, [1]Sheet1!$B:$B,0)), 固定数据!AV50, 固定数据!AW50, 0.05, IF(固定数据!AV50&lt;&gt;"--",固定数据!AV50,0),0, 3)</f>
        <v>80</v>
      </c>
      <c r="Z53" s="4" cm="1">
        <f t="array" ref="Z53">计算得分(INDEX([1]Sheet1!$AB:$AB, MATCH(A53, [1]Sheet1!$B:$B,0)), 固定数据!AX50, 固定数据!AY50, 0.05, IF(固定数据!AX50&lt;&gt;"--",固定数据!AX50,0),0, 3)</f>
        <v>95</v>
      </c>
      <c r="AA53" s="4" cm="1">
        <f t="array" ref="AA53">计算得分(INDEX([1]Sheet1!$AC:$AC, MATCH(A53, [1]Sheet1!$B:$B,0)), 固定数据!AZ50, 固定数据!BA50, 0.04, IF(固定数据!AZ50&lt;&gt;"--",固定数据!AZ50,0),0, 3)</f>
        <v>94</v>
      </c>
      <c r="AB53" s="4" cm="1">
        <f t="array" ref="AB53">计算得分(INDEX([1]Sheet1!$AD:$AD, MATCH(A53, [1]Sheet1!$B:$B,0)), 固定数据!BB50, 固定数据!BC50, 0.03, IF(固定数据!BB50&lt;&gt;"--",固定数据!BB50,0),0, 3)</f>
        <v>97.8</v>
      </c>
      <c r="AC53" s="4" cm="1">
        <f t="array" ref="AC53">计算得分(INDEX([1]Sheet1!$AE:$AE, MATCH(A53, [1]Sheet1!$B:$B,0)), 固定数据!BD50, 固定数据!BE50, 0.04, IF(固定数据!BD50&lt;&gt;"--",固定数据!BD50,0),0, 3)</f>
        <v>95.53</v>
      </c>
      <c r="AD53" s="4" cm="1">
        <f t="array" ref="AD53">计算得分(INDEX([1]Sheet1!$L:$L, MATCH(A53, [1]Sheet1!$B:$B,0)), 固定数据!BF50, 固定数据!BG50, 0.1, 12.5,0, 3)</f>
        <v>3430.61</v>
      </c>
      <c r="AE53" s="4" cm="1">
        <f t="array" ref="AE53">计算得分(INDEX([1]Sheet1!$N:$N, MATCH(A53, [1]Sheet1!$B:$B,0)), 固定数据!BH50, 固定数据!BI50, 0.2, 7,0, 0)</f>
        <v>1.93</v>
      </c>
      <c r="AF53" s="4" cm="1">
        <f t="array" ref="AF53">计算得分(INDEX([1]Sheet1!$Q:$Q, MATCH(A53, [1]Sheet1!$B:$B,0)), 固定数据!BJ50, 固定数据!BK50, 0.2, 7,0, 0)</f>
        <v>32.229999999999997</v>
      </c>
      <c r="AG53" s="4" cm="1">
        <f t="array" ref="AG53">计算得分(INDEX([1]Sheet1!$S:$S, MATCH(A53, [1]Sheet1!$B:$B,0)), 固定数据!BL50, 固定数据!BM50, 0.2, 20,0, 0)</f>
        <v>71.84</v>
      </c>
      <c r="AH53" s="4" t="str" cm="1">
        <f t="array" ref="AH53">计算得分(INDEX([1]Sheet1!$AF:$AF, MATCH(A53, [1]Sheet1!$B:$B,0)), 固定数据!BN50, 固定数据!BO50, 0.1, 10,0, 3)</f>
        <v>--</v>
      </c>
      <c r="AI53" s="4" t="str" cm="1">
        <f t="array" ref="AI53">计算得分(INDEX([1]Sheet1!$M:$M, MATCH(A53, [1]Sheet1!$B:$B,0)), 固定数据!BP50, 固定数据!BQ50, 0.2, 20,0, 3)</f>
        <v>--</v>
      </c>
      <c r="AJ53" s="4" cm="1">
        <f t="array" ref="AJ53">计算得分(INDEX([1]Sheet1!$Z:$Z, MATCH(A53, [1]Sheet1!$B:$B,0)), 固定数据!BR50, 固定数据!BS50, 10, 50,0, 0)</f>
        <v>0</v>
      </c>
      <c r="AK53" s="4" t="str" cm="1">
        <f t="array" ref="AK53">计算得分(INDEX([1]Sheet1!$O:$O, MATCH(A53, [1]Sheet1!$B:$B,0)), 固定数据!BT50, 固定数据!BU50, 0.2, 15,0, 0)</f>
        <v>--</v>
      </c>
      <c r="AL53" s="4" t="str" cm="1">
        <f t="array" ref="AL53">计算得分(INDEX([1]Sheet1!$R:$R, MATCH(A53, [1]Sheet1!$B:$B,0)), 固定数据!BV50, 固定数据!BW50, 0.2, 10,0, 0)</f>
        <v>--</v>
      </c>
      <c r="AM53" s="4" t="str" cm="1">
        <f t="array" ref="AM53">计算得分(INDEX([1]Sheet1!$T:$T, MATCH(A53, [1]Sheet1!$B:$B,0)), 固定数据!BX50, 固定数据!BY50, 0.2, 20,0, 0)</f>
        <v>--</v>
      </c>
      <c r="AN53" s="4" t="str" cm="1">
        <f t="array" ref="AN53">计算得分([3]Sheet1!$F$3, 固定数据!BZ50, 固定数据!CA50, 0.5, 15,0, 0)</f>
        <v>--</v>
      </c>
      <c r="AO53" s="4" t="str" cm="1">
        <f t="array" ref="AO53">计算得分([3]Sheet1!$G$3, 固定数据!CB50, 固定数据!CC50, 0.01, 5,0, 1)</f>
        <v>--</v>
      </c>
      <c r="AP53" s="4" t="str" cm="1">
        <f t="array" ref="AP53">计算得分([3]Sheet1!$H$3, 固定数据!CD50, 固定数据!CE50, 0.001, 5,0, 1)</f>
        <v>--</v>
      </c>
      <c r="AQ53" s="4" t="str" cm="1">
        <f t="array" ref="AQ53">计算得分([3]Sheet1!$D$3,固定数据!CF50,固定数据!CG50,0.05,5,0,3)</f>
        <v>--</v>
      </c>
      <c r="AR53" s="4" t="str" cm="1">
        <f t="array" ref="AR53">计算得分([3]Sheet1!$E$3,固定数据!CH50,固定数据!CI50,0.1,10,0,3)</f>
        <v>--</v>
      </c>
      <c r="AS53" s="8" t="s">
        <v>74</v>
      </c>
      <c r="AT53" s="4" t="str" cm="1">
        <f t="array" ref="AT53">计算得分(INDEX([3]Sheet1!$J:$J, MATCH(A53, [3]Sheet1!$B:$B,0)), 固定数据!CL50, 固定数据!CM50, 2, 0,-10, 0)</f>
        <v>--</v>
      </c>
      <c r="AU53" s="4" t="str" cm="1">
        <f t="array" ref="AU53">计算得分(INDEX([3]Sheet1!$K:$K, MATCH(A53, [3]Sheet1!$B:$B,0)), 固定数据!CN50, 固定数据!CO50, 3, 0,-10, 0)</f>
        <v>--</v>
      </c>
      <c r="AV53" s="4" t="str" cm="1">
        <f t="array" ref="AV53">计算得分(INDEX([3]Sheet1!$L:$L, MATCH(A53, [3]Sheet1!$B:$B,0)), 固定数据!CP50, 固定数据!CQ50, 3, 0,-10, 0)</f>
        <v>--</v>
      </c>
      <c r="AW53" s="4" t="str" cm="1">
        <f t="array" ref="AW53">计算得分(INDEX([3]Sheet1!$M:$M, MATCH(A53, [3]Sheet1!$B:$B,0)), 固定数据!CR50, 固定数据!CS50, 100, 0,-100, 0)</f>
        <v>--</v>
      </c>
      <c r="AX53" s="4" t="str" cm="1">
        <f t="array" ref="AX53">计算得分(INDEX([3]Sheet1!$N:$N, MATCH(A53, [3]Sheet1!$B:$B,0)), 固定数据!CT50, 固定数据!CU50, 3, 0,-10, 0)</f>
        <v>--</v>
      </c>
      <c r="AY53" s="8" t="s">
        <v>74</v>
      </c>
      <c r="AZ53" s="8" t="s">
        <v>74</v>
      </c>
      <c r="BA53" s="4" t="str">
        <f>IFERROR(VLOOKUP(A53,[4]KPI评分!B:C,2,FALSE)*60%,"--")</f>
        <v>--</v>
      </c>
    </row>
    <row r="54" spans="1:53" ht="24.75" customHeight="1" x14ac:dyDescent="0.25">
      <c r="A54" s="1" t="s">
        <v>122</v>
      </c>
      <c r="B54" s="2" t="str" cm="1">
        <f t="array" ref="B54">计算得分(INDEX([1]Sheet1!$W:$W, MATCH(A54, [1]Sheet1!$B:$B,0)), 固定数据!B51, 固定数据!C51, 0.5, 0,-10, 0)</f>
        <v>--</v>
      </c>
      <c r="C54" s="2" t="str" cm="1">
        <f t="array" ref="C54">计算得分(INDEX([1]Sheet1!$X:$X, MATCH(A54, [1]Sheet1!$B:$B,0)), 固定数据!D51, 固定数据!E51, 1, 0,-10, 0)</f>
        <v>--</v>
      </c>
      <c r="D54" s="2" t="str" cm="1">
        <f t="array" ref="D54">计算得分(INDEX([1]Sheet1!$Y:$Y, MATCH(A54, [1]Sheet1!$B:$B,0)), 固定数据!F51, 固定数据!G51, 2, 0,-10, 0)</f>
        <v>--</v>
      </c>
      <c r="E54" s="6" t="str" cm="1">
        <f t="array" ref="E54">计算得分(INDEX([1]Sheet1!$C:$C, MATCH(A54, [1]Sheet1!$B:$B,0)), 固定数据!H51, 固定数据!I51, 0.02, 10,0, 1)</f>
        <v>--</v>
      </c>
      <c r="F54" s="2" t="str" cm="1">
        <f t="array" ref="F54">计算得分(INDEX([1]Sheet1!$D:$D, MATCH(A54, [1]Sheet1!$B:$B,0)), 固定数据!J51, 固定数据!K51, 0, 0,0, 0)</f>
        <v>--</v>
      </c>
      <c r="G54" s="2" t="str" cm="1">
        <f t="array" ref="G54">计算得分(INDEX([1]Sheet1!$E:$E, MATCH(A54, [1]Sheet1!$B:$B,0)), 固定数据!L51, 固定数据!M51,  0.3, 3,0, 5)</f>
        <v>--</v>
      </c>
      <c r="H54" s="2" t="str" cm="1">
        <f t="array" ref="H54">计算得分(INDEX([1]Sheet1!$AG:$AG, MATCH(A54, [1]Sheet1!$B:$B,0)), 固定数据!N51, 固定数据!O51, 0.03, 3,0, 3)</f>
        <v>--</v>
      </c>
      <c r="I54" s="2" t="str" cm="1">
        <f t="array" ref="I54">计算得分(INDEX([1]Sheet1!$V:$V, MATCH(A54, [1]Sheet1!$B:$B,0)), 固定数据!P51, 固定数据!Q51, 1, 0,-100, 0)</f>
        <v>--</v>
      </c>
      <c r="J54" s="2" t="str" cm="1">
        <f t="array" ref="J54">计算得分(INDEX([1]Sheet1!$AI:$AI, MATCH(A54, [1]Sheet1!$B:$B,0)), 固定数据!R51, 固定数据!S51, 0.04, 12,0, 3)</f>
        <v>--</v>
      </c>
      <c r="K54" s="2" t="str" cm="1">
        <f t="array" ref="K54">计算得分(INDEX([1]Sheet1!$F:$F, MATCH(A54, [1]Sheet1!$B:$B,0)), 固定数据!T51, 固定数据!U51, 0.02, 3,0, 1)</f>
        <v>--</v>
      </c>
      <c r="L54" s="2" t="str" cm="1">
        <f t="array" ref="L54">计算得分(INDEX([1]Sheet1!$U:$U, MATCH(A54, [1]Sheet1!$B:$B,0)), 固定数据!V51, 固定数据!W51, 0.2, 20,0, 0)</f>
        <v>--</v>
      </c>
      <c r="M54" s="2" t="str" cm="1">
        <f t="array" ref="M54">计算得分(100, 固定数据!X51, 固定数据!Y51, 0, 5,0, 0)</f>
        <v>--</v>
      </c>
      <c r="N54" s="2" t="str" cm="1">
        <f t="array" ref="N54">计算得分(100, 固定数据!Z51, 固定数据!AA51, 0, 5,0, 0)</f>
        <v>--</v>
      </c>
      <c r="O54" s="2" t="str" cm="1">
        <f t="array" ref="O54">计算得分(100, 固定数据!AB51, 固定数据!AC51, 0, 7,0, 0)</f>
        <v>--</v>
      </c>
      <c r="P54" s="2" t="str" cm="1">
        <f t="array" ref="P54">计算得分(INDEX([1]Sheet1!$P:$P, MATCH(A54, [1]Sheet1!$B:$B,0)), 固定数据!AD51, 固定数据!AE51, 0.2, 7,0, 0)</f>
        <v>--</v>
      </c>
      <c r="Q54" s="2" t="str" cm="1">
        <f t="array" ref="Q54">计算得分(INDEX([1]Sheet1!$I:$I, MATCH(A54, [1]Sheet1!$B:$B,0)), 固定数据!AF51, 固定数据!AG51,0.2, IF(固定数据!AF51&lt;&gt;"--",固定数据!AF51,0),2, 5)</f>
        <v>--</v>
      </c>
      <c r="R54" s="2" t="str" cm="1">
        <f t="array" ref="R54">计算得分(INDEX([2]Sheet1!$AL:$AL, MATCH(A54, [2]Sheet1!$A:$A,0)), 固定数据!AH51, 固定数据!AI51, 0.02, 6,6, 1)</f>
        <v>--</v>
      </c>
      <c r="S54" s="2" t="str" cm="1">
        <f t="array" ref="S54">计算得分(INDEX([2]Sheet1!$I:$I, MATCH(A54, [2]Sheet1!$A:$A,0)), 固定数据!AJ51, 固定数据!AK51, 0.005, 6,0, 1)</f>
        <v>--</v>
      </c>
      <c r="T54" s="2" t="str" cm="1">
        <f t="array" ref="T54">计算得分(98, 固定数据!AL51, 固定数据!AM51, 0.03, IF(固定数据!AL51&lt;&gt;"--",固定数据!AL51,0),0, 3)</f>
        <v>--</v>
      </c>
      <c r="U54" s="2" t="str" cm="1">
        <f t="array" ref="U54">计算得分(INDEX([1]Sheet1!$G:$G, MATCH(A54, [1]Sheet1!$B:$B,0)), 固定数据!AN51, 固定数据!AO51, 0.5, 3,0, 0)</f>
        <v>--</v>
      </c>
      <c r="V54" s="2" t="str" cm="1">
        <f t="array" ref="V54">计算得分(INDEX([1]Sheet1!$H:$H, MATCH(A54, [1]Sheet1!$B:$B,0)), 固定数据!AP51, 固定数据!AQ51, 0.4, 5,0, 1)</f>
        <v>--</v>
      </c>
      <c r="W54" s="2" t="str" cm="1">
        <f t="array" ref="W54">计算得分(INDEX([1]Sheet1!$J:$J, MATCH(A54, [1]Sheet1!$B:$B,0)), 固定数据!AR51, 固定数据!AS51, 0.2, 2,2, 4)</f>
        <v>--</v>
      </c>
      <c r="X54" s="2" t="str" cm="1">
        <f t="array" ref="X54">计算得分(INDEX([1]Sheet1!$K:$K, MATCH(A54, [1]Sheet1!$B:$B,0)), 固定数据!AT51, 固定数据!AU51, 0.2, 1.5,1.5, 4)</f>
        <v>--</v>
      </c>
      <c r="Y54" s="2" t="str" cm="1">
        <f t="array" ref="Y54">计算得分(INDEX([1]Sheet1!$AA:$AA, MATCH(A54, [1]Sheet1!$B:$B,0)), 固定数据!AV51, 固定数据!AW51, 0.05, IF(固定数据!AV51&lt;&gt;"--",固定数据!AV51,0),0, 3)</f>
        <v>--</v>
      </c>
      <c r="Z54" s="2" t="str" cm="1">
        <f t="array" ref="Z54">计算得分(INDEX([1]Sheet1!$AB:$AB, MATCH(A54, [1]Sheet1!$B:$B,0)), 固定数据!AX51, 固定数据!AY51, 0.05, IF(固定数据!AX51&lt;&gt;"--",固定数据!AX51,0),0, 3)</f>
        <v>--</v>
      </c>
      <c r="AA54" s="2" t="str" cm="1">
        <f t="array" ref="AA54">计算得分(INDEX([1]Sheet1!$AC:$AC, MATCH(A54, [1]Sheet1!$B:$B,0)), 固定数据!AZ51, 固定数据!BA51, 0.04, IF(固定数据!AZ51&lt;&gt;"--",固定数据!AZ51,0),0, 3)</f>
        <v>--</v>
      </c>
      <c r="AB54" s="2" t="str" cm="1">
        <f t="array" ref="AB54">计算得分(INDEX([1]Sheet1!$AD:$AD, MATCH(A54, [1]Sheet1!$B:$B,0)), 固定数据!BB51, 固定数据!BC51, 0.03, IF(固定数据!BB51&lt;&gt;"--",固定数据!BB51,0),0, 3)</f>
        <v>--</v>
      </c>
      <c r="AC54" s="2" t="str" cm="1">
        <f t="array" ref="AC54">计算得分(INDEX([1]Sheet1!$AE:$AE, MATCH(A54, [1]Sheet1!$B:$B,0)), 固定数据!BD51, 固定数据!BE51, 0.04, IF(固定数据!BD51&lt;&gt;"--",固定数据!BD51,0),0, 3)</f>
        <v>--</v>
      </c>
      <c r="AD54" s="2" t="str" cm="1">
        <f t="array" ref="AD54">计算得分(INDEX([1]Sheet1!$L:$L, MATCH(A54, [1]Sheet1!$B:$B,0)), 固定数据!BF51, 固定数据!BG51, 0.1, 12.5,0, 3)</f>
        <v>--</v>
      </c>
      <c r="AE54" s="2" t="str" cm="1">
        <f t="array" ref="AE54">计算得分(INDEX([1]Sheet1!$N:$N, MATCH(A54, [1]Sheet1!$B:$B,0)), 固定数据!BH51, 固定数据!BI51, 0.2, 7,0, 0)</f>
        <v>--</v>
      </c>
      <c r="AF54" s="2" t="str" cm="1">
        <f t="array" ref="AF54">计算得分(INDEX([1]Sheet1!$Q:$Q, MATCH(A54, [1]Sheet1!$B:$B,0)), 固定数据!BJ51, 固定数据!BK51, 0.2, 7,0, 0)</f>
        <v>--</v>
      </c>
      <c r="AG54" s="2" t="str" cm="1">
        <f t="array" ref="AG54">计算得分(INDEX([1]Sheet1!$S:$S, MATCH(A54, [1]Sheet1!$B:$B,0)), 固定数据!BL51, 固定数据!BM51, 0.2, 20,0, 0)</f>
        <v>--</v>
      </c>
      <c r="AH54" s="6" t="str" cm="1">
        <f t="array" ref="AH54">计算得分(INDEX([1]Sheet1!$AF:$AF, MATCH(A54, [1]Sheet1!$B:$B,0)), 固定数据!BN51, 固定数据!BO51, 0.1, 10,0, 3)</f>
        <v>--</v>
      </c>
      <c r="AI54" s="2" t="str" cm="1">
        <f t="array" ref="AI54">计算得分(INDEX([1]Sheet1!$M:$M, MATCH(A54, [1]Sheet1!$B:$B,0)), 固定数据!BP51, 固定数据!BQ51, 0.2, 20,0, 3)</f>
        <v>--</v>
      </c>
      <c r="AJ54" s="2" t="str" cm="1">
        <f t="array" ref="AJ54">计算得分(INDEX([1]Sheet1!$Z:$Z, MATCH(A54, [1]Sheet1!$B:$B,0)), 固定数据!BR51, 固定数据!BS51, 10, 50,0, 0)</f>
        <v>--</v>
      </c>
      <c r="AK54" s="2" t="str" cm="1">
        <f t="array" ref="AK54">计算得分(INDEX([1]Sheet1!$O:$O, MATCH(A54, [1]Sheet1!$B:$B,0)), 固定数据!BT51, 固定数据!BU51, 0.2, 15,0, 0)</f>
        <v>--</v>
      </c>
      <c r="AL54" s="2" t="str" cm="1">
        <f t="array" ref="AL54">计算得分(INDEX([1]Sheet1!$R:$R, MATCH(A54, [1]Sheet1!$B:$B,0)), 固定数据!BV51, 固定数据!BW51, 0.2, 10,0, 0)</f>
        <v>--</v>
      </c>
      <c r="AM54" s="2" t="str" cm="1">
        <f t="array" ref="AM54">计算得分(INDEX([1]Sheet1!$T:$T, MATCH(A54, [1]Sheet1!$B:$B,0)), 固定数据!BX51, 固定数据!BY51, 0.2, 20,0, 0)</f>
        <v>--</v>
      </c>
      <c r="AN54" s="2" cm="1">
        <f t="array" ref="AN54">计算得分([3]Sheet1!$F$3, 固定数据!BZ51, 固定数据!CA51, 0.5, 15,0, 0)</f>
        <v>104.4</v>
      </c>
      <c r="AO54" s="6" cm="1">
        <f t="array" ref="AO54">计算得分([3]Sheet1!$G$3, 固定数据!CB51, 固定数据!CC51, 0.01, 5,0, 1)</f>
        <v>3675</v>
      </c>
      <c r="AP54" s="6" cm="1">
        <f t="array" ref="AP54">计算得分([3]Sheet1!$H$3, 固定数据!CD51, 固定数据!CE51, 0.001, 5,0, 1)</f>
        <v>18357</v>
      </c>
      <c r="AQ54" s="6" cm="1">
        <f t="array" ref="AQ54">计算得分([3]Sheet1!$D$3,固定数据!CF51,固定数据!CG51,0.05,5,0,3)</f>
        <v>186.8</v>
      </c>
      <c r="AR54" s="6" cm="1">
        <f t="array" ref="AR54">计算得分([3]Sheet1!$E$3,固定数据!CH51,固定数据!CI51,0.1,10,0,3)</f>
        <v>7574.53</v>
      </c>
      <c r="AS54" s="7" t="s">
        <v>74</v>
      </c>
      <c r="AT54" s="6" cm="1">
        <f t="array" ref="AT54">计算得分(INDEX([3]Sheet1!$J:$J, MATCH(A54, [3]Sheet1!$B:$B,0)), 固定数据!CL51, 固定数据!CM51, 2, 0,-10, 0)</f>
        <v>100</v>
      </c>
      <c r="AU54" s="2" cm="1">
        <f t="array" ref="AU54">计算得分(INDEX([3]Sheet1!$K:$K, MATCH(A54, [3]Sheet1!$B:$B,0)), 固定数据!CN51, 固定数据!CO51, 3, 0,-10, 0)</f>
        <v>100</v>
      </c>
      <c r="AV54" s="2" cm="1">
        <f t="array" ref="AV54">计算得分(INDEX([3]Sheet1!$L:$L, MATCH(A54, [3]Sheet1!$B:$B,0)), 固定数据!CP51, 固定数据!CQ51, 3, 0,-10, 0)</f>
        <v>100</v>
      </c>
      <c r="AW54" s="2" cm="1">
        <f t="array" ref="AW54">计算得分(INDEX([3]Sheet1!$M:$M, MATCH(A54, [3]Sheet1!$B:$B,0)), 固定数据!CR51, 固定数据!CS51, 100, 0,-100, 0)</f>
        <v>100</v>
      </c>
      <c r="AX54" s="2" cm="1">
        <f t="array" ref="AX54">计算得分(INDEX([3]Sheet1!$N:$N, MATCH(A54, [3]Sheet1!$B:$B,0)), 固定数据!CT51, 固定数据!CU51, 3, 0,-10, 0)</f>
        <v>100</v>
      </c>
      <c r="AY54" s="7" t="s">
        <v>74</v>
      </c>
      <c r="AZ54" s="7" t="s">
        <v>74</v>
      </c>
      <c r="BA54" s="2">
        <f>IFERROR(VLOOKUP(A54,[4]KPI评分!B:C,2,FALSE)*60%,"--")</f>
        <v>58.199999999999996</v>
      </c>
    </row>
    <row r="55" spans="1:53" ht="24.75" customHeight="1" x14ac:dyDescent="0.25">
      <c r="A55" s="3" t="s">
        <v>123</v>
      </c>
      <c r="B55" s="4" t="str" cm="1">
        <f t="array" ref="B55">计算得分(INDEX([1]Sheet1!$W:$W, MATCH(A55, [1]Sheet1!$B:$B,0)), 固定数据!B52, 固定数据!C52, 0.5, 0,-10, 0)</f>
        <v>--</v>
      </c>
      <c r="C55" s="4" t="str" cm="1">
        <f t="array" ref="C55">计算得分(INDEX([1]Sheet1!$X:$X, MATCH(A55, [1]Sheet1!$B:$B,0)), 固定数据!D52, 固定数据!E52, 1, 0,-10, 0)</f>
        <v>--</v>
      </c>
      <c r="D55" s="4" t="str" cm="1">
        <f t="array" ref="D55">计算得分(INDEX([1]Sheet1!$Y:$Y, MATCH(A55, [1]Sheet1!$B:$B,0)), 固定数据!F52, 固定数据!G52, 2, 0,-10, 0)</f>
        <v>--</v>
      </c>
      <c r="E55" s="4" t="str" cm="1">
        <f t="array" ref="E55">计算得分(INDEX([1]Sheet1!$C:$C, MATCH(A55, [1]Sheet1!$B:$B,0)), 固定数据!H52, 固定数据!I52, 0.02, 10,0, 1)</f>
        <v>--</v>
      </c>
      <c r="F55" s="4" t="str" cm="1">
        <f t="array" ref="F55">计算得分(INDEX([1]Sheet1!$D:$D, MATCH(A55, [1]Sheet1!$B:$B,0)), 固定数据!J52, 固定数据!K52, 0, 0,0, 0)</f>
        <v>--</v>
      </c>
      <c r="G55" s="4" t="str" cm="1">
        <f t="array" ref="G55">计算得分(INDEX([1]Sheet1!$E:$E, MATCH(A55, [1]Sheet1!$B:$B,0)), 固定数据!L52, 固定数据!M52, 0.3, 3,0, 5)</f>
        <v>--</v>
      </c>
      <c r="H55" s="4" t="str" cm="1">
        <f t="array" ref="H55">计算得分(INDEX([1]Sheet1!$AG:$AG, MATCH(A55, [1]Sheet1!$B:$B,0)), 固定数据!N52, 固定数据!O52, 0.03, 3,0, 3)</f>
        <v>--</v>
      </c>
      <c r="I55" s="4" t="str" cm="1">
        <f t="array" ref="I55">计算得分(INDEX([1]Sheet1!$V:$V, MATCH(A55, [1]Sheet1!$B:$B,0)), 固定数据!P52, 固定数据!Q52, 1, 0,-100, 0)</f>
        <v>--</v>
      </c>
      <c r="J55" s="4" t="str" cm="1">
        <f t="array" ref="J55">计算得分(INDEX([1]Sheet1!$AI:$AI, MATCH(A55, [1]Sheet1!$B:$B,0)), 固定数据!R52, 固定数据!S52, 0.04, 12,0, 3)</f>
        <v>--</v>
      </c>
      <c r="K55" s="4" t="str" cm="1">
        <f t="array" ref="K55">计算得分(INDEX([1]Sheet1!$F:$F, MATCH(A55, [1]Sheet1!$B:$B,0)), 固定数据!T52, 固定数据!U52, 0.02, 3,0, 1)</f>
        <v>--</v>
      </c>
      <c r="L55" s="4" t="str" cm="1">
        <f t="array" ref="L55">计算得分(INDEX([1]Sheet1!$U:$U, MATCH(A55, [1]Sheet1!$B:$B,0)), 固定数据!V52, 固定数据!W52, 0.2, 20,0, 0)</f>
        <v>--</v>
      </c>
      <c r="M55" s="4" t="str" cm="1">
        <f t="array" ref="M55">计算得分(100, 固定数据!X52, 固定数据!Y52, 0, 5,0, 0)</f>
        <v>--</v>
      </c>
      <c r="N55" s="4" t="str" cm="1">
        <f t="array" ref="N55">计算得分(100, 固定数据!Z52, 固定数据!AA52, 0, 5,0, 0)</f>
        <v>--</v>
      </c>
      <c r="O55" s="4" t="str" cm="1">
        <f t="array" ref="O55">计算得分(100, 固定数据!AB52, 固定数据!AC52, 0, 7,0, 0)</f>
        <v>--</v>
      </c>
      <c r="P55" s="4" t="str" cm="1">
        <f t="array" ref="P55">计算得分(INDEX([1]Sheet1!$P:$P, MATCH(A55, [1]Sheet1!$B:$B,0)), 固定数据!AD52, 固定数据!AE52, 0.2, 7,0, 0)</f>
        <v>--</v>
      </c>
      <c r="Q55" s="4" t="str" cm="1">
        <f t="array" ref="Q55">计算得分(INDEX([1]Sheet1!$I:$I, MATCH(A55, [1]Sheet1!$B:$B,0)), 固定数据!AF52, 固定数据!AG52,0.2, IF(固定数据!AF52&lt;&gt;"--",固定数据!AF52,0),2, 5)</f>
        <v>--</v>
      </c>
      <c r="R55" s="4" t="str" cm="1">
        <f t="array" ref="R55">计算得分(INDEX([2]Sheet1!$AL:$AL, MATCH(A55, [2]Sheet1!$A:$A,0)), 固定数据!AH52, 固定数据!AI52, 0.02, 6,6, 1)</f>
        <v>--</v>
      </c>
      <c r="S55" s="4" t="str" cm="1">
        <f t="array" ref="S55">计算得分(INDEX([2]Sheet1!$I:$I, MATCH(A55, [2]Sheet1!$A:$A,0)), 固定数据!AJ52, 固定数据!AK52, 0.005, 6,0, 1)</f>
        <v>--</v>
      </c>
      <c r="T55" s="4" t="str" cm="1">
        <f t="array" ref="T55">计算得分(98, 固定数据!AL52, 固定数据!AM52, 0.03, IF(固定数据!AL52&lt;&gt;"--",固定数据!AL52,0),0, 3)</f>
        <v>--</v>
      </c>
      <c r="U55" s="4" t="str" cm="1">
        <f t="array" ref="U55">计算得分(INDEX([1]Sheet1!$G:$G, MATCH(A55, [1]Sheet1!$B:$B,0)), 固定数据!AN52, 固定数据!AO52, 0.5, 3,0, 0)</f>
        <v>--</v>
      </c>
      <c r="V55" s="4" t="str" cm="1">
        <f t="array" ref="V55">计算得分(INDEX([1]Sheet1!$H:$H, MATCH(A55, [1]Sheet1!$B:$B,0)), 固定数据!AP52, 固定数据!AQ52, 0.4, 5,0, 1)</f>
        <v>--</v>
      </c>
      <c r="W55" s="4" t="str" cm="1">
        <f t="array" ref="W55">计算得分(INDEX([1]Sheet1!$J:$J, MATCH(A55, [1]Sheet1!$B:$B,0)), 固定数据!AR52, 固定数据!AS52, 0.2, 2,2, 4)</f>
        <v>--</v>
      </c>
      <c r="X55" s="4" t="str" cm="1">
        <f t="array" ref="X55">计算得分(INDEX([1]Sheet1!$K:$K, MATCH(A55, [1]Sheet1!$B:$B,0)), 固定数据!AT52, 固定数据!AU52, 0.2, 1.5,1.5, 4)</f>
        <v>--</v>
      </c>
      <c r="Y55" s="4" t="str" cm="1">
        <f t="array" ref="Y55">计算得分(INDEX([1]Sheet1!$AA:$AA, MATCH(A55, [1]Sheet1!$B:$B,0)), 固定数据!AV52, 固定数据!AW52, 0.05, IF(固定数据!AV52&lt;&gt;"--",固定数据!AV52,0),0, 3)</f>
        <v>--</v>
      </c>
      <c r="Z55" s="4" t="str" cm="1">
        <f t="array" ref="Z55">计算得分(INDEX([1]Sheet1!$AB:$AB, MATCH(A55, [1]Sheet1!$B:$B,0)), 固定数据!AX52, 固定数据!AY52, 0.05, IF(固定数据!AX52&lt;&gt;"--",固定数据!AX52,0),0, 3)</f>
        <v>--</v>
      </c>
      <c r="AA55" s="4" t="str" cm="1">
        <f t="array" ref="AA55">计算得分(INDEX([1]Sheet1!$AC:$AC, MATCH(A55, [1]Sheet1!$B:$B,0)), 固定数据!AZ52, 固定数据!BA52, 0.04, IF(固定数据!AZ52&lt;&gt;"--",固定数据!AZ52,0),0, 3)</f>
        <v>--</v>
      </c>
      <c r="AB55" s="4" t="str" cm="1">
        <f t="array" ref="AB55">计算得分(INDEX([1]Sheet1!$AD:$AD, MATCH(A55, [1]Sheet1!$B:$B,0)), 固定数据!BB52, 固定数据!BC52, 0.03, IF(固定数据!BB52&lt;&gt;"--",固定数据!BB52,0),0, 3)</f>
        <v>--</v>
      </c>
      <c r="AC55" s="4" t="str" cm="1">
        <f t="array" ref="AC55">计算得分(INDEX([1]Sheet1!$AE:$AE, MATCH(A55, [1]Sheet1!$B:$B,0)), 固定数据!BD52, 固定数据!BE52, 0.04, IF(固定数据!BD52&lt;&gt;"--",固定数据!BD52,0),0, 3)</f>
        <v>--</v>
      </c>
      <c r="AD55" s="4" t="str" cm="1">
        <f t="array" ref="AD55">计算得分(INDEX([1]Sheet1!$L:$L, MATCH(A55, [1]Sheet1!$B:$B,0)), 固定数据!BF52, 固定数据!BG52, 0.1, 12.5,0, 3)</f>
        <v>--</v>
      </c>
      <c r="AE55" s="4" t="str" cm="1">
        <f t="array" ref="AE55">计算得分(INDEX([1]Sheet1!$N:$N, MATCH(A55, [1]Sheet1!$B:$B,0)), 固定数据!BH52, 固定数据!BI52, 0.2, 7,0, 0)</f>
        <v>--</v>
      </c>
      <c r="AF55" s="4" t="str" cm="1">
        <f t="array" ref="AF55">计算得分(INDEX([1]Sheet1!$Q:$Q, MATCH(A55, [1]Sheet1!$B:$B,0)), 固定数据!BJ52, 固定数据!BK52, 0.2, 7,0, 0)</f>
        <v>--</v>
      </c>
      <c r="AG55" s="4" t="str" cm="1">
        <f t="array" ref="AG55">计算得分(INDEX([1]Sheet1!$S:$S, MATCH(A55, [1]Sheet1!$B:$B,0)), 固定数据!BL52, 固定数据!BM52, 0.2, 20,0, 0)</f>
        <v>--</v>
      </c>
      <c r="AH55" s="4" t="str" cm="1">
        <f t="array" ref="AH55">计算得分(INDEX([1]Sheet1!$AF:$AF, MATCH(A55, [1]Sheet1!$B:$B,0)), 固定数据!BN52, 固定数据!BO52, 0.1, 10,0, 3)</f>
        <v>--</v>
      </c>
      <c r="AI55" s="4" t="str" cm="1">
        <f t="array" ref="AI55">计算得分(INDEX([1]Sheet1!$M:$M, MATCH(A55, [1]Sheet1!$B:$B,0)), 固定数据!BP52, 固定数据!BQ52, 0.2, 20,0, 3)</f>
        <v>--</v>
      </c>
      <c r="AJ55" s="4" t="str" cm="1">
        <f t="array" ref="AJ55">计算得分(INDEX([1]Sheet1!$Z:$Z, MATCH(A55, [1]Sheet1!$B:$B,0)), 固定数据!BR52, 固定数据!BS52, 10, 50,0, 0)</f>
        <v>--</v>
      </c>
      <c r="AK55" s="4" t="str" cm="1">
        <f t="array" ref="AK55">计算得分(INDEX([1]Sheet1!$O:$O, MATCH(A55, [1]Sheet1!$B:$B,0)), 固定数据!BT52, 固定数据!BU52, 0.2, 15,0, 0)</f>
        <v>--</v>
      </c>
      <c r="AL55" s="4" t="str" cm="1">
        <f t="array" ref="AL55">计算得分(INDEX([1]Sheet1!$R:$R, MATCH(A55, [1]Sheet1!$B:$B,0)), 固定数据!BV52, 固定数据!BW52, 0.2, 10,0, 0)</f>
        <v>--</v>
      </c>
      <c r="AM55" s="4" t="str" cm="1">
        <f t="array" ref="AM55">计算得分(INDEX([1]Sheet1!$T:$T, MATCH(A55, [1]Sheet1!$B:$B,0)), 固定数据!BX52, 固定数据!BY52, 0.2, 20,0, 0)</f>
        <v>--</v>
      </c>
      <c r="AN55" s="4" cm="1">
        <f t="array" ref="AN55">计算得分([3]Sheet1!$F$3, 固定数据!BZ52, 固定数据!CA52, 0.5, 15,0, 0)</f>
        <v>104.4</v>
      </c>
      <c r="AO55" s="4" cm="1">
        <f t="array" ref="AO55">计算得分([3]Sheet1!$G$3, 固定数据!CB52, 固定数据!CC52, 0.01, 5,0, 1)</f>
        <v>3675</v>
      </c>
      <c r="AP55" s="4" cm="1">
        <f t="array" ref="AP55">计算得分([3]Sheet1!$H$3, 固定数据!CD52, 固定数据!CE52, 0.001, 5,0, 1)</f>
        <v>18357</v>
      </c>
      <c r="AQ55" s="4" cm="1">
        <f t="array" ref="AQ55">计算得分([3]Sheet1!$D$3,固定数据!CF52,固定数据!CG52,0.05,5,0,3)</f>
        <v>186.8</v>
      </c>
      <c r="AR55" s="4" cm="1">
        <f t="array" ref="AR55">计算得分([3]Sheet1!$E$3,固定数据!CH52,固定数据!CI52,0.1,10,0,3)</f>
        <v>7574.53</v>
      </c>
      <c r="AS55" s="8" t="s">
        <v>74</v>
      </c>
      <c r="AT55" s="4" cm="1">
        <f t="array" ref="AT55">计算得分(INDEX([3]Sheet1!$J:$J, MATCH(A55, [3]Sheet1!$B:$B,0)), 固定数据!CL52, 固定数据!CM52, 2, 0,-10, 0)</f>
        <v>100</v>
      </c>
      <c r="AU55" s="4" cm="1">
        <f t="array" ref="AU55">计算得分(INDEX([3]Sheet1!$K:$K, MATCH(A55, [3]Sheet1!$B:$B,0)), 固定数据!CN52, 固定数据!CO52, 3, 0,-10, 0)</f>
        <v>100</v>
      </c>
      <c r="AV55" s="4" cm="1">
        <f t="array" ref="AV55">计算得分(INDEX([3]Sheet1!$L:$L, MATCH(A55, [3]Sheet1!$B:$B,0)), 固定数据!CP52, 固定数据!CQ52, 3, 0,-10, 0)</f>
        <v>100</v>
      </c>
      <c r="AW55" s="4" cm="1">
        <f t="array" ref="AW55">计算得分(INDEX([3]Sheet1!$M:$M, MATCH(A55, [3]Sheet1!$B:$B,0)), 固定数据!CR52, 固定数据!CS52, 100, 0,-100, 0)</f>
        <v>100</v>
      </c>
      <c r="AX55" s="4" cm="1">
        <f t="array" ref="AX55">计算得分(INDEX([3]Sheet1!$N:$N, MATCH(A55, [3]Sheet1!$B:$B,0)), 固定数据!CT52, 固定数据!CU52, 3, 0,-10, 0)</f>
        <v>100</v>
      </c>
      <c r="AY55" s="8" t="s">
        <v>74</v>
      </c>
      <c r="AZ55" s="8" t="s">
        <v>74</v>
      </c>
      <c r="BA55" s="4">
        <f>IFERROR(VLOOKUP(A55,[4]KPI评分!B:C,2,FALSE)*60%,"--")</f>
        <v>57.48</v>
      </c>
    </row>
    <row r="56" spans="1:53" ht="24.75" customHeight="1" x14ac:dyDescent="0.25">
      <c r="A56" s="1" t="s">
        <v>124</v>
      </c>
      <c r="B56" s="2" cm="1">
        <f t="array" ref="B56">计算得分(INDEX([1]Sheet1!$W:$W, MATCH(A56, [1]Sheet1!$B:$B,0)), 固定数据!B53, 固定数据!C53, 0.5, 0,-10, 0)</f>
        <v>0</v>
      </c>
      <c r="C56" s="2" cm="1">
        <f t="array" ref="C56">计算得分(INDEX([1]Sheet1!$X:$X, MATCH(A56, [1]Sheet1!$B:$B,0)), 固定数据!D53, 固定数据!E53, 1, 0,-10, 0)</f>
        <v>0</v>
      </c>
      <c r="D56" s="2" t="str" cm="1">
        <f t="array" ref="D56">计算得分(INDEX([1]Sheet1!$Y:$Y, MATCH(A56, [1]Sheet1!$B:$B,0)), 固定数据!F53, 固定数据!G53, 2, 0,-10, 0)</f>
        <v>--</v>
      </c>
      <c r="E56" s="6" t="str" cm="1">
        <f t="array" ref="E56">计算得分(INDEX([1]Sheet1!$C:$C, MATCH(A56, [1]Sheet1!$B:$B,0)), 固定数据!H53, 固定数据!I53, 0.02, 10,0, 1)</f>
        <v>--</v>
      </c>
      <c r="F56" s="2" t="str" cm="1">
        <f t="array" ref="F56">计算得分(INDEX([1]Sheet1!$D:$D, MATCH(A56, [1]Sheet1!$B:$B,0)), 固定数据!J53, 固定数据!K53, 0, 0,0, 0)</f>
        <v>--</v>
      </c>
      <c r="G56" s="2" t="str" cm="1">
        <f t="array" ref="G56">计算得分(INDEX([1]Sheet1!$E:$E, MATCH(A56, [1]Sheet1!$B:$B,0)), 固定数据!L53, 固定数据!M53,  0.3, 3,0, 5)</f>
        <v>--</v>
      </c>
      <c r="H56" s="2" t="str" cm="1">
        <f t="array" ref="H56">计算得分(INDEX([1]Sheet1!$AG:$AG, MATCH(A56, [1]Sheet1!$B:$B,0)), 固定数据!N53, 固定数据!O53, 0.03, 3,0, 3)</f>
        <v>--</v>
      </c>
      <c r="I56" s="2" cm="1">
        <f t="array" ref="I56">计算得分(INDEX([1]Sheet1!$V:$V, MATCH(A56, [1]Sheet1!$B:$B,0)), 固定数据!P53, 固定数据!Q53, 1, 0,-100, 0)</f>
        <v>0</v>
      </c>
      <c r="J56" s="2" cm="1">
        <f t="array" ref="J56">计算得分(INDEX([1]Sheet1!$AI:$AI, MATCH(A56, [1]Sheet1!$B:$B,0)), 固定数据!R53, 固定数据!S53, 0.04, 12,0, 3)</f>
        <v>100</v>
      </c>
      <c r="K56" s="2" t="str" cm="1">
        <f t="array" ref="K56">计算得分(INDEX([1]Sheet1!$F:$F, MATCH(A56, [1]Sheet1!$B:$B,0)), 固定数据!T53, 固定数据!U53, 0.02, 3,0, 1)</f>
        <v>--</v>
      </c>
      <c r="L56" s="2" t="str" cm="1">
        <f t="array" ref="L56">计算得分(INDEX([1]Sheet1!$U:$U, MATCH(A56, [1]Sheet1!$B:$B,0)), 固定数据!V53, 固定数据!W53, 0.2, 20,0, 0)</f>
        <v>--</v>
      </c>
      <c r="M56" s="2" cm="1">
        <f t="array" ref="M56">计算得分(100, 固定数据!X53, 固定数据!Y53, 0, 5,0, 0)</f>
        <v>100</v>
      </c>
      <c r="N56" s="2" t="str" cm="1">
        <f t="array" ref="N56">计算得分(100, 固定数据!Z53, 固定数据!AA53, 0, 5,0, 0)</f>
        <v>--</v>
      </c>
      <c r="O56" s="2" t="str" cm="1">
        <f t="array" ref="O56">计算得分(100, 固定数据!AB53, 固定数据!AC53, 0, 7,0, 0)</f>
        <v>--</v>
      </c>
      <c r="P56" s="2" t="str" cm="1">
        <f t="array" ref="P56">计算得分(INDEX([1]Sheet1!$P:$P, MATCH(A56, [1]Sheet1!$B:$B,0)), 固定数据!AD53, 固定数据!AE53, 0.2, 7,0, 0)</f>
        <v>--</v>
      </c>
      <c r="Q56" s="2" t="str" cm="1">
        <f t="array" ref="Q56">计算得分(INDEX([1]Sheet1!$I:$I, MATCH(A56, [1]Sheet1!$B:$B,0)), 固定数据!AF53, 固定数据!AG53,0.2, IF(固定数据!AF53&lt;&gt;"--",固定数据!AF53,0),2, 5)</f>
        <v>--</v>
      </c>
      <c r="R56" s="2" t="str" cm="1">
        <f t="array" ref="R56">计算得分(INDEX([2]Sheet1!$AL:$AL, MATCH(A56, [2]Sheet1!$A:$A,0)), 固定数据!AH53, 固定数据!AI53, 0.02, 6,6, 1)</f>
        <v>--</v>
      </c>
      <c r="S56" s="2" t="str" cm="1">
        <f t="array" ref="S56">计算得分(INDEX([2]Sheet1!$I:$I, MATCH(A56, [2]Sheet1!$A:$A,0)), 固定数据!AJ53, 固定数据!AK53, 0.005, 6,0, 1)</f>
        <v>--</v>
      </c>
      <c r="T56" s="2" cm="1">
        <f t="array" ref="T56">计算得分(98, 固定数据!AL53, 固定数据!AM53, 0.03, IF(固定数据!AL53&lt;&gt;"--",固定数据!AL53,0),0, 3)</f>
        <v>98</v>
      </c>
      <c r="U56" s="2" t="str" cm="1">
        <f t="array" ref="U56">计算得分(INDEX([1]Sheet1!$G:$G, MATCH(A56, [1]Sheet1!$B:$B,0)), 固定数据!AN53, 固定数据!AO53, 0.5, 3,0, 0)</f>
        <v>--</v>
      </c>
      <c r="V56" s="2" t="str" cm="1">
        <f t="array" ref="V56">计算得分(INDEX([1]Sheet1!$H:$H, MATCH(A56, [1]Sheet1!$B:$B,0)), 固定数据!AP53, 固定数据!AQ53, 0.4, 5,0, 1)</f>
        <v>--</v>
      </c>
      <c r="W56" s="2" t="str" cm="1">
        <f t="array" ref="W56">计算得分(INDEX([1]Sheet1!$J:$J, MATCH(A56, [1]Sheet1!$B:$B,0)), 固定数据!AR53, 固定数据!AS53, 0.2, 2,2, 4)</f>
        <v>--</v>
      </c>
      <c r="X56" s="2" t="str" cm="1">
        <f t="array" ref="X56">计算得分(INDEX([1]Sheet1!$K:$K, MATCH(A56, [1]Sheet1!$B:$B,0)), 固定数据!AT53, 固定数据!AU53, 0.2, 1.5,1.5, 4)</f>
        <v>--</v>
      </c>
      <c r="Y56" s="2" cm="1">
        <f t="array" ref="Y56">计算得分(INDEX([1]Sheet1!$AA:$AA, MATCH(A56, [1]Sheet1!$B:$B,0)), 固定数据!AV53, 固定数据!AW53, 0.05, IF(固定数据!AV53&lt;&gt;"--",固定数据!AV53,0),0, 3)</f>
        <v>95</v>
      </c>
      <c r="Z56" s="2" t="str" cm="1">
        <f t="array" ref="Z56">计算得分(INDEX([1]Sheet1!$AB:$AB, MATCH(A56, [1]Sheet1!$B:$B,0)), 固定数据!AX53, 固定数据!AY53, 0.05, IF(固定数据!AX53&lt;&gt;"--",固定数据!AX53,0),0, 3)</f>
        <v>--</v>
      </c>
      <c r="AA56" s="2" t="str" cm="1">
        <f t="array" ref="AA56">计算得分(INDEX([1]Sheet1!$AC:$AC, MATCH(A56, [1]Sheet1!$B:$B,0)), 固定数据!AZ53, 固定数据!BA53, 0.04, IF(固定数据!AZ53&lt;&gt;"--",固定数据!AZ53,0),0, 3)</f>
        <v>--</v>
      </c>
      <c r="AB56" s="2" cm="1">
        <f t="array" ref="AB56">计算得分(INDEX([1]Sheet1!$AD:$AD, MATCH(A56, [1]Sheet1!$B:$B,0)), 固定数据!BB53, 固定数据!BC53, 0.03, IF(固定数据!BB53&lt;&gt;"--",固定数据!BB53,0),0, 3)</f>
        <v>99.7</v>
      </c>
      <c r="AC56" s="2" cm="1">
        <f t="array" ref="AC56">计算得分(INDEX([1]Sheet1!$AE:$AE, MATCH(A56, [1]Sheet1!$B:$B,0)), 固定数据!BD53, 固定数据!BE53, 0.04, IF(固定数据!BD53&lt;&gt;"--",固定数据!BD53,0),0, 3)</f>
        <v>97.73</v>
      </c>
      <c r="AD56" s="2" t="str" cm="1">
        <f t="array" ref="AD56">计算得分(INDEX([1]Sheet1!$L:$L, MATCH(A56, [1]Sheet1!$B:$B,0)), 固定数据!BF53, 固定数据!BG53, 0.1, 12.5,0, 3)</f>
        <v>--</v>
      </c>
      <c r="AE56" s="2" t="str" cm="1">
        <f t="array" ref="AE56">计算得分(INDEX([1]Sheet1!$N:$N, MATCH(A56, [1]Sheet1!$B:$B,0)), 固定数据!BH53, 固定数据!BI53, 0.2, 7,0, 0)</f>
        <v>--</v>
      </c>
      <c r="AF56" s="2" t="str" cm="1">
        <f t="array" ref="AF56">计算得分(INDEX([1]Sheet1!$Q:$Q, MATCH(A56, [1]Sheet1!$B:$B,0)), 固定数据!BJ53, 固定数据!BK53, 0.2, 7,0, 0)</f>
        <v>--</v>
      </c>
      <c r="AG56" s="2" t="str" cm="1">
        <f t="array" ref="AG56">计算得分(INDEX([1]Sheet1!$S:$S, MATCH(A56, [1]Sheet1!$B:$B,0)), 固定数据!BL53, 固定数据!BM53, 0.2, 20,0, 0)</f>
        <v>--</v>
      </c>
      <c r="AH56" s="6" cm="1">
        <f t="array" ref="AH56">计算得分(INDEX([1]Sheet1!$AF:$AF, MATCH(A56, [1]Sheet1!$B:$B,0)), 固定数据!BN53, 固定数据!BO53, 0.1, 10,0, 3)</f>
        <v>95</v>
      </c>
      <c r="AI56" s="2" cm="1">
        <f t="array" ref="AI56">计算得分(INDEX([1]Sheet1!$M:$M, MATCH(A56, [1]Sheet1!$B:$B,0)), 固定数据!BP53, 固定数据!BQ53, 0.2, 20,0, 3)</f>
        <v>166.19</v>
      </c>
      <c r="AJ56" s="2" cm="1">
        <f t="array" ref="AJ56">计算得分(INDEX([1]Sheet1!$Z:$Z, MATCH(A56, [1]Sheet1!$B:$B,0)), 固定数据!BR53, 固定数据!BS53, 10, 50,0, 0)</f>
        <v>0</v>
      </c>
      <c r="AK56" s="2" cm="1">
        <f t="array" ref="AK56">计算得分(INDEX([1]Sheet1!$O:$O, MATCH(A56, [1]Sheet1!$B:$B,0)), 固定数据!BT53, 固定数据!BU53, 0.2, 15,0, 0)</f>
        <v>2.5099999999999998</v>
      </c>
      <c r="AL56" s="2" t="str" cm="1">
        <f t="array" ref="AL56">计算得分(INDEX([1]Sheet1!$R:$R, MATCH(A56, [1]Sheet1!$B:$B,0)), 固定数据!BV53, 固定数据!BW53, 0.2, 10,0, 0)</f>
        <v>--</v>
      </c>
      <c r="AM56" s="2" cm="1">
        <f t="array" ref="AM56">计算得分(INDEX([1]Sheet1!$T:$T, MATCH(A56, [1]Sheet1!$B:$B,0)), 固定数据!BX53, 固定数据!BY53, 0.2, 15,0, 0)</f>
        <v>53.01</v>
      </c>
      <c r="AN56" s="2" t="str" cm="1">
        <f t="array" ref="AN56">计算得分([3]Sheet1!$F$3, 固定数据!BZ53, 固定数据!CA53, 0.5, 15,0, 0)</f>
        <v>--</v>
      </c>
      <c r="AO56" s="6" t="str" cm="1">
        <f t="array" ref="AO56">计算得分([3]Sheet1!$G$3, 固定数据!CB53, 固定数据!CC53, 0.01, 5,0, 1)</f>
        <v>--</v>
      </c>
      <c r="AP56" s="6" t="str" cm="1">
        <f t="array" ref="AP56">计算得分([3]Sheet1!$H$3, 固定数据!CD53, 固定数据!CE53, 0.001, 5,0, 1)</f>
        <v>--</v>
      </c>
      <c r="AQ56" s="6" t="str" cm="1">
        <f t="array" ref="AQ56">计算得分([3]Sheet1!$D$3,固定数据!CF53,固定数据!CG53,0.05,5,0,3)</f>
        <v>--</v>
      </c>
      <c r="AR56" s="6" t="str" cm="1">
        <f t="array" ref="AR56">计算得分([3]Sheet1!$E$3,固定数据!CH53,固定数据!CI53,0.1,10,0,3)</f>
        <v>--</v>
      </c>
      <c r="AS56" s="7" t="s">
        <v>74</v>
      </c>
      <c r="AT56" s="6" t="str" cm="1">
        <f t="array" ref="AT56">计算得分(INDEX([3]Sheet1!$J:$J, MATCH(A56, [3]Sheet1!$B:$B,0)), 固定数据!CL53, 固定数据!CM53, 2, 0,-10, 0)</f>
        <v>--</v>
      </c>
      <c r="AU56" s="2" t="str" cm="1">
        <f t="array" ref="AU56">计算得分(INDEX([3]Sheet1!$K:$K, MATCH(A56, [3]Sheet1!$B:$B,0)), 固定数据!CN53, 固定数据!CO53, 3, 0,-10, 0)</f>
        <v>--</v>
      </c>
      <c r="AV56" s="2" t="str" cm="1">
        <f t="array" ref="AV56">计算得分(INDEX([3]Sheet1!$L:$L, MATCH(A56, [3]Sheet1!$B:$B,0)), 固定数据!CP53, 固定数据!CQ53, 3, 0,-10, 0)</f>
        <v>--</v>
      </c>
      <c r="AW56" s="2" t="str" cm="1">
        <f t="array" ref="AW56">计算得分(INDEX([3]Sheet1!$M:$M, MATCH(A56, [3]Sheet1!$B:$B,0)), 固定数据!CR53, 固定数据!CS53, 100, 0,-100, 0)</f>
        <v>--</v>
      </c>
      <c r="AX56" s="2" t="str" cm="1">
        <f t="array" ref="AX56">计算得分(INDEX([3]Sheet1!$N:$N, MATCH(A56, [3]Sheet1!$B:$B,0)), 固定数据!CT53, 固定数据!CU53, 3, 0,-10, 0)</f>
        <v>--</v>
      </c>
      <c r="AY56" s="7" t="s">
        <v>74</v>
      </c>
      <c r="AZ56" s="7" t="s">
        <v>74</v>
      </c>
      <c r="BA56" s="2" t="str">
        <f>IFERROR(VLOOKUP(A56,[4]KPI评分!B:C,2,FALSE)*60%,"--")</f>
        <v>--</v>
      </c>
    </row>
    <row r="57" spans="1:53" ht="24.75" customHeight="1" x14ac:dyDescent="0.25">
      <c r="A57" s="3" t="s">
        <v>125</v>
      </c>
      <c r="B57" s="4" t="str" cm="1">
        <f t="array" ref="B57">计算得分(INDEX([1]Sheet1!$W:$W, MATCH(A57, [1]Sheet1!$B:$B,0)), 固定数据!B54, 固定数据!C54, 0.5, 0,-10, 0)</f>
        <v>--</v>
      </c>
      <c r="C57" s="4" t="str" cm="1">
        <f t="array" ref="C57">计算得分(INDEX([1]Sheet1!$X:$X, MATCH(A57, [1]Sheet1!$B:$B,0)), 固定数据!D54, 固定数据!E54, 1, 0,-10, 0)</f>
        <v>--</v>
      </c>
      <c r="D57" s="4" t="str" cm="1">
        <f t="array" ref="D57">计算得分(INDEX([1]Sheet1!$Y:$Y, MATCH(A57, [1]Sheet1!$B:$B,0)), 固定数据!F54, 固定数据!G54, 2, 0,-10, 0)</f>
        <v>--</v>
      </c>
      <c r="E57" s="4" t="str" cm="1">
        <f t="array" ref="E57">计算得分(INDEX([1]Sheet1!$C:$C, MATCH(A57, [1]Sheet1!$B:$B,0)), 固定数据!H54, 固定数据!I54, 0.02, 10,0, 1)</f>
        <v>--</v>
      </c>
      <c r="F57" s="4" t="str" cm="1">
        <f t="array" ref="F57">计算得分(INDEX([1]Sheet1!$D:$D, MATCH(A57, [1]Sheet1!$B:$B,0)), 固定数据!J54, 固定数据!K54, 0, 0,0, 0)</f>
        <v>--</v>
      </c>
      <c r="G57" s="4" t="str" cm="1">
        <f t="array" ref="G57">计算得分(INDEX([1]Sheet1!$E:$E, MATCH(A57, [1]Sheet1!$B:$B,0)), 固定数据!L54, 固定数据!M54, 0.3, 3,0, 5)</f>
        <v>--</v>
      </c>
      <c r="H57" s="4" t="str" cm="1">
        <f t="array" ref="H57">计算得分(INDEX([1]Sheet1!$AG:$AG, MATCH(A57, [1]Sheet1!$B:$B,0)), 固定数据!N54, 固定数据!O54, 0.03, 3,0, 3)</f>
        <v>--</v>
      </c>
      <c r="I57" s="4" t="str" cm="1">
        <f t="array" ref="I57">计算得分(INDEX([1]Sheet1!$V:$V, MATCH(A57, [1]Sheet1!$B:$B,0)), 固定数据!P54, 固定数据!Q54, 1, 0,-100, 0)</f>
        <v>--</v>
      </c>
      <c r="J57" s="4" t="str" cm="1">
        <f t="array" ref="J57">计算得分(INDEX([1]Sheet1!$AI:$AI, MATCH(A57, [1]Sheet1!$B:$B,0)), 固定数据!R54, 固定数据!S54, 0.04, 12,0, 3)</f>
        <v>--</v>
      </c>
      <c r="K57" s="4" t="str" cm="1">
        <f t="array" ref="K57">计算得分(INDEX([1]Sheet1!$F:$F, MATCH(A57, [1]Sheet1!$B:$B,0)), 固定数据!T54, 固定数据!U54, 0.02, 3,0, 1)</f>
        <v>--</v>
      </c>
      <c r="L57" s="4" t="str" cm="1">
        <f t="array" ref="L57">计算得分(INDEX([1]Sheet1!$U:$U, MATCH(A57, [1]Sheet1!$B:$B,0)), 固定数据!V54, 固定数据!W54, 0.2, 20,0, 0)</f>
        <v>--</v>
      </c>
      <c r="M57" s="4" t="str" cm="1">
        <f t="array" ref="M57">计算得分(100, 固定数据!X54, 固定数据!Y54, 0, 5,0, 0)</f>
        <v>--</v>
      </c>
      <c r="N57" s="4" t="str" cm="1">
        <f t="array" ref="N57">计算得分(100, 固定数据!Z54, 固定数据!AA54, 0, 5,0, 0)</f>
        <v>--</v>
      </c>
      <c r="O57" s="4" t="str" cm="1">
        <f t="array" ref="O57">计算得分(100, 固定数据!AB54, 固定数据!AC54, 0, 7,0, 0)</f>
        <v>--</v>
      </c>
      <c r="P57" s="4" t="str" cm="1">
        <f t="array" ref="P57">计算得分(INDEX([1]Sheet1!$P:$P, MATCH(A57, [1]Sheet1!$B:$B,0)), 固定数据!AD54, 固定数据!AE54, 0.2, 7,0, 0)</f>
        <v>--</v>
      </c>
      <c r="Q57" s="4" t="str" cm="1">
        <f t="array" ref="Q57">计算得分(INDEX([1]Sheet1!$I:$I, MATCH(A57, [1]Sheet1!$B:$B,0)), 固定数据!AF54, 固定数据!AG54,0.2, IF(固定数据!AF54&lt;&gt;"--",固定数据!AF54,0),2, 5)</f>
        <v>--</v>
      </c>
      <c r="R57" s="4" t="str" cm="1">
        <f t="array" ref="R57">计算得分(INDEX([2]Sheet1!$AL:$AL, MATCH(A57, [2]Sheet1!$A:$A,0)), 固定数据!AH54, 固定数据!AI54, 0.02, 6,6, 1)</f>
        <v>--</v>
      </c>
      <c r="S57" s="4" t="str" cm="1">
        <f t="array" ref="S57">计算得分(INDEX([2]Sheet1!$I:$I, MATCH(A57, [2]Sheet1!$A:$A,0)), 固定数据!AJ54, 固定数据!AK54, 0.005, 6,0, 1)</f>
        <v>--</v>
      </c>
      <c r="T57" s="4" t="str" cm="1">
        <f t="array" ref="T57">计算得分(98, 固定数据!AL54, 固定数据!AM54, 0.03, IF(固定数据!AL54&lt;&gt;"--",固定数据!AL54,0),0, 3)</f>
        <v>--</v>
      </c>
      <c r="U57" s="4" t="str" cm="1">
        <f t="array" ref="U57">计算得分(INDEX([1]Sheet1!$G:$G, MATCH(A57, [1]Sheet1!$B:$B,0)), 固定数据!AN54, 固定数据!AO54, 0.5, 3,0, 0)</f>
        <v>--</v>
      </c>
      <c r="V57" s="4" t="str" cm="1">
        <f t="array" ref="V57">计算得分(INDEX([1]Sheet1!$H:$H, MATCH(A57, [1]Sheet1!$B:$B,0)), 固定数据!AP54, 固定数据!AQ54, 0.4, 5,0, 1)</f>
        <v>--</v>
      </c>
      <c r="W57" s="4" t="str" cm="1">
        <f t="array" ref="W57">计算得分(INDEX([1]Sheet1!$J:$J, MATCH(A57, [1]Sheet1!$B:$B,0)), 固定数据!AR54, 固定数据!AS54, 0.2, 2,2, 4)</f>
        <v>--</v>
      </c>
      <c r="X57" s="4" t="str" cm="1">
        <f t="array" ref="X57">计算得分(INDEX([1]Sheet1!$K:$K, MATCH(A57, [1]Sheet1!$B:$B,0)), 固定数据!AT54, 固定数据!AU54, 0.2, 1.5,1.5, 4)</f>
        <v>--</v>
      </c>
      <c r="Y57" s="4" t="str" cm="1">
        <f t="array" ref="Y57">计算得分(INDEX([1]Sheet1!$AA:$AA, MATCH(A57, [1]Sheet1!$B:$B,0)), 固定数据!AV54, 固定数据!AW54, 0.05, IF(固定数据!AV54&lt;&gt;"--",固定数据!AV54,0),0, 3)</f>
        <v>--</v>
      </c>
      <c r="Z57" s="4" t="str" cm="1">
        <f t="array" ref="Z57">计算得分(INDEX([1]Sheet1!$AB:$AB, MATCH(A57, [1]Sheet1!$B:$B,0)), 固定数据!AX54, 固定数据!AY54, 0.05, IF(固定数据!AX54&lt;&gt;"--",固定数据!AX54,0),0, 3)</f>
        <v>--</v>
      </c>
      <c r="AA57" s="4" t="str" cm="1">
        <f t="array" ref="AA57">计算得分(INDEX([1]Sheet1!$AC:$AC, MATCH(A57, [1]Sheet1!$B:$B,0)), 固定数据!AZ54, 固定数据!BA54, 0.04, IF(固定数据!AZ54&lt;&gt;"--",固定数据!AZ54,0),0, 3)</f>
        <v>--</v>
      </c>
      <c r="AB57" s="4" t="str" cm="1">
        <f t="array" ref="AB57">计算得分(INDEX([1]Sheet1!$AD:$AD, MATCH(A57, [1]Sheet1!$B:$B,0)), 固定数据!BB54, 固定数据!BC54, 0.03, IF(固定数据!BB54&lt;&gt;"--",固定数据!BB54,0),0, 3)</f>
        <v>--</v>
      </c>
      <c r="AC57" s="4" t="str" cm="1">
        <f t="array" ref="AC57">计算得分(INDEX([1]Sheet1!$AE:$AE, MATCH(A57, [1]Sheet1!$B:$B,0)), 固定数据!BD54, 固定数据!BE54, 0.04, IF(固定数据!BD54&lt;&gt;"--",固定数据!BD54,0),0, 3)</f>
        <v>--</v>
      </c>
      <c r="AD57" s="4" t="str" cm="1">
        <f t="array" ref="AD57">计算得分(INDEX([1]Sheet1!$L:$L, MATCH(A57, [1]Sheet1!$B:$B,0)), 固定数据!BF54, 固定数据!BG54, 0.1, 12.5,0, 3)</f>
        <v>--</v>
      </c>
      <c r="AE57" s="4" t="str" cm="1">
        <f t="array" ref="AE57">计算得分(INDEX([1]Sheet1!$N:$N, MATCH(A57, [1]Sheet1!$B:$B,0)), 固定数据!BH54, 固定数据!BI54, 0.2, 7,0, 0)</f>
        <v>--</v>
      </c>
      <c r="AF57" s="4" t="str" cm="1">
        <f t="array" ref="AF57">计算得分(INDEX([1]Sheet1!$Q:$Q, MATCH(A57, [1]Sheet1!$B:$B,0)), 固定数据!BJ54, 固定数据!BK54, 0.2, 7,0, 0)</f>
        <v>--</v>
      </c>
      <c r="AG57" s="4" t="str" cm="1">
        <f t="array" ref="AG57">计算得分(INDEX([1]Sheet1!$S:$S, MATCH(A57, [1]Sheet1!$B:$B,0)), 固定数据!BL54, 固定数据!BM54, 0.2, 20,0, 0)</f>
        <v>--</v>
      </c>
      <c r="AH57" s="4" t="str" cm="1">
        <f t="array" ref="AH57">计算得分(INDEX([1]Sheet1!$AF:$AF, MATCH(A57, [1]Sheet1!$B:$B,0)), 固定数据!BN54, 固定数据!BO54, 0.1, 10,0, 3)</f>
        <v>--</v>
      </c>
      <c r="AI57" s="4" t="str" cm="1">
        <f t="array" ref="AI57">计算得分(INDEX([1]Sheet1!$M:$M, MATCH(A57, [1]Sheet1!$B:$B,0)), 固定数据!BP54, 固定数据!BQ54, 0.2, 20,0, 3)</f>
        <v>--</v>
      </c>
      <c r="AJ57" s="4" t="str" cm="1">
        <f t="array" ref="AJ57">计算得分(INDEX([1]Sheet1!$Z:$Z, MATCH(A57, [1]Sheet1!$B:$B,0)), 固定数据!BR54, 固定数据!BS54, 10, 50,0, 0)</f>
        <v>--</v>
      </c>
      <c r="AK57" s="4" t="str" cm="1">
        <f t="array" ref="AK57">计算得分(INDEX([1]Sheet1!$O:$O, MATCH(A57, [1]Sheet1!$B:$B,0)), 固定数据!BT54, 固定数据!BU54, 0.2, 15,0, 0)</f>
        <v>--</v>
      </c>
      <c r="AL57" s="4" t="str" cm="1">
        <f t="array" ref="AL57">计算得分(INDEX([1]Sheet1!$R:$R, MATCH(A57, [1]Sheet1!$B:$B,0)), 固定数据!BV54, 固定数据!BW54, 0.2, 10,0, 0)</f>
        <v>--</v>
      </c>
      <c r="AM57" s="4" t="str" cm="1">
        <f t="array" ref="AM57">计算得分(INDEX([1]Sheet1!$T:$T, MATCH(A57, [1]Sheet1!$B:$B,0)), 固定数据!BX54, 固定数据!BY54, 0.2, 20,0, 0)</f>
        <v>--</v>
      </c>
      <c r="AN57" s="4" cm="1">
        <f t="array" ref="AN57">计算得分([3]Sheet1!$F$3, 固定数据!BZ54, 固定数据!CA54, 0.5, 15,0, 0)</f>
        <v>104.4</v>
      </c>
      <c r="AO57" s="4" cm="1">
        <f t="array" ref="AO57">计算得分([3]Sheet1!$G$3, 固定数据!CB54, 固定数据!CC54, 0.01, 5,0, 1)</f>
        <v>3675</v>
      </c>
      <c r="AP57" s="4" cm="1">
        <f t="array" ref="AP57">计算得分([3]Sheet1!$H$3, 固定数据!CD54, 固定数据!CE54, 0.001, 5,0, 1)</f>
        <v>18357</v>
      </c>
      <c r="AQ57" s="4" cm="1">
        <f t="array" ref="AQ57">计算得分([3]Sheet1!$D$3,固定数据!CF54,固定数据!CG54,0.05,5,0,3)</f>
        <v>186.8</v>
      </c>
      <c r="AR57" s="4" cm="1">
        <f t="array" ref="AR57">计算得分([3]Sheet1!$E$3,固定数据!CH54,固定数据!CI54,0.1,10,0,3)</f>
        <v>7574.53</v>
      </c>
      <c r="AS57" s="8" t="s">
        <v>74</v>
      </c>
      <c r="AT57" s="4" cm="1">
        <f t="array" ref="AT57">计算得分(INDEX([3]Sheet1!$J:$J, MATCH(A57, [3]Sheet1!$B:$B,0)), 固定数据!CL54, 固定数据!CM54, 2, 0,-10, 0)</f>
        <v>100</v>
      </c>
      <c r="AU57" s="4" cm="1">
        <f t="array" ref="AU57">计算得分(INDEX([3]Sheet1!$K:$K, MATCH(A57, [3]Sheet1!$B:$B,0)), 固定数据!CN54, 固定数据!CO54, 3, 0,-10, 0)</f>
        <v>100</v>
      </c>
      <c r="AV57" s="4" cm="1">
        <f t="array" ref="AV57">计算得分(INDEX([3]Sheet1!$L:$L, MATCH(A57, [3]Sheet1!$B:$B,0)), 固定数据!CP54, 固定数据!CQ54, 3, 0,-10, 0)</f>
        <v>100</v>
      </c>
      <c r="AW57" s="4" cm="1">
        <f t="array" ref="AW57">计算得分(INDEX([3]Sheet1!$M:$M, MATCH(A57, [3]Sheet1!$B:$B,0)), 固定数据!CR54, 固定数据!CS54, 100, 0,-100, 0)</f>
        <v>100</v>
      </c>
      <c r="AX57" s="4" cm="1">
        <f t="array" ref="AX57">计算得分(INDEX([3]Sheet1!$N:$N, MATCH(A57, [3]Sheet1!$B:$B,0)), 固定数据!CT54, 固定数据!CU54, 3, 0,-10, 0)</f>
        <v>100</v>
      </c>
      <c r="AY57" s="8" t="s">
        <v>74</v>
      </c>
      <c r="AZ57" s="8" t="s">
        <v>74</v>
      </c>
      <c r="BA57" s="4">
        <f>IFERROR(VLOOKUP(A57,[4]KPI评分!B:C,2,FALSE)*60%,"--")</f>
        <v>57.24</v>
      </c>
    </row>
    <row r="58" spans="1:53" ht="24.75" customHeight="1" x14ac:dyDescent="0.25">
      <c r="A58" s="1" t="s">
        <v>126</v>
      </c>
      <c r="B58" s="2" cm="1">
        <f t="array" ref="B58">计算得分(INDEX([1]Sheet1!$W:$W, MATCH(A58, [1]Sheet1!$B:$B,0)), 固定数据!B55, 固定数据!C55, 0.5, 0,-10, 0)</f>
        <v>0</v>
      </c>
      <c r="C58" s="2" cm="1">
        <f t="array" ref="C58">计算得分(INDEX([1]Sheet1!$X:$X, MATCH(A58, [1]Sheet1!$B:$B,0)), 固定数据!D55, 固定数据!E55, 1, 0,-10, 0)</f>
        <v>0</v>
      </c>
      <c r="D58" s="2" cm="1">
        <f t="array" ref="D58">计算得分(INDEX([1]Sheet1!$Y:$Y, MATCH(A58, [1]Sheet1!$B:$B,0)), 固定数据!F55, 固定数据!G55, 2, 0,-10, 0)</f>
        <v>0</v>
      </c>
      <c r="E58" s="6" t="str" cm="1">
        <f t="array" ref="E58">计算得分(INDEX([1]Sheet1!$C:$C, MATCH(A58, [1]Sheet1!$B:$B,0)), 固定数据!H55, 固定数据!I55, 0.02, 10,0, 1)</f>
        <v>--</v>
      </c>
      <c r="F58" s="2" t="str" cm="1">
        <f t="array" ref="F58">计算得分(INDEX([1]Sheet1!$D:$D, MATCH(A58, [1]Sheet1!$B:$B,0)), 固定数据!J55, 固定数据!K55, 0, 0,0, 0)</f>
        <v>--</v>
      </c>
      <c r="G58" s="2" cm="1">
        <f t="array" ref="G58">计算得分(INDEX([1]Sheet1!$E:$E, MATCH(A58, [1]Sheet1!$B:$B,0)), 固定数据!L55, 固定数据!M55,  0.3, 3,0, 5)</f>
        <v>53121.05</v>
      </c>
      <c r="H58" s="2" cm="1">
        <f t="array" ref="H58">计算得分(INDEX([1]Sheet1!$AG:$AG, MATCH(A58, [1]Sheet1!$B:$B,0)), 固定数据!N55, 固定数据!O55, 0.03, 3,0, 3)</f>
        <v>100</v>
      </c>
      <c r="I58" s="2" cm="1">
        <f t="array" ref="I58">计算得分(INDEX([1]Sheet1!$V:$V, MATCH(A58, [1]Sheet1!$B:$B,0)), 固定数据!P55, 固定数据!Q55, 1, 0,-100, 0)</f>
        <v>0</v>
      </c>
      <c r="J58" s="2" t="str" cm="1">
        <f t="array" ref="J58">计算得分(INDEX([1]Sheet1!$AI:$AI, MATCH(A58, [1]Sheet1!$B:$B,0)), 固定数据!R55, 固定数据!S55, 0.04, 12,0, 3)</f>
        <v>--</v>
      </c>
      <c r="K58" s="2" cm="1">
        <f t="array" ref="K58">计算得分(INDEX([1]Sheet1!$F:$F, MATCH(A58, [1]Sheet1!$B:$B,0)), 固定数据!T55, 固定数据!U55, 0.02, 3,0, 1)</f>
        <v>96.67</v>
      </c>
      <c r="L58" s="2" t="str" cm="1">
        <f t="array" ref="L58">计算得分(INDEX([1]Sheet1!$U:$U, MATCH(A58, [1]Sheet1!$B:$B,0)), 固定数据!V55, 固定数据!W55, 0.2, 20,0, 0)</f>
        <v>--</v>
      </c>
      <c r="M58" s="2" t="str" cm="1">
        <f t="array" ref="M58">计算得分(100, 固定数据!X55, 固定数据!Y55, 0, 5,0, 0)</f>
        <v>--</v>
      </c>
      <c r="N58" s="2" t="str" cm="1">
        <f t="array" ref="N58">计算得分(100, 固定数据!Z55, 固定数据!AA55, 0, 5,0, 0)</f>
        <v>--</v>
      </c>
      <c r="O58" s="2" t="str" cm="1">
        <f t="array" ref="O58">计算得分(100, 固定数据!AB55, 固定数据!AC55, 0, 7,0, 0)</f>
        <v>--</v>
      </c>
      <c r="P58" s="2" t="str" cm="1">
        <f t="array" ref="P58">计算得分(INDEX([1]Sheet1!$P:$P, MATCH(A58, [1]Sheet1!$B:$B,0)), 固定数据!AD55, 固定数据!AE55, 0.2, 7,0, 0)</f>
        <v>--</v>
      </c>
      <c r="Q58" s="2" cm="1">
        <f t="array" ref="Q58">计算得分(INDEX([1]Sheet1!$I:$I, MATCH(A58, [1]Sheet1!$B:$B,0)), 固定数据!AF55, 固定数据!AG55,0.2, IF(固定数据!AF55&lt;&gt;"--",固定数据!AF55,0),2, 5)</f>
        <v>242.65</v>
      </c>
      <c r="R58" s="2" cm="1">
        <f t="array" ref="R58">计算得分(INDEX([2]Sheet1!$AL:$AL, MATCH(A58, [2]Sheet1!$A:$A,0)), 固定数据!AH55, 固定数据!AI55, 0.02, 6,6, 1)</f>
        <v>337</v>
      </c>
      <c r="S58" s="2" cm="1">
        <f t="array" ref="S58">计算得分(INDEX([2]Sheet1!$I:$I, MATCH(A58, [2]Sheet1!$A:$A,0)), 固定数据!AJ55, 固定数据!AK55, 0.005, 6,0, 1)</f>
        <v>1897</v>
      </c>
      <c r="T58" s="2" cm="1">
        <f t="array" ref="T58">计算得分(98, 固定数据!AL55, 固定数据!AM55, 0.03, IF(固定数据!AL55&lt;&gt;"--",固定数据!AL55,0),0, 3)</f>
        <v>98</v>
      </c>
      <c r="U58" s="2" cm="1">
        <f t="array" ref="U58">计算得分(INDEX([1]Sheet1!$G:$G, MATCH(A58, [1]Sheet1!$B:$B,0)), 固定数据!AN55, 固定数据!AO55, 0.5, 3,0, 0)</f>
        <v>6.45</v>
      </c>
      <c r="V58" s="2" cm="1">
        <f t="array" ref="V58">计算得分(INDEX([1]Sheet1!$H:$H, MATCH(A58, [1]Sheet1!$B:$B,0)), 固定数据!AP55, 固定数据!AQ55, 0.4, 5,0, 1)</f>
        <v>5.91</v>
      </c>
      <c r="W58" s="2" cm="1">
        <f t="array" ref="W58">计算得分(INDEX([1]Sheet1!$J:$J, MATCH(A58, [1]Sheet1!$B:$B,0)), 固定数据!AR55, 固定数据!AS55, 0.2, 2,2, 4)</f>
        <v>242.65</v>
      </c>
      <c r="X58" s="2" cm="1">
        <f t="array" ref="X58">计算得分(INDEX([1]Sheet1!$K:$K, MATCH(A58, [1]Sheet1!$B:$B,0)), 固定数据!AT55, 固定数据!AU55, 0.2, 1.5,1.5, 4)</f>
        <v>8111.53</v>
      </c>
      <c r="Y58" s="2" cm="1">
        <f t="array" ref="Y58">计算得分(INDEX([1]Sheet1!$AA:$AA, MATCH(A58, [1]Sheet1!$B:$B,0)), 固定数据!AV55, 固定数据!AW55, 0.05, IF(固定数据!AV55&lt;&gt;"--",固定数据!AV55,0),0, 3)</f>
        <v>95.5</v>
      </c>
      <c r="Z58" s="2" cm="1">
        <f t="array" ref="Z58">计算得分(INDEX([1]Sheet1!$AB:$AB, MATCH(A58, [1]Sheet1!$B:$B,0)), 固定数据!AX55, 固定数据!AY55, 0.05, IF(固定数据!AX55&lt;&gt;"--",固定数据!AX55,0),0, 3)</f>
        <v>96.5</v>
      </c>
      <c r="AA58" s="2" cm="1">
        <f t="array" ref="AA58">计算得分(INDEX([1]Sheet1!$AC:$AC, MATCH(A58, [1]Sheet1!$B:$B,0)), 固定数据!AZ55, 固定数据!BA55, 0.04, IF(固定数据!AZ55&lt;&gt;"--",固定数据!AZ55,0),0, 3)</f>
        <v>97</v>
      </c>
      <c r="AB58" s="2" cm="1">
        <f t="array" ref="AB58">计算得分(INDEX([1]Sheet1!$AD:$AD, MATCH(A58, [1]Sheet1!$B:$B,0)), 固定数据!BB55, 固定数据!BC55, 0.03, IF(固定数据!BB55&lt;&gt;"--",固定数据!BB55,0),0, 3)</f>
        <v>96</v>
      </c>
      <c r="AC58" s="2" cm="1">
        <f t="array" ref="AC58">计算得分(INDEX([1]Sheet1!$AE:$AE, MATCH(A58, [1]Sheet1!$B:$B,0)), 固定数据!BD55, 固定数据!BE55, 0.04, IF(固定数据!BD55&lt;&gt;"--",固定数据!BD55,0),0, 3)</f>
        <v>96.46</v>
      </c>
      <c r="AD58" s="2" cm="1">
        <f t="array" ref="AD58">计算得分(INDEX([1]Sheet1!$L:$L, MATCH(A58, [1]Sheet1!$B:$B,0)), 固定数据!BF55, 固定数据!BG55, 0.1, 12.5,0, 3)</f>
        <v>4943.53</v>
      </c>
      <c r="AE58" s="2" cm="1">
        <f t="array" ref="AE58">计算得分(INDEX([1]Sheet1!$N:$N, MATCH(A58, [1]Sheet1!$B:$B,0)), 固定数据!BH55, 固定数据!BI55, 0.2, 7,0, 0)</f>
        <v>5.74</v>
      </c>
      <c r="AF58" s="2" cm="1">
        <f t="array" ref="AF58">计算得分(INDEX([1]Sheet1!$Q:$Q, MATCH(A58, [1]Sheet1!$B:$B,0)), 固定数据!BJ55, 固定数据!BK55, 0.2, 7,0, 0)</f>
        <v>29.63</v>
      </c>
      <c r="AG58" s="2" cm="1">
        <f t="array" ref="AG58">计算得分(INDEX([1]Sheet1!$S:$S, MATCH(A58, [1]Sheet1!$B:$B,0)), 固定数据!BL55, 固定数据!BM55, 0.2, 20,0, 0)</f>
        <v>51.21</v>
      </c>
      <c r="AH58" s="6" t="str" cm="1">
        <f t="array" ref="AH58">计算得分(INDEX([1]Sheet1!$AF:$AF, MATCH(A58, [1]Sheet1!$B:$B,0)), 固定数据!BN55, 固定数据!BO55, 0.1, 10,0, 3)</f>
        <v>--</v>
      </c>
      <c r="AI58" s="2" t="str" cm="1">
        <f t="array" ref="AI58">计算得分(INDEX([1]Sheet1!$M:$M, MATCH(A58, [1]Sheet1!$B:$B,0)), 固定数据!BP55, 固定数据!BQ55, 0.2, 20,0, 3)</f>
        <v>--</v>
      </c>
      <c r="AJ58" s="2" cm="1">
        <f t="array" ref="AJ58">计算得分(INDEX([1]Sheet1!$Z:$Z, MATCH(A58, [1]Sheet1!$B:$B,0)), 固定数据!BR55, 固定数据!BS55, 10, 50,0, 0)</f>
        <v>0</v>
      </c>
      <c r="AK58" s="2" t="str" cm="1">
        <f t="array" ref="AK58">计算得分(INDEX([1]Sheet1!$O:$O, MATCH(A58, [1]Sheet1!$B:$B,0)), 固定数据!BT55, 固定数据!BU55, 0.2, 15,0, 0)</f>
        <v>--</v>
      </c>
      <c r="AL58" s="2" t="str" cm="1">
        <f t="array" ref="AL58">计算得分(INDEX([1]Sheet1!$R:$R, MATCH(A58, [1]Sheet1!$B:$B,0)), 固定数据!BV55, 固定数据!BW55, 0.2, 10,0, 0)</f>
        <v>--</v>
      </c>
      <c r="AM58" s="2" t="str" cm="1">
        <f t="array" ref="AM58">计算得分(INDEX([1]Sheet1!$T:$T, MATCH(A58, [1]Sheet1!$B:$B,0)), 固定数据!BX55, 固定数据!BY55, 0.2, 20,0, 0)</f>
        <v>--</v>
      </c>
      <c r="AN58" s="2" t="str" cm="1">
        <f t="array" ref="AN58">计算得分([3]Sheet1!$F$3, 固定数据!BZ55, 固定数据!CA55, 0.5, 15,0, 0)</f>
        <v>--</v>
      </c>
      <c r="AO58" s="6" t="str" cm="1">
        <f t="array" ref="AO58">计算得分([3]Sheet1!$G$3, 固定数据!CB55, 固定数据!CC55, 0.01, 5,0, 1)</f>
        <v>--</v>
      </c>
      <c r="AP58" s="6" t="str" cm="1">
        <f t="array" ref="AP58">计算得分([3]Sheet1!$H$3, 固定数据!CD55, 固定数据!CE55, 0.001, 5,0, 1)</f>
        <v>--</v>
      </c>
      <c r="AQ58" s="6" t="str" cm="1">
        <f t="array" ref="AQ58">计算得分([3]Sheet1!$D$3,固定数据!CF55,固定数据!CG55,0.05,5,0,3)</f>
        <v>--</v>
      </c>
      <c r="AR58" s="6" t="str" cm="1">
        <f t="array" ref="AR58">计算得分([3]Sheet1!$E$3,固定数据!CH55,固定数据!CI55,0.1,10,0,3)</f>
        <v>--</v>
      </c>
      <c r="AS58" s="7" t="s">
        <v>74</v>
      </c>
      <c r="AT58" s="6" t="str" cm="1">
        <f t="array" ref="AT58">计算得分(INDEX([3]Sheet1!$J:$J, MATCH(A58, [3]Sheet1!$B:$B,0)), 固定数据!CL55, 固定数据!CM55, 2, 0,-10, 0)</f>
        <v>--</v>
      </c>
      <c r="AU58" s="2" t="str" cm="1">
        <f t="array" ref="AU58">计算得分(INDEX([3]Sheet1!$K:$K, MATCH(A58, [3]Sheet1!$B:$B,0)), 固定数据!CN55, 固定数据!CO55, 3, 0,-10, 0)</f>
        <v>--</v>
      </c>
      <c r="AV58" s="2" t="str" cm="1">
        <f t="array" ref="AV58">计算得分(INDEX([3]Sheet1!$L:$L, MATCH(A58, [3]Sheet1!$B:$B,0)), 固定数据!CP55, 固定数据!CQ55, 3, 0,-10, 0)</f>
        <v>--</v>
      </c>
      <c r="AW58" s="2" t="str" cm="1">
        <f t="array" ref="AW58">计算得分(INDEX([3]Sheet1!$M:$M, MATCH(A58, [3]Sheet1!$B:$B,0)), 固定数据!CR55, 固定数据!CS55, 100, 0,-100, 0)</f>
        <v>--</v>
      </c>
      <c r="AX58" s="2" t="str" cm="1">
        <f t="array" ref="AX58">计算得分(INDEX([3]Sheet1!$N:$N, MATCH(A58, [3]Sheet1!$B:$B,0)), 固定数据!CT55, 固定数据!CU55, 3, 0,-10, 0)</f>
        <v>--</v>
      </c>
      <c r="AY58" s="7" t="s">
        <v>74</v>
      </c>
      <c r="AZ58" s="7" t="s">
        <v>74</v>
      </c>
      <c r="BA58" s="2" t="str">
        <f>IFERROR(VLOOKUP(A58,[4]KPI评分!B:C,2,FALSE)*60%,"--")</f>
        <v>--</v>
      </c>
    </row>
    <row r="59" spans="1:53" ht="24.75" customHeight="1" x14ac:dyDescent="0.25">
      <c r="A59" s="3" t="s">
        <v>127</v>
      </c>
      <c r="B59" s="4" t="str" cm="1">
        <f t="array" ref="B59">计算得分(INDEX([1]Sheet1!$W:$W, MATCH(A59, [1]Sheet1!$B:$B,0)), 固定数据!B56, 固定数据!C56, 0.5, 0,-10, 0)</f>
        <v>--</v>
      </c>
      <c r="C59" s="4" t="str" cm="1">
        <f t="array" ref="C59">计算得分(INDEX([1]Sheet1!$X:$X, MATCH(A59, [1]Sheet1!$B:$B,0)), 固定数据!D56, 固定数据!E56, 1, 0,-10, 0)</f>
        <v>--</v>
      </c>
      <c r="D59" s="4" t="str" cm="1">
        <f t="array" ref="D59">计算得分(INDEX([1]Sheet1!$Y:$Y, MATCH(A59, [1]Sheet1!$B:$B,0)), 固定数据!F56, 固定数据!G56, 2, 0,-10, 0)</f>
        <v>--</v>
      </c>
      <c r="E59" s="4" t="str" cm="1">
        <f t="array" ref="E59">计算得分(INDEX([1]Sheet1!$C:$C, MATCH(A59, [1]Sheet1!$B:$B,0)), 固定数据!H56, 固定数据!I56, 0.02, 10,0, 1)</f>
        <v>--</v>
      </c>
      <c r="F59" s="4" t="str" cm="1">
        <f t="array" ref="F59">计算得分(INDEX([1]Sheet1!$D:$D, MATCH(A59, [1]Sheet1!$B:$B,0)), 固定数据!J56, 固定数据!K56, 0, 0,0, 0)</f>
        <v>--</v>
      </c>
      <c r="G59" s="4" t="str" cm="1">
        <f t="array" ref="G59">计算得分(INDEX([1]Sheet1!$E:$E, MATCH(A59, [1]Sheet1!$B:$B,0)), 固定数据!L56, 固定数据!M56, 0.3, 3,0, 5)</f>
        <v>--</v>
      </c>
      <c r="H59" s="4" t="str" cm="1">
        <f t="array" ref="H59">计算得分(INDEX([1]Sheet1!$AG:$AG, MATCH(A59, [1]Sheet1!$B:$B,0)), 固定数据!N56, 固定数据!O56, 0.03, 3,0, 3)</f>
        <v>--</v>
      </c>
      <c r="I59" s="4" t="str" cm="1">
        <f t="array" ref="I59">计算得分(INDEX([1]Sheet1!$V:$V, MATCH(A59, [1]Sheet1!$B:$B,0)), 固定数据!P56, 固定数据!Q56, 1, 0,-100, 0)</f>
        <v>--</v>
      </c>
      <c r="J59" s="4" t="str" cm="1">
        <f t="array" ref="J59">计算得分(INDEX([1]Sheet1!$AI:$AI, MATCH(A59, [1]Sheet1!$B:$B,0)), 固定数据!R56, 固定数据!S56, 0.04, 12,0, 3)</f>
        <v>--</v>
      </c>
      <c r="K59" s="4" t="str" cm="1">
        <f t="array" ref="K59">计算得分(INDEX([1]Sheet1!$F:$F, MATCH(A59, [1]Sheet1!$B:$B,0)), 固定数据!T56, 固定数据!U56, 0.02, 3,0, 1)</f>
        <v>--</v>
      </c>
      <c r="L59" s="4" t="str" cm="1">
        <f t="array" ref="L59">计算得分(INDEX([1]Sheet1!$U:$U, MATCH(A59, [1]Sheet1!$B:$B,0)), 固定数据!V56, 固定数据!W56, 0.2, 20,0, 0)</f>
        <v>--</v>
      </c>
      <c r="M59" s="4" t="str" cm="1">
        <f t="array" ref="M59">计算得分(100, 固定数据!X56, 固定数据!Y56, 0, 5,0, 0)</f>
        <v>--</v>
      </c>
      <c r="N59" s="4" t="str" cm="1">
        <f t="array" ref="N59">计算得分(100, 固定数据!Z56, 固定数据!AA56, 0, 5,0, 0)</f>
        <v>--</v>
      </c>
      <c r="O59" s="4" t="str" cm="1">
        <f t="array" ref="O59">计算得分(100, 固定数据!AB56, 固定数据!AC56, 0, 7,0, 0)</f>
        <v>--</v>
      </c>
      <c r="P59" s="4" t="str" cm="1">
        <f t="array" ref="P59">计算得分(INDEX([1]Sheet1!$P:$P, MATCH(A59, [1]Sheet1!$B:$B,0)), 固定数据!AD56, 固定数据!AE56, 0.2, 7,0, 0)</f>
        <v>--</v>
      </c>
      <c r="Q59" s="4" t="str" cm="1">
        <f t="array" ref="Q59">计算得分(INDEX([1]Sheet1!$I:$I, MATCH(A59, [1]Sheet1!$B:$B,0)), 固定数据!AF56, 固定数据!AG56,0.2, IF(固定数据!AF56&lt;&gt;"--",固定数据!AF56,0),2, 5)</f>
        <v>--</v>
      </c>
      <c r="R59" s="4" t="str" cm="1">
        <f t="array" ref="R59">计算得分(INDEX([2]Sheet1!$AL:$AL, MATCH(A59, [2]Sheet1!$A:$A,0)), 固定数据!AH56, 固定数据!AI56, 0.02, 6,6, 1)</f>
        <v>--</v>
      </c>
      <c r="S59" s="4" t="str" cm="1">
        <f t="array" ref="S59">计算得分(INDEX([2]Sheet1!$I:$I, MATCH(A59, [2]Sheet1!$A:$A,0)), 固定数据!AJ56, 固定数据!AK56, 0.005, 6,0, 1)</f>
        <v>--</v>
      </c>
      <c r="T59" s="4" t="str" cm="1">
        <f t="array" ref="T59">计算得分(98, 固定数据!AL56, 固定数据!AM56, 0.03, IF(固定数据!AL56&lt;&gt;"--",固定数据!AL56,0),0, 3)</f>
        <v>--</v>
      </c>
      <c r="U59" s="4" t="str" cm="1">
        <f t="array" ref="U59">计算得分(INDEX([1]Sheet1!$G:$G, MATCH(A59, [1]Sheet1!$B:$B,0)), 固定数据!AN56, 固定数据!AO56, 0.5, 3,0, 0)</f>
        <v>--</v>
      </c>
      <c r="V59" s="4" t="str" cm="1">
        <f t="array" ref="V59">计算得分(INDEX([1]Sheet1!$H:$H, MATCH(A59, [1]Sheet1!$B:$B,0)), 固定数据!AP56, 固定数据!AQ56, 0.4, 5,0, 1)</f>
        <v>--</v>
      </c>
      <c r="W59" s="4" t="str" cm="1">
        <f t="array" ref="W59">计算得分(INDEX([1]Sheet1!$J:$J, MATCH(A59, [1]Sheet1!$B:$B,0)), 固定数据!AR56, 固定数据!AS56, 0.2, 2,2, 4)</f>
        <v>--</v>
      </c>
      <c r="X59" s="4" t="str" cm="1">
        <f t="array" ref="X59">计算得分(INDEX([1]Sheet1!$K:$K, MATCH(A59, [1]Sheet1!$B:$B,0)), 固定数据!AT56, 固定数据!AU56, 0.2, 1.5,1.5, 4)</f>
        <v>--</v>
      </c>
      <c r="Y59" s="4" t="str" cm="1">
        <f t="array" ref="Y59">计算得分(INDEX([1]Sheet1!$AA:$AA, MATCH(A59, [1]Sheet1!$B:$B,0)), 固定数据!AV56, 固定数据!AW56, 0.05, IF(固定数据!AV56&lt;&gt;"--",固定数据!AV56,0),0, 3)</f>
        <v>--</v>
      </c>
      <c r="Z59" s="4" t="str" cm="1">
        <f t="array" ref="Z59">计算得分(INDEX([1]Sheet1!$AB:$AB, MATCH(A59, [1]Sheet1!$B:$B,0)), 固定数据!AX56, 固定数据!AY56, 0.05, IF(固定数据!AX56&lt;&gt;"--",固定数据!AX56,0),0, 3)</f>
        <v>--</v>
      </c>
      <c r="AA59" s="4" t="str" cm="1">
        <f t="array" ref="AA59">计算得分(INDEX([1]Sheet1!$AC:$AC, MATCH(A59, [1]Sheet1!$B:$B,0)), 固定数据!AZ56, 固定数据!BA56, 0.04, IF(固定数据!AZ56&lt;&gt;"--",固定数据!AZ56,0),0, 3)</f>
        <v>--</v>
      </c>
      <c r="AB59" s="4" t="str" cm="1">
        <f t="array" ref="AB59">计算得分(INDEX([1]Sheet1!$AD:$AD, MATCH(A59, [1]Sheet1!$B:$B,0)), 固定数据!BB56, 固定数据!BC56, 0.03, IF(固定数据!BB56&lt;&gt;"--",固定数据!BB56,0),0, 3)</f>
        <v>--</v>
      </c>
      <c r="AC59" s="4" t="str" cm="1">
        <f t="array" ref="AC59">计算得分(INDEX([1]Sheet1!$AE:$AE, MATCH(A59, [1]Sheet1!$B:$B,0)), 固定数据!BD56, 固定数据!BE56, 0.04, IF(固定数据!BD56&lt;&gt;"--",固定数据!BD56,0),0, 3)</f>
        <v>--</v>
      </c>
      <c r="AD59" s="4" t="str" cm="1">
        <f t="array" ref="AD59">计算得分(INDEX([1]Sheet1!$L:$L, MATCH(A59, [1]Sheet1!$B:$B,0)), 固定数据!BF56, 固定数据!BG56, 0.1, 12.5,0, 3)</f>
        <v>--</v>
      </c>
      <c r="AE59" s="4" t="str" cm="1">
        <f t="array" ref="AE59">计算得分(INDEX([1]Sheet1!$N:$N, MATCH(A59, [1]Sheet1!$B:$B,0)), 固定数据!BH56, 固定数据!BI56, 0.2, 7,0, 0)</f>
        <v>--</v>
      </c>
      <c r="AF59" s="4" t="str" cm="1">
        <f t="array" ref="AF59">计算得分(INDEX([1]Sheet1!$Q:$Q, MATCH(A59, [1]Sheet1!$B:$B,0)), 固定数据!BJ56, 固定数据!BK56, 0.2, 7,0, 0)</f>
        <v>--</v>
      </c>
      <c r="AG59" s="4" t="str" cm="1">
        <f t="array" ref="AG59">计算得分(INDEX([1]Sheet1!$S:$S, MATCH(A59, [1]Sheet1!$B:$B,0)), 固定数据!BL56, 固定数据!BM56, 0.2, 20,0, 0)</f>
        <v>--</v>
      </c>
      <c r="AH59" s="4" t="str" cm="1">
        <f t="array" ref="AH59">计算得分(INDEX([1]Sheet1!$AF:$AF, MATCH(A59, [1]Sheet1!$B:$B,0)), 固定数据!BN56, 固定数据!BO56, 0.1, 10,0, 3)</f>
        <v>--</v>
      </c>
      <c r="AI59" s="4" t="str" cm="1">
        <f t="array" ref="AI59">计算得分(INDEX([1]Sheet1!$M:$M, MATCH(A59, [1]Sheet1!$B:$B,0)), 固定数据!BP56, 固定数据!BQ56, 0.2, 20,0, 3)</f>
        <v>--</v>
      </c>
      <c r="AJ59" s="4" t="str" cm="1">
        <f t="array" ref="AJ59">计算得分(INDEX([1]Sheet1!$Z:$Z, MATCH(A59, [1]Sheet1!$B:$B,0)), 固定数据!BR56, 固定数据!BS56, 10, 50,0, 0)</f>
        <v>--</v>
      </c>
      <c r="AK59" s="4" t="str" cm="1">
        <f t="array" ref="AK59">计算得分(INDEX([1]Sheet1!$O:$O, MATCH(A59, [1]Sheet1!$B:$B,0)), 固定数据!BT56, 固定数据!BU56, 0.2, 15,0, 0)</f>
        <v>--</v>
      </c>
      <c r="AL59" s="4" t="str" cm="1">
        <f t="array" ref="AL59">计算得分(INDEX([1]Sheet1!$R:$R, MATCH(A59, [1]Sheet1!$B:$B,0)), 固定数据!BV56, 固定数据!BW56, 0.2, 10,0, 0)</f>
        <v>--</v>
      </c>
      <c r="AM59" s="4" t="str" cm="1">
        <f t="array" ref="AM59">计算得分(INDEX([1]Sheet1!$T:$T, MATCH(A59, [1]Sheet1!$B:$B,0)), 固定数据!BX56, 固定数据!BY56, 0.2, 20,0, 0)</f>
        <v>--</v>
      </c>
      <c r="AN59" s="4" t="str" cm="1">
        <f t="array" ref="AN59">计算得分([3]Sheet1!$F$3, 固定数据!BZ56, 固定数据!CA56, 0.5, 15,0, 0)</f>
        <v>--</v>
      </c>
      <c r="AO59" s="4" t="str" cm="1">
        <f t="array" ref="AO59">计算得分([3]Sheet1!$G$3, 固定数据!CB56, 固定数据!CC56, 0.01, 5,0, 1)</f>
        <v>--</v>
      </c>
      <c r="AP59" s="4" t="str" cm="1">
        <f t="array" ref="AP59">计算得分([3]Sheet1!$H$3, 固定数据!CD56, 固定数据!CE56, 0.001, 5,0, 1)</f>
        <v>--</v>
      </c>
      <c r="AQ59" s="4" t="str" cm="1">
        <f t="array" ref="AQ59">计算得分([3]Sheet1!$D$3,固定数据!CF56,固定数据!CG56,0.05,5,0,3)</f>
        <v>--</v>
      </c>
      <c r="AR59" s="4" t="str" cm="1">
        <f t="array" ref="AR59">计算得分([3]Sheet1!$E$3,固定数据!CH56,固定数据!CI56,0.1,10,0,3)</f>
        <v>--</v>
      </c>
      <c r="AS59" s="8" t="s">
        <v>74</v>
      </c>
      <c r="AT59" s="4" t="str" cm="1">
        <f t="array" ref="AT59">计算得分(INDEX([3]Sheet1!$J:$J, MATCH(A59, [3]Sheet1!$B:$B,0)), 固定数据!CL56, 固定数据!CM56, 2, 0,-10, 0)</f>
        <v>--</v>
      </c>
      <c r="AU59" s="4" t="str" cm="1">
        <f t="array" ref="AU59">计算得分(INDEX([3]Sheet1!$K:$K, MATCH(A59, [3]Sheet1!$B:$B,0)), 固定数据!CN56, 固定数据!CO56, 3, 0,-10, 0)</f>
        <v>--</v>
      </c>
      <c r="AV59" s="4" t="str" cm="1">
        <f t="array" ref="AV59">计算得分(INDEX([3]Sheet1!$L:$L, MATCH(A59, [3]Sheet1!$B:$B,0)), 固定数据!CP56, 固定数据!CQ56, 3, 0,-10, 0)</f>
        <v>--</v>
      </c>
      <c r="AW59" s="4" t="str" cm="1">
        <f t="array" ref="AW59">计算得分(INDEX([3]Sheet1!$M:$M, MATCH(A59, [3]Sheet1!$B:$B,0)), 固定数据!CR56, 固定数据!CS56, 100, 0,-100, 0)</f>
        <v>--</v>
      </c>
      <c r="AX59" s="4" t="str" cm="1">
        <f t="array" ref="AX59">计算得分(INDEX([3]Sheet1!$N:$N, MATCH(A59, [3]Sheet1!$B:$B,0)), 固定数据!CT56, 固定数据!CU56, 3, 0,-10, 0)</f>
        <v>--</v>
      </c>
      <c r="AY59" s="8" t="s">
        <v>74</v>
      </c>
      <c r="AZ59" s="8" t="s">
        <v>74</v>
      </c>
      <c r="BA59" s="4" t="str">
        <f>IFERROR(VLOOKUP(A59,[4]KPI评分!B:C,2,FALSE)*60%,"--")</f>
        <v>--</v>
      </c>
    </row>
    <row r="60" spans="1:53" ht="24.75" customHeight="1" x14ac:dyDescent="0.25">
      <c r="A60" s="1" t="s">
        <v>128</v>
      </c>
      <c r="B60" s="2" cm="1">
        <f t="array" ref="B60">计算得分(INDEX([1]Sheet1!$W:$W, MATCH(A60, [1]Sheet1!$B:$B,0)), 固定数据!B57, 固定数据!C57, 0.5, 0,-10, 0)</f>
        <v>0</v>
      </c>
      <c r="C60" s="2" cm="1">
        <f t="array" ref="C60">计算得分(INDEX([1]Sheet1!$X:$X, MATCH(A60, [1]Sheet1!$B:$B,0)), 固定数据!D57, 固定数据!E57, 1, 0,-10, 0)</f>
        <v>0</v>
      </c>
      <c r="D60" s="2" cm="1">
        <f t="array" ref="D60">计算得分(INDEX([1]Sheet1!$Y:$Y, MATCH(A60, [1]Sheet1!$B:$B,0)), 固定数据!F57, 固定数据!G57, 2, 0,-10, 0)</f>
        <v>0</v>
      </c>
      <c r="E60" s="6" t="str" cm="1">
        <f t="array" ref="E60">计算得分(INDEX([1]Sheet1!$C:$C, MATCH(A60, [1]Sheet1!$B:$B,0)), 固定数据!H57, 固定数据!I57, 0.02, 10,0, 1)</f>
        <v>--</v>
      </c>
      <c r="F60" s="2" t="str" cm="1">
        <f t="array" ref="F60">计算得分(INDEX([1]Sheet1!$D:$D, MATCH(A60, [1]Sheet1!$B:$B,0)), 固定数据!J57, 固定数据!K57, 0, 0,0, 0)</f>
        <v>--</v>
      </c>
      <c r="G60" s="2" cm="1">
        <f t="array" ref="G60">计算得分(INDEX([1]Sheet1!$E:$E, MATCH(A60, [1]Sheet1!$B:$B,0)), 固定数据!L57, 固定数据!M57,  0.3, 3,0, 5)</f>
        <v>35005.839999999997</v>
      </c>
      <c r="H60" s="2" cm="1">
        <f t="array" ref="H60">计算得分(INDEX([1]Sheet1!$AG:$AG, MATCH(A60, [1]Sheet1!$B:$B,0)), 固定数据!N57, 固定数据!O57, 0.03, 3,0, 3)</f>
        <v>62</v>
      </c>
      <c r="I60" s="2" cm="1">
        <f t="array" ref="I60">计算得分(INDEX([1]Sheet1!$V:$V, MATCH(A60, [1]Sheet1!$B:$B,0)), 固定数据!P57, 固定数据!Q57, 1, 0,-100, 0)</f>
        <v>0</v>
      </c>
      <c r="J60" s="2" t="str" cm="1">
        <f t="array" ref="J60">计算得分(INDEX([1]Sheet1!$AI:$AI, MATCH(A60, [1]Sheet1!$B:$B,0)), 固定数据!R57, 固定数据!S57, 0.04, 12,0, 3)</f>
        <v>--</v>
      </c>
      <c r="K60" s="2" cm="1">
        <f t="array" ref="K60">计算得分(INDEX([1]Sheet1!$F:$F, MATCH(A60, [1]Sheet1!$B:$B,0)), 固定数据!T57, 固定数据!U57, 0.02, 3,0, 1)</f>
        <v>60.29</v>
      </c>
      <c r="L60" s="2" t="str" cm="1">
        <f t="array" ref="L60">计算得分(INDEX([1]Sheet1!$U:$U, MATCH(A60, [1]Sheet1!$B:$B,0)), 固定数据!V57, 固定数据!W57, 0.2, 20,0, 0)</f>
        <v>--</v>
      </c>
      <c r="M60" s="2" t="str" cm="1">
        <f t="array" ref="M60">计算得分(100, 固定数据!X57, 固定数据!Y57, 0, 5,0, 0)</f>
        <v>--</v>
      </c>
      <c r="N60" s="2" t="str" cm="1">
        <f t="array" ref="N60">计算得分(100, 固定数据!Z57, 固定数据!AA57, 0, 5,0, 0)</f>
        <v>--</v>
      </c>
      <c r="O60" s="2" t="str" cm="1">
        <f t="array" ref="O60">计算得分(100, 固定数据!AB57, 固定数据!AC57, 0, 7,0, 0)</f>
        <v>--</v>
      </c>
      <c r="P60" s="2" t="str" cm="1">
        <f t="array" ref="P60">计算得分(INDEX([1]Sheet1!$P:$P, MATCH(A60, [1]Sheet1!$B:$B,0)), 固定数据!AD57, 固定数据!AE57, 0.2, 7,0, 0)</f>
        <v>--</v>
      </c>
      <c r="Q60" s="2" cm="1">
        <f t="array" ref="Q60">计算得分(INDEX([1]Sheet1!$I:$I, MATCH(A60, [1]Sheet1!$B:$B,0)), 固定数据!AF57, 固定数据!AG57,0.2, IF(固定数据!AF57&lt;&gt;"--",固定数据!AF57,0),0, 5)</f>
        <v>593.1</v>
      </c>
      <c r="R60" s="2" cm="1">
        <f t="array" ref="R60">计算得分(INDEX([2]Sheet1!$AL:$AL, MATCH(A60, [2]Sheet1!$A:$A,0)), 固定数据!AH57, 固定数据!AI57, 0.02, 6,0, 1)</f>
        <v>222</v>
      </c>
      <c r="S60" s="2" cm="1">
        <f t="array" ref="S60">计算得分(INDEX([2]Sheet1!$I:$I, MATCH(A60, [2]Sheet1!$A:$A,0)), 固定数据!AJ57, 固定数据!AK57, 0.005, 6,0, 1)</f>
        <v>354</v>
      </c>
      <c r="T60" s="2" cm="1">
        <f t="array" ref="T60">计算得分(98, 固定数据!AL57, 固定数据!AM57, 0.03, IF(固定数据!AL57&lt;&gt;"--",固定数据!AL57,0),0, 3)</f>
        <v>98</v>
      </c>
      <c r="U60" s="2" cm="1">
        <f t="array" ref="U60">计算得分(INDEX([1]Sheet1!$G:$G, MATCH(A60, [1]Sheet1!$B:$B,0)), 固定数据!AN57, 固定数据!AO57, 0.5, 3,0, 0)</f>
        <v>4.62</v>
      </c>
      <c r="V60" s="2" cm="1">
        <f t="array" ref="V60">计算得分(INDEX([1]Sheet1!$H:$H, MATCH(A60, [1]Sheet1!$B:$B,0)), 固定数据!AP57, 固定数据!AQ57, 0.4, 5,0, 1)</f>
        <v>4.72</v>
      </c>
      <c r="W60" s="2" cm="1">
        <f t="array" ref="W60">计算得分(INDEX([1]Sheet1!$J:$J, MATCH(A60, [1]Sheet1!$B:$B,0)), 固定数据!AR57, 固定数据!AS57, 0.2, 2,0, 4)</f>
        <v>593.1</v>
      </c>
      <c r="X60" s="2" cm="1">
        <f t="array" ref="X60">计算得分(INDEX([1]Sheet1!$K:$K, MATCH(A60, [1]Sheet1!$B:$B,0)), 固定数据!AT57, 固定数据!AU57, 0.2, 1.5,0, 4)</f>
        <v>7648.74</v>
      </c>
      <c r="Y60" s="2" cm="1">
        <f t="array" ref="Y60">计算得分(INDEX([1]Sheet1!$AA:$AA, MATCH(A60, [1]Sheet1!$B:$B,0)), 固定数据!AV57, 固定数据!AW57, 0.05, IF(固定数据!AV57&lt;&gt;"--",固定数据!AV57,0),0, 3)</f>
        <v>90</v>
      </c>
      <c r="Z60" s="2" cm="1">
        <f t="array" ref="Z60">计算得分(INDEX([1]Sheet1!$AB:$AB, MATCH(A60, [1]Sheet1!$B:$B,0)), 固定数据!AX57, 固定数据!AY57, 0.05, IF(固定数据!AX57&lt;&gt;"--",固定数据!AX57,0),0, 3)</f>
        <v>95</v>
      </c>
      <c r="AA60" s="2" cm="1">
        <f t="array" ref="AA60">计算得分(INDEX([1]Sheet1!$AC:$AC, MATCH(A60, [1]Sheet1!$B:$B,0)), 固定数据!AZ57, 固定数据!BA57, 0.04, IF(固定数据!AZ57&lt;&gt;"--",固定数据!AZ57,0),0, 3)</f>
        <v>100</v>
      </c>
      <c r="AB60" s="2" cm="1">
        <f t="array" ref="AB60">计算得分(INDEX([1]Sheet1!$AD:$AD, MATCH(A60, [1]Sheet1!$B:$B,0)), 固定数据!BB57, 固定数据!BC57, 0.03, IF(固定数据!BB57&lt;&gt;"--",固定数据!BB57,0),0, 3)</f>
        <v>97.7</v>
      </c>
      <c r="AC60" s="2" cm="1">
        <f t="array" ref="AC60">计算得分(INDEX([1]Sheet1!$AE:$AE, MATCH(A60, [1]Sheet1!$B:$B,0)), 固定数据!BD57, 固定数据!BE57, 0.04, IF(固定数据!BD57&lt;&gt;"--",固定数据!BD57,0),0, 3)</f>
        <v>96.13</v>
      </c>
      <c r="AD60" s="2" cm="1">
        <f t="array" ref="AD60">计算得分(INDEX([1]Sheet1!$L:$L, MATCH(A60, [1]Sheet1!$B:$B,0)), 固定数据!BF57, 固定数据!BG57, 0.1, 12.5,0, 3)</f>
        <v>3494.93</v>
      </c>
      <c r="AE60" s="2" cm="1">
        <f t="array" ref="AE60">计算得分(INDEX([1]Sheet1!$N:$N, MATCH(A60, [1]Sheet1!$B:$B,0)), 固定数据!BH57, 固定数据!BI57, 0.2, 7,0, 0)</f>
        <v>8.5299999999999994</v>
      </c>
      <c r="AF60" s="2" cm="1">
        <f t="array" ref="AF60">计算得分(INDEX([1]Sheet1!$Q:$Q, MATCH(A60, [1]Sheet1!$B:$B,0)), 固定数据!BJ57, 固定数据!BK57, 0.2, 7,0, 0)</f>
        <v>39.97</v>
      </c>
      <c r="AG60" s="2" cm="1">
        <f t="array" ref="AG60">计算得分(INDEX([1]Sheet1!$S:$S, MATCH(A60, [1]Sheet1!$B:$B,0)), 固定数据!BL57, 固定数据!BM57, 0.2, 20,0, 0)</f>
        <v>75.59</v>
      </c>
      <c r="AH60" s="6" t="str" cm="1">
        <f t="array" ref="AH60">计算得分(INDEX([1]Sheet1!$AF:$AF, MATCH(A60, [1]Sheet1!$B:$B,0)), 固定数据!BN57, 固定数据!BO57, 0.1, 10,0, 3)</f>
        <v>--</v>
      </c>
      <c r="AI60" s="2" t="str" cm="1">
        <f t="array" ref="AI60">计算得分(INDEX([1]Sheet1!$M:$M, MATCH(A60, [1]Sheet1!$B:$B,0)), 固定数据!BP57, 固定数据!BQ57, 0.2, 20,0, 3)</f>
        <v>--</v>
      </c>
      <c r="AJ60" s="2" cm="1">
        <f t="array" ref="AJ60">计算得分(INDEX([1]Sheet1!$Z:$Z, MATCH(A60, [1]Sheet1!$B:$B,0)), 固定数据!BR57, 固定数据!BS57, 10, 50,0, 0)</f>
        <v>0</v>
      </c>
      <c r="AK60" s="2" t="str" cm="1">
        <f t="array" ref="AK60">计算得分(INDEX([1]Sheet1!$O:$O, MATCH(A60, [1]Sheet1!$B:$B,0)), 固定数据!BT57, 固定数据!BU57, 0.2, 15,0, 0)</f>
        <v>--</v>
      </c>
      <c r="AL60" s="2" t="str" cm="1">
        <f t="array" ref="AL60">计算得分(INDEX([1]Sheet1!$R:$R, MATCH(A60, [1]Sheet1!$B:$B,0)), 固定数据!BV57, 固定数据!BW57, 0.2, 10,0, 0)</f>
        <v>--</v>
      </c>
      <c r="AM60" s="2" t="str" cm="1">
        <f t="array" ref="AM60">计算得分(INDEX([1]Sheet1!$T:$T, MATCH(A60, [1]Sheet1!$B:$B,0)), 固定数据!BX57, 固定数据!BY57, 0.2, 20,0, 0)</f>
        <v>--</v>
      </c>
      <c r="AN60" s="2" t="str" cm="1">
        <f t="array" ref="AN60">计算得分([3]Sheet1!$F$3, 固定数据!BZ57, 固定数据!CA57, 0.5, 15,0, 0)</f>
        <v>--</v>
      </c>
      <c r="AO60" s="6" t="str" cm="1">
        <f t="array" ref="AO60">计算得分([3]Sheet1!$G$3, 固定数据!CB57, 固定数据!CC57, 0.01, 5,0, 1)</f>
        <v>--</v>
      </c>
      <c r="AP60" s="6" t="str" cm="1">
        <f t="array" ref="AP60">计算得分([3]Sheet1!$H$3, 固定数据!CD57, 固定数据!CE57, 0.001, 5,0, 1)</f>
        <v>--</v>
      </c>
      <c r="AQ60" s="6" t="str" cm="1">
        <f t="array" ref="AQ60">计算得分([3]Sheet1!$D$3,固定数据!CF57,固定数据!CG57,0.05,5,0,3)</f>
        <v>--</v>
      </c>
      <c r="AR60" s="6" t="str" cm="1">
        <f t="array" ref="AR60">计算得分([3]Sheet1!$E$3,固定数据!CH57,固定数据!CI57,0.1,10,0,3)</f>
        <v>--</v>
      </c>
      <c r="AS60" s="7" t="s">
        <v>74</v>
      </c>
      <c r="AT60" s="6" t="str" cm="1">
        <f t="array" ref="AT60">计算得分(INDEX([3]Sheet1!$J:$J, MATCH(A60, [3]Sheet1!$B:$B,0)), 固定数据!CL57, 固定数据!CM57, 2, 0,-10, 0)</f>
        <v>--</v>
      </c>
      <c r="AU60" s="2" t="str" cm="1">
        <f t="array" ref="AU60">计算得分(INDEX([3]Sheet1!$K:$K, MATCH(A60, [3]Sheet1!$B:$B,0)), 固定数据!CN57, 固定数据!CO57, 3, 0,-10, 0)</f>
        <v>--</v>
      </c>
      <c r="AV60" s="2" t="str" cm="1">
        <f t="array" ref="AV60">计算得分(INDEX([3]Sheet1!$L:$L, MATCH(A60, [3]Sheet1!$B:$B,0)), 固定数据!CP57, 固定数据!CQ57, 3, 0,-10, 0)</f>
        <v>--</v>
      </c>
      <c r="AW60" s="2" t="str" cm="1">
        <f t="array" ref="AW60">计算得分(INDEX([3]Sheet1!$M:$M, MATCH(A60, [3]Sheet1!$B:$B,0)), 固定数据!CR57, 固定数据!CS57, 100, 0,-100, 0)</f>
        <v>--</v>
      </c>
      <c r="AX60" s="2" t="str" cm="1">
        <f t="array" ref="AX60">计算得分(INDEX([3]Sheet1!$N:$N, MATCH(A60, [3]Sheet1!$B:$B,0)), 固定数据!CT57, 固定数据!CU57, 3, 0,-10, 0)</f>
        <v>--</v>
      </c>
      <c r="AY60" s="7" t="s">
        <v>74</v>
      </c>
      <c r="AZ60" s="7" t="s">
        <v>74</v>
      </c>
      <c r="BA60" s="2" t="str">
        <f>IFERROR(VLOOKUP(A60,[4]KPI评分!B:C,2,FALSE)*60%,"--")</f>
        <v>--</v>
      </c>
    </row>
    <row r="61" spans="1:53" ht="24.75" customHeight="1" x14ac:dyDescent="0.25">
      <c r="A61" s="3" t="s">
        <v>129</v>
      </c>
      <c r="B61" s="4" t="str" cm="1">
        <f t="array" ref="B61">计算得分(INDEX([1]Sheet1!$W:$W, MATCH(A61, [1]Sheet1!$B:$B,0)), 固定数据!B58, 固定数据!C58, 0.5, 0,-10, 0)</f>
        <v>--</v>
      </c>
      <c r="C61" s="4" t="str" cm="1">
        <f t="array" ref="C61">计算得分(INDEX([1]Sheet1!$X:$X, MATCH(A61, [1]Sheet1!$B:$B,0)), 固定数据!D58, 固定数据!E58, 1, 0,-10, 0)</f>
        <v>--</v>
      </c>
      <c r="D61" s="4" t="str" cm="1">
        <f t="array" ref="D61">计算得分(INDEX([1]Sheet1!$Y:$Y, MATCH(A61, [1]Sheet1!$B:$B,0)), 固定数据!F58, 固定数据!G58, 2, 0,-10, 0)</f>
        <v>--</v>
      </c>
      <c r="E61" s="4" t="str" cm="1">
        <f t="array" ref="E61">计算得分(INDEX([1]Sheet1!$C:$C, MATCH(A61, [1]Sheet1!$B:$B,0)), 固定数据!H58, 固定数据!I58, 0.02, 10,0, 1)</f>
        <v>--</v>
      </c>
      <c r="F61" s="4" t="str" cm="1">
        <f t="array" ref="F61">计算得分(INDEX([1]Sheet1!$D:$D, MATCH(A61, [1]Sheet1!$B:$B,0)), 固定数据!J58, 固定数据!K58, 0, 0,0, 0)</f>
        <v>--</v>
      </c>
      <c r="G61" s="4" t="str" cm="1">
        <f t="array" ref="G61">计算得分(INDEX([1]Sheet1!$E:$E, MATCH(A61, [1]Sheet1!$B:$B,0)), 固定数据!L58, 固定数据!M58, 0.3, 3,0, 5)</f>
        <v>--</v>
      </c>
      <c r="H61" s="4" t="str" cm="1">
        <f t="array" ref="H61">计算得分(INDEX([1]Sheet1!$AG:$AG, MATCH(A61, [1]Sheet1!$B:$B,0)), 固定数据!N58, 固定数据!O58, 0.03, 3,0, 3)</f>
        <v>--</v>
      </c>
      <c r="I61" s="4" t="str" cm="1">
        <f t="array" ref="I61">计算得分(INDEX([1]Sheet1!$V:$V, MATCH(A61, [1]Sheet1!$B:$B,0)), 固定数据!P58, 固定数据!Q58, 1, 0,-100, 0)</f>
        <v>--</v>
      </c>
      <c r="J61" s="4" t="str" cm="1">
        <f t="array" ref="J61">计算得分(INDEX([1]Sheet1!$AI:$AI, MATCH(A61, [1]Sheet1!$B:$B,0)), 固定数据!R58, 固定数据!S58, 0.04, 12,0, 3)</f>
        <v>--</v>
      </c>
      <c r="K61" s="4" t="str" cm="1">
        <f t="array" ref="K61">计算得分(INDEX([1]Sheet1!$F:$F, MATCH(A61, [1]Sheet1!$B:$B,0)), 固定数据!T58, 固定数据!U58, 0.02, 3,0, 1)</f>
        <v>--</v>
      </c>
      <c r="L61" s="4" t="str" cm="1">
        <f t="array" ref="L61">计算得分(INDEX([1]Sheet1!$U:$U, MATCH(A61, [1]Sheet1!$B:$B,0)), 固定数据!V58, 固定数据!W58, 0.2, 20,0, 0)</f>
        <v>--</v>
      </c>
      <c r="M61" s="4" t="str" cm="1">
        <f t="array" ref="M61">计算得分(100, 固定数据!X58, 固定数据!Y58, 0, 5,0, 0)</f>
        <v>--</v>
      </c>
      <c r="N61" s="4" t="str" cm="1">
        <f t="array" ref="N61">计算得分(100, 固定数据!Z58, 固定数据!AA58, 0, 5,0, 0)</f>
        <v>--</v>
      </c>
      <c r="O61" s="4" t="str" cm="1">
        <f t="array" ref="O61">计算得分(100, 固定数据!AB58, 固定数据!AC58, 0, 7,0, 0)</f>
        <v>--</v>
      </c>
      <c r="P61" s="4" t="str" cm="1">
        <f t="array" ref="P61">计算得分(INDEX([1]Sheet1!$P:$P, MATCH(A61, [1]Sheet1!$B:$B,0)), 固定数据!AD58, 固定数据!AE58, 0.2, 7,0, 0)</f>
        <v>--</v>
      </c>
      <c r="Q61" s="4" t="str" cm="1">
        <f t="array" ref="Q61">计算得分(INDEX([1]Sheet1!$I:$I, MATCH(A61, [1]Sheet1!$B:$B,0)), 固定数据!AF58, 固定数据!AG58,0.2, IF(固定数据!AF58&lt;&gt;"--",固定数据!AF58,0),2, 5)</f>
        <v>--</v>
      </c>
      <c r="R61" s="4" t="str" cm="1">
        <f t="array" ref="R61">计算得分(INDEX([2]Sheet1!$AL:$AL, MATCH(A61, [2]Sheet1!$A:$A,0)), 固定数据!AH58, 固定数据!AI58, 0.02, 6,6, 1)</f>
        <v>--</v>
      </c>
      <c r="S61" s="4" t="str" cm="1">
        <f t="array" ref="S61">计算得分(INDEX([2]Sheet1!$I:$I, MATCH(A61, [2]Sheet1!$A:$A,0)), 固定数据!AJ58, 固定数据!AK58, 0.005, 6,0, 1)</f>
        <v>--</v>
      </c>
      <c r="T61" s="4" t="str" cm="1">
        <f t="array" ref="T61">计算得分(98, 固定数据!AL58, 固定数据!AM58, 0.03, IF(固定数据!AL58&lt;&gt;"--",固定数据!AL58,0),0, 3)</f>
        <v>--</v>
      </c>
      <c r="U61" s="4" t="str" cm="1">
        <f t="array" ref="U61">计算得分(INDEX([1]Sheet1!$G:$G, MATCH(A61, [1]Sheet1!$B:$B,0)), 固定数据!AN58, 固定数据!AO58, 0.5, 3,0, 0)</f>
        <v>--</v>
      </c>
      <c r="V61" s="4" t="str" cm="1">
        <f t="array" ref="V61">计算得分(INDEX([1]Sheet1!$H:$H, MATCH(A61, [1]Sheet1!$B:$B,0)), 固定数据!AP58, 固定数据!AQ58, 0.4, 5,0, 1)</f>
        <v>--</v>
      </c>
      <c r="W61" s="4" t="str" cm="1">
        <f t="array" ref="W61">计算得分(INDEX([1]Sheet1!$J:$J, MATCH(A61, [1]Sheet1!$B:$B,0)), 固定数据!AR58, 固定数据!AS58, 0.2, 2,2, 4)</f>
        <v>--</v>
      </c>
      <c r="X61" s="4" t="str" cm="1">
        <f t="array" ref="X61">计算得分(INDEX([1]Sheet1!$K:$K, MATCH(A61, [1]Sheet1!$B:$B,0)), 固定数据!AT58, 固定数据!AU58, 0.2, 1.5,1.5, 4)</f>
        <v>--</v>
      </c>
      <c r="Y61" s="4" t="str" cm="1">
        <f t="array" ref="Y61">计算得分(INDEX([1]Sheet1!$AA:$AA, MATCH(A61, [1]Sheet1!$B:$B,0)), 固定数据!AV58, 固定数据!AW58, 0.05, IF(固定数据!AV58&lt;&gt;"--",固定数据!AV58,0),0, 3)</f>
        <v>--</v>
      </c>
      <c r="Z61" s="4" t="str" cm="1">
        <f t="array" ref="Z61">计算得分(INDEX([1]Sheet1!$AB:$AB, MATCH(A61, [1]Sheet1!$B:$B,0)), 固定数据!AX58, 固定数据!AY58, 0.05, IF(固定数据!AX58&lt;&gt;"--",固定数据!AX58,0),0, 3)</f>
        <v>--</v>
      </c>
      <c r="AA61" s="4" t="str" cm="1">
        <f t="array" ref="AA61">计算得分(INDEX([1]Sheet1!$AC:$AC, MATCH(A61, [1]Sheet1!$B:$B,0)), 固定数据!AZ58, 固定数据!BA58, 0.04, IF(固定数据!AZ58&lt;&gt;"--",固定数据!AZ58,0),0, 3)</f>
        <v>--</v>
      </c>
      <c r="AB61" s="4" t="str" cm="1">
        <f t="array" ref="AB61">计算得分(INDEX([1]Sheet1!$AD:$AD, MATCH(A61, [1]Sheet1!$B:$B,0)), 固定数据!BB58, 固定数据!BC58, 0.03, IF(固定数据!BB58&lt;&gt;"--",固定数据!BB58,0),0, 3)</f>
        <v>--</v>
      </c>
      <c r="AC61" s="4" t="str" cm="1">
        <f t="array" ref="AC61">计算得分(INDEX([1]Sheet1!$AE:$AE, MATCH(A61, [1]Sheet1!$B:$B,0)), 固定数据!BD58, 固定数据!BE58, 0.04, IF(固定数据!BD58&lt;&gt;"--",固定数据!BD58,0),0, 3)</f>
        <v>--</v>
      </c>
      <c r="AD61" s="4" t="str" cm="1">
        <f t="array" ref="AD61">计算得分(INDEX([1]Sheet1!$L:$L, MATCH(A61, [1]Sheet1!$B:$B,0)), 固定数据!BF58, 固定数据!BG58, 0.1, 12.5,0, 3)</f>
        <v>--</v>
      </c>
      <c r="AE61" s="4" t="str" cm="1">
        <f t="array" ref="AE61">计算得分(INDEX([1]Sheet1!$N:$N, MATCH(A61, [1]Sheet1!$B:$B,0)), 固定数据!BH58, 固定数据!BI58, 0.2, 7,0, 0)</f>
        <v>--</v>
      </c>
      <c r="AF61" s="4" t="str" cm="1">
        <f t="array" ref="AF61">计算得分(INDEX([1]Sheet1!$Q:$Q, MATCH(A61, [1]Sheet1!$B:$B,0)), 固定数据!BJ58, 固定数据!BK58, 0.2, 7,0, 0)</f>
        <v>--</v>
      </c>
      <c r="AG61" s="4" t="str" cm="1">
        <f t="array" ref="AG61">计算得分(INDEX([1]Sheet1!$S:$S, MATCH(A61, [1]Sheet1!$B:$B,0)), 固定数据!BL58, 固定数据!BM58, 0.2, 20,0, 0)</f>
        <v>--</v>
      </c>
      <c r="AH61" s="4" t="str" cm="1">
        <f t="array" ref="AH61">计算得分(INDEX([1]Sheet1!$AF:$AF, MATCH(A61, [1]Sheet1!$B:$B,0)), 固定数据!BN58, 固定数据!BO58, 0.1, 10,0, 3)</f>
        <v>--</v>
      </c>
      <c r="AI61" s="4" t="str" cm="1">
        <f t="array" ref="AI61">计算得分(INDEX([1]Sheet1!$M:$M, MATCH(A61, [1]Sheet1!$B:$B,0)), 固定数据!BP58, 固定数据!BQ58, 0.2, 20,0, 3)</f>
        <v>--</v>
      </c>
      <c r="AJ61" s="4" t="str" cm="1">
        <f t="array" ref="AJ61">计算得分(INDEX([1]Sheet1!$Z:$Z, MATCH(A61, [1]Sheet1!$B:$B,0)), 固定数据!BR58, 固定数据!BS58, 10, 50,0, 0)</f>
        <v>--</v>
      </c>
      <c r="AK61" s="4" t="str" cm="1">
        <f t="array" ref="AK61">计算得分(INDEX([1]Sheet1!$O:$O, MATCH(A61, [1]Sheet1!$B:$B,0)), 固定数据!BT58, 固定数据!BU58, 0.2, 15,0, 0)</f>
        <v>--</v>
      </c>
      <c r="AL61" s="4" t="str" cm="1">
        <f t="array" ref="AL61">计算得分(INDEX([1]Sheet1!$R:$R, MATCH(A61, [1]Sheet1!$B:$B,0)), 固定数据!BV58, 固定数据!BW58, 0.2, 10,0, 0)</f>
        <v>--</v>
      </c>
      <c r="AM61" s="4" t="str" cm="1">
        <f t="array" ref="AM61">计算得分(INDEX([1]Sheet1!$T:$T, MATCH(A61, [1]Sheet1!$B:$B,0)), 固定数据!BX58, 固定数据!BY58, 0.2, 20,0, 0)</f>
        <v>--</v>
      </c>
      <c r="AN61" s="4" cm="1">
        <f t="array" ref="AN61">计算得分([3]Sheet1!$F$3, 固定数据!BZ58, 固定数据!CA58, 0.5, 15,0, 0)</f>
        <v>104.4</v>
      </c>
      <c r="AO61" s="4" cm="1">
        <f t="array" ref="AO61">计算得分([3]Sheet1!$G$3, 固定数据!CB58, 固定数据!CC58, 0.01, 5,0, 1)</f>
        <v>3675</v>
      </c>
      <c r="AP61" s="4" cm="1">
        <f t="array" ref="AP61">计算得分([3]Sheet1!$H$3, 固定数据!CD58, 固定数据!CE58, 0.001, 5,0, 1)</f>
        <v>18357</v>
      </c>
      <c r="AQ61" s="4" cm="1">
        <f t="array" ref="AQ61">计算得分([3]Sheet1!$D$3,固定数据!CF58,固定数据!CG58,0.05,5,0,3)</f>
        <v>186.8</v>
      </c>
      <c r="AR61" s="4" cm="1">
        <f t="array" ref="AR61">计算得分([3]Sheet1!$E$3,固定数据!CH58,固定数据!CI58,0.1,10,0,3)</f>
        <v>7574.53</v>
      </c>
      <c r="AS61" s="8" t="s">
        <v>74</v>
      </c>
      <c r="AT61" s="4" cm="1">
        <f t="array" ref="AT61">计算得分(INDEX([3]Sheet1!$J:$J, MATCH(A61, [3]Sheet1!$B:$B,0)), 固定数据!CL58, 固定数据!CM58, 2, 0,-10, 0)</f>
        <v>100</v>
      </c>
      <c r="AU61" s="4" cm="1">
        <f t="array" ref="AU61">计算得分(INDEX([3]Sheet1!$K:$K, MATCH(A61, [3]Sheet1!$B:$B,0)), 固定数据!CN58, 固定数据!CO58, 3, 0,-10, 0)</f>
        <v>100</v>
      </c>
      <c r="AV61" s="4" cm="1">
        <f t="array" ref="AV61">计算得分(INDEX([3]Sheet1!$L:$L, MATCH(A61, [3]Sheet1!$B:$B,0)), 固定数据!CP58, 固定数据!CQ58, 3, 0,-10, 0)</f>
        <v>100</v>
      </c>
      <c r="AW61" s="4" cm="1">
        <f t="array" ref="AW61">计算得分(INDEX([3]Sheet1!$M:$M, MATCH(A61, [3]Sheet1!$B:$B,0)), 固定数据!CR58, 固定数据!CS58, 100, 0,-100, 0)</f>
        <v>100</v>
      </c>
      <c r="AX61" s="4" cm="1">
        <f t="array" ref="AX61">计算得分(INDEX([3]Sheet1!$N:$N, MATCH(A61, [3]Sheet1!$B:$B,0)), 固定数据!CT58, 固定数据!CU58, 3, 0,-10, 0)</f>
        <v>100</v>
      </c>
      <c r="AY61" s="8" t="s">
        <v>74</v>
      </c>
      <c r="AZ61" s="8" t="s">
        <v>74</v>
      </c>
      <c r="BA61" s="4">
        <f>IFERROR(VLOOKUP(A61,[4]KPI评分!B:C,2,FALSE)*60%,"--")</f>
        <v>57.48</v>
      </c>
    </row>
    <row r="62" spans="1:53" ht="24.75" customHeight="1" x14ac:dyDescent="0.25">
      <c r="A62" s="1" t="s">
        <v>130</v>
      </c>
      <c r="B62" s="2" t="str" cm="1">
        <f t="array" ref="B62">计算得分(INDEX([1]Sheet1!$W:$W, MATCH(A62, [1]Sheet1!$B:$B,0)), 固定数据!B59, 固定数据!C59, 0.5, 0,-10, 0)</f>
        <v>--</v>
      </c>
      <c r="C62" s="2" t="str" cm="1">
        <f t="array" ref="C62">计算得分(INDEX([1]Sheet1!$X:$X, MATCH(A62, [1]Sheet1!$B:$B,0)), 固定数据!D59, 固定数据!E59, 1, 0,-10, 0)</f>
        <v>--</v>
      </c>
      <c r="D62" s="2" t="str" cm="1">
        <f t="array" ref="D62">计算得分(INDEX([1]Sheet1!$Y:$Y, MATCH(A62, [1]Sheet1!$B:$B,0)), 固定数据!F59, 固定数据!G59, 2, 0,-10, 0)</f>
        <v>--</v>
      </c>
      <c r="E62" s="6" t="str" cm="1">
        <f t="array" ref="E62">计算得分(INDEX([1]Sheet1!$C:$C, MATCH(A62, [1]Sheet1!$B:$B,0)), 固定数据!H59, 固定数据!I59, 0.02, 10,0, 1)</f>
        <v>--</v>
      </c>
      <c r="F62" s="2" t="str" cm="1">
        <f t="array" ref="F62">计算得分(INDEX([1]Sheet1!$D:$D, MATCH(A62, [1]Sheet1!$B:$B,0)), 固定数据!J59, 固定数据!K59, 0, 0,0, 0)</f>
        <v>--</v>
      </c>
      <c r="G62" s="2" t="str" cm="1">
        <f t="array" ref="G62">计算得分(INDEX([1]Sheet1!$E:$E, MATCH(A62, [1]Sheet1!$B:$B,0)), 固定数据!L59, 固定数据!M59,  0.3, 3,0, 5)</f>
        <v>--</v>
      </c>
      <c r="H62" s="2" t="str" cm="1">
        <f t="array" ref="H62">计算得分(INDEX([1]Sheet1!$AG:$AG, MATCH(A62, [1]Sheet1!$B:$B,0)), 固定数据!N59, 固定数据!O59, 0.03, 3,0, 3)</f>
        <v>--</v>
      </c>
      <c r="I62" s="2" t="str" cm="1">
        <f t="array" ref="I62">计算得分(INDEX([1]Sheet1!$V:$V, MATCH(A62, [1]Sheet1!$B:$B,0)), 固定数据!P59, 固定数据!Q59, 1, 0,-100, 0)</f>
        <v>--</v>
      </c>
      <c r="J62" s="2" t="str" cm="1">
        <f t="array" ref="J62">计算得分(INDEX([1]Sheet1!$AI:$AI, MATCH(A62, [1]Sheet1!$B:$B,0)), 固定数据!R59, 固定数据!S59, 0.04, 12,0, 3)</f>
        <v>--</v>
      </c>
      <c r="K62" s="2" t="str" cm="1">
        <f t="array" ref="K62">计算得分(INDEX([1]Sheet1!$F:$F, MATCH(A62, [1]Sheet1!$B:$B,0)), 固定数据!T59, 固定数据!U59, 0.02, 3,0, 1)</f>
        <v>--</v>
      </c>
      <c r="L62" s="2" t="str" cm="1">
        <f t="array" ref="L62">计算得分(INDEX([1]Sheet1!$U:$U, MATCH(A62, [1]Sheet1!$B:$B,0)), 固定数据!V59, 固定数据!W59, 0.2, 20,0, 0)</f>
        <v>--</v>
      </c>
      <c r="M62" s="2" t="str" cm="1">
        <f t="array" ref="M62">计算得分(100, 固定数据!X59, 固定数据!Y59, 0, 5,0, 0)</f>
        <v>--</v>
      </c>
      <c r="N62" s="2" t="str" cm="1">
        <f t="array" ref="N62">计算得分(100, 固定数据!Z59, 固定数据!AA59, 0, 5,0, 0)</f>
        <v>--</v>
      </c>
      <c r="O62" s="2" t="str" cm="1">
        <f t="array" ref="O62">计算得分(100, 固定数据!AB59, 固定数据!AC59, 0, 7,0, 0)</f>
        <v>--</v>
      </c>
      <c r="P62" s="2" t="str" cm="1">
        <f t="array" ref="P62">计算得分(INDEX([1]Sheet1!$P:$P, MATCH(A62, [1]Sheet1!$B:$B,0)), 固定数据!AD59, 固定数据!AE59, 0.2, 7,0, 0)</f>
        <v>--</v>
      </c>
      <c r="Q62" s="2" t="str" cm="1">
        <f t="array" ref="Q62">计算得分(INDEX([1]Sheet1!$I:$I, MATCH(A62, [1]Sheet1!$B:$B,0)), 固定数据!AF59, 固定数据!AG59,0.2, IF(固定数据!AF59&lt;&gt;"--",固定数据!AF59,0),2, 5)</f>
        <v>--</v>
      </c>
      <c r="R62" s="2" t="str" cm="1">
        <f t="array" ref="R62">计算得分(INDEX([2]Sheet1!$AL:$AL, MATCH(A62, [2]Sheet1!$A:$A,0)), 固定数据!AH59, 固定数据!AI59, 0.02, 6,6, 1)</f>
        <v>--</v>
      </c>
      <c r="S62" s="2" t="str" cm="1">
        <f t="array" ref="S62">计算得分(INDEX([2]Sheet1!$I:$I, MATCH(A62, [2]Sheet1!$A:$A,0)), 固定数据!AJ59, 固定数据!AK59, 0.005, 6,0, 1)</f>
        <v>--</v>
      </c>
      <c r="T62" s="2" t="str" cm="1">
        <f t="array" ref="T62">计算得分(98, 固定数据!AL59, 固定数据!AM59, 0.03, IF(固定数据!AL59&lt;&gt;"--",固定数据!AL59,0),0, 3)</f>
        <v>--</v>
      </c>
      <c r="U62" s="2" t="str" cm="1">
        <f t="array" ref="U62">计算得分(INDEX([1]Sheet1!$G:$G, MATCH(A62, [1]Sheet1!$B:$B,0)), 固定数据!AN59, 固定数据!AO59, 0.5, 3,0, 0)</f>
        <v>--</v>
      </c>
      <c r="V62" s="2" t="str" cm="1">
        <f t="array" ref="V62">计算得分(INDEX([1]Sheet1!$H:$H, MATCH(A62, [1]Sheet1!$B:$B,0)), 固定数据!AP59, 固定数据!AQ59, 0.4, 5,0, 1)</f>
        <v>--</v>
      </c>
      <c r="W62" s="2" t="str" cm="1">
        <f t="array" ref="W62">计算得分(INDEX([1]Sheet1!$J:$J, MATCH(A62, [1]Sheet1!$B:$B,0)), 固定数据!AR59, 固定数据!AS59, 0.2, 2,2, 4)</f>
        <v>--</v>
      </c>
      <c r="X62" s="2" t="str" cm="1">
        <f t="array" ref="X62">计算得分(INDEX([1]Sheet1!$K:$K, MATCH(A62, [1]Sheet1!$B:$B,0)), 固定数据!AT59, 固定数据!AU59, 0.2, 1.5,1.5, 4)</f>
        <v>--</v>
      </c>
      <c r="Y62" s="2" t="str" cm="1">
        <f t="array" ref="Y62">计算得分(INDEX([1]Sheet1!$AA:$AA, MATCH(A62, [1]Sheet1!$B:$B,0)), 固定数据!AV59, 固定数据!AW59, 0.05, IF(固定数据!AV59&lt;&gt;"--",固定数据!AV59,0),0, 3)</f>
        <v>--</v>
      </c>
      <c r="Z62" s="2" t="str" cm="1">
        <f t="array" ref="Z62">计算得分(INDEX([1]Sheet1!$AB:$AB, MATCH(A62, [1]Sheet1!$B:$B,0)), 固定数据!AX59, 固定数据!AY59, 0.05, IF(固定数据!AX59&lt;&gt;"--",固定数据!AX59,0),0, 3)</f>
        <v>--</v>
      </c>
      <c r="AA62" s="2" t="str" cm="1">
        <f t="array" ref="AA62">计算得分(INDEX([1]Sheet1!$AC:$AC, MATCH(A62, [1]Sheet1!$B:$B,0)), 固定数据!AZ59, 固定数据!BA59, 0.04, IF(固定数据!AZ59&lt;&gt;"--",固定数据!AZ59,0),0, 3)</f>
        <v>--</v>
      </c>
      <c r="AB62" s="2" t="str" cm="1">
        <f t="array" ref="AB62">计算得分(INDEX([1]Sheet1!$AD:$AD, MATCH(A62, [1]Sheet1!$B:$B,0)), 固定数据!BB59, 固定数据!BC59, 0.03, IF(固定数据!BB59&lt;&gt;"--",固定数据!BB59,0),0, 3)</f>
        <v>--</v>
      </c>
      <c r="AC62" s="2" t="str" cm="1">
        <f t="array" ref="AC62">计算得分(INDEX([1]Sheet1!$AE:$AE, MATCH(A62, [1]Sheet1!$B:$B,0)), 固定数据!BD59, 固定数据!BE59, 0.04, IF(固定数据!BD59&lt;&gt;"--",固定数据!BD59,0),0, 3)</f>
        <v>--</v>
      </c>
      <c r="AD62" s="2" t="str" cm="1">
        <f t="array" ref="AD62">计算得分(INDEX([1]Sheet1!$L:$L, MATCH(A62, [1]Sheet1!$B:$B,0)), 固定数据!BF59, 固定数据!BG59, 0.1, 12.5,0, 3)</f>
        <v>--</v>
      </c>
      <c r="AE62" s="2" t="str" cm="1">
        <f t="array" ref="AE62">计算得分(INDEX([1]Sheet1!$N:$N, MATCH(A62, [1]Sheet1!$B:$B,0)), 固定数据!BH59, 固定数据!BI59, 0.2, 7,0, 0)</f>
        <v>--</v>
      </c>
      <c r="AF62" s="2" t="str" cm="1">
        <f t="array" ref="AF62">计算得分(INDEX([1]Sheet1!$Q:$Q, MATCH(A62, [1]Sheet1!$B:$B,0)), 固定数据!BJ59, 固定数据!BK59, 0.2, 7,0, 0)</f>
        <v>--</v>
      </c>
      <c r="AG62" s="2" t="str" cm="1">
        <f t="array" ref="AG62">计算得分(INDEX([1]Sheet1!$S:$S, MATCH(A62, [1]Sheet1!$B:$B,0)), 固定数据!BL59, 固定数据!BM59, 0.2, 20,0, 0)</f>
        <v>--</v>
      </c>
      <c r="AH62" s="6" t="str" cm="1">
        <f t="array" ref="AH62">计算得分(INDEX([1]Sheet1!$AF:$AF, MATCH(A62, [1]Sheet1!$B:$B,0)), 固定数据!BN59, 固定数据!BO59, 0.1, 10,0, 3)</f>
        <v>--</v>
      </c>
      <c r="AI62" s="2" t="str" cm="1">
        <f t="array" ref="AI62">计算得分(INDEX([1]Sheet1!$M:$M, MATCH(A62, [1]Sheet1!$B:$B,0)), 固定数据!BP59, 固定数据!BQ59, 0.2, 20,0, 3)</f>
        <v>--</v>
      </c>
      <c r="AJ62" s="2" t="str" cm="1">
        <f t="array" ref="AJ62">计算得分(INDEX([1]Sheet1!$Z:$Z, MATCH(A62, [1]Sheet1!$B:$B,0)), 固定数据!BR59, 固定数据!BS59, 10, 50,0, 0)</f>
        <v>--</v>
      </c>
      <c r="AK62" s="2" t="str" cm="1">
        <f t="array" ref="AK62">计算得分(INDEX([1]Sheet1!$O:$O, MATCH(A62, [1]Sheet1!$B:$B,0)), 固定数据!BT59, 固定数据!BU59, 0.2, 15,0, 0)</f>
        <v>--</v>
      </c>
      <c r="AL62" s="2" t="str" cm="1">
        <f t="array" ref="AL62">计算得分(INDEX([1]Sheet1!$R:$R, MATCH(A62, [1]Sheet1!$B:$B,0)), 固定数据!BV59, 固定数据!BW59, 0.2, 10,0, 0)</f>
        <v>--</v>
      </c>
      <c r="AM62" s="2" t="str" cm="1">
        <f t="array" ref="AM62">计算得分(INDEX([1]Sheet1!$T:$T, MATCH(A62, [1]Sheet1!$B:$B,0)), 固定数据!BX59, 固定数据!BY59, 0.2, 20,0, 0)</f>
        <v>--</v>
      </c>
      <c r="AN62" s="2" cm="1">
        <f t="array" ref="AN62">计算得分([3]Sheet1!$F$3, 固定数据!BZ59, 固定数据!CA59, 0.5, 15,0, 0)</f>
        <v>104.4</v>
      </c>
      <c r="AO62" s="6" cm="1">
        <f t="array" ref="AO62">计算得分([3]Sheet1!$G$3, 固定数据!CB59, 固定数据!CC59, 0.01, 5,0, 1)</f>
        <v>3675</v>
      </c>
      <c r="AP62" s="6" cm="1">
        <f t="array" ref="AP62">计算得分([3]Sheet1!$H$3, 固定数据!CD59, 固定数据!CE59, 0.001, 5,0, 1)</f>
        <v>18357</v>
      </c>
      <c r="AQ62" s="6" cm="1">
        <f t="array" ref="AQ62">计算得分([3]Sheet1!$D$3,固定数据!CF59,固定数据!CG59,0.05,5,0,3)</f>
        <v>186.8</v>
      </c>
      <c r="AR62" s="6" cm="1">
        <f t="array" ref="AR62">计算得分([3]Sheet1!$E$3,固定数据!CH59,固定数据!CI59,0.1,10,0,3)</f>
        <v>7574.53</v>
      </c>
      <c r="AS62" s="7" t="s">
        <v>74</v>
      </c>
      <c r="AT62" s="6" cm="1">
        <f t="array" ref="AT62">计算得分(INDEX([3]Sheet1!$J:$J, MATCH(A62, [3]Sheet1!$B:$B,0)), 固定数据!CL59, 固定数据!CM59, 2, 0,-10, 0)</f>
        <v>100</v>
      </c>
      <c r="AU62" s="2" cm="1">
        <f t="array" ref="AU62">计算得分(INDEX([3]Sheet1!$K:$K, MATCH(A62, [3]Sheet1!$B:$B,0)), 固定数据!CN59, 固定数据!CO59, 3, 0,-10, 0)</f>
        <v>100</v>
      </c>
      <c r="AV62" s="2" cm="1">
        <f t="array" ref="AV62">计算得分(INDEX([3]Sheet1!$L:$L, MATCH(A62, [3]Sheet1!$B:$B,0)), 固定数据!CP59, 固定数据!CQ59, 3, 0,-10, 0)</f>
        <v>100</v>
      </c>
      <c r="AW62" s="2" cm="1">
        <f t="array" ref="AW62">计算得分(INDEX([3]Sheet1!$M:$M, MATCH(A62, [3]Sheet1!$B:$B,0)), 固定数据!CR59, 固定数据!CS59, 100, 0,-100, 0)</f>
        <v>100</v>
      </c>
      <c r="AX62" s="2" cm="1">
        <f t="array" ref="AX62">计算得分(INDEX([3]Sheet1!$N:$N, MATCH(A62, [3]Sheet1!$B:$B,0)), 固定数据!CT59, 固定数据!CU59, 3, 0,-10, 0)</f>
        <v>100</v>
      </c>
      <c r="AY62" s="7" t="s">
        <v>74</v>
      </c>
      <c r="AZ62" s="7" t="s">
        <v>74</v>
      </c>
      <c r="BA62" s="2">
        <f>IFERROR(VLOOKUP(A62,[4]KPI评分!B:C,2,FALSE)*60%,"--")</f>
        <v>57.359999999999992</v>
      </c>
    </row>
    <row r="63" spans="1:53" ht="24.75" customHeight="1" x14ac:dyDescent="0.25">
      <c r="A63" s="3" t="s">
        <v>131</v>
      </c>
      <c r="B63" s="4" t="str" cm="1">
        <f t="array" ref="B63">计算得分(INDEX([1]Sheet1!$W:$W, MATCH(A63, [1]Sheet1!$B:$B,0)), 固定数据!B60, 固定数据!C60, 0.5, 0,-10, 0)</f>
        <v>--</v>
      </c>
      <c r="C63" s="4" t="str" cm="1">
        <f t="array" ref="C63">计算得分(INDEX([1]Sheet1!$X:$X, MATCH(A63, [1]Sheet1!$B:$B,0)), 固定数据!D60, 固定数据!E60, 1, 0,-10, 0)</f>
        <v>--</v>
      </c>
      <c r="D63" s="4" t="str" cm="1">
        <f t="array" ref="D63">计算得分(INDEX([1]Sheet1!$Y:$Y, MATCH(A63, [1]Sheet1!$B:$B,0)), 固定数据!F60, 固定数据!G60, 2, 0,-10, 0)</f>
        <v>--</v>
      </c>
      <c r="E63" s="4" t="str" cm="1">
        <f t="array" ref="E63">计算得分(INDEX([1]Sheet1!$C:$C, MATCH(A63, [1]Sheet1!$B:$B,0)), 固定数据!H60, 固定数据!I60, 0.02, 10,0, 1)</f>
        <v>--</v>
      </c>
      <c r="F63" s="4" t="str" cm="1">
        <f t="array" ref="F63">计算得分(INDEX([1]Sheet1!$D:$D, MATCH(A63, [1]Sheet1!$B:$B,0)), 固定数据!J60, 固定数据!K60, 0, 0,0, 0)</f>
        <v>--</v>
      </c>
      <c r="G63" s="4" t="str" cm="1">
        <f t="array" ref="G63">计算得分(INDEX([1]Sheet1!$E:$E, MATCH(A63, [1]Sheet1!$B:$B,0)), 固定数据!L60, 固定数据!M60, 0.3, 3,0, 5)</f>
        <v>--</v>
      </c>
      <c r="H63" s="4" t="str" cm="1">
        <f t="array" ref="H63">计算得分(INDEX([1]Sheet1!$AG:$AG, MATCH(A63, [1]Sheet1!$B:$B,0)), 固定数据!N60, 固定数据!O60, 0.03, 3,0, 3)</f>
        <v>--</v>
      </c>
      <c r="I63" s="4" t="str" cm="1">
        <f t="array" ref="I63">计算得分(INDEX([1]Sheet1!$V:$V, MATCH(A63, [1]Sheet1!$B:$B,0)), 固定数据!P60, 固定数据!Q60, 1, 0,-100, 0)</f>
        <v>--</v>
      </c>
      <c r="J63" s="4" t="str" cm="1">
        <f t="array" ref="J63">计算得分(INDEX([1]Sheet1!$AI:$AI, MATCH(A63, [1]Sheet1!$B:$B,0)), 固定数据!R60, 固定数据!S60, 0.04, 12,0, 3)</f>
        <v>--</v>
      </c>
      <c r="K63" s="4" t="str" cm="1">
        <f t="array" ref="K63">计算得分(INDEX([1]Sheet1!$F:$F, MATCH(A63, [1]Sheet1!$B:$B,0)), 固定数据!T60, 固定数据!U60, 0.02, 3,0, 1)</f>
        <v>--</v>
      </c>
      <c r="L63" s="4" t="str" cm="1">
        <f t="array" ref="L63">计算得分(INDEX([1]Sheet1!$U:$U, MATCH(A63, [1]Sheet1!$B:$B,0)), 固定数据!V60, 固定数据!W60, 0.2, 20,0, 0)</f>
        <v>--</v>
      </c>
      <c r="M63" s="4" t="str" cm="1">
        <f t="array" ref="M63">计算得分(100, 固定数据!X60, 固定数据!Y60, 0, 5,0, 0)</f>
        <v>--</v>
      </c>
      <c r="N63" s="4" t="str" cm="1">
        <f t="array" ref="N63">计算得分(100, 固定数据!Z60, 固定数据!AA60, 0, 5,0, 0)</f>
        <v>--</v>
      </c>
      <c r="O63" s="4" t="str" cm="1">
        <f t="array" ref="O63">计算得分(100, 固定数据!AB60, 固定数据!AC60, 0, 7,0, 0)</f>
        <v>--</v>
      </c>
      <c r="P63" s="4" t="str" cm="1">
        <f t="array" ref="P63">计算得分(INDEX([1]Sheet1!$P:$P, MATCH(A63, [1]Sheet1!$B:$B,0)), 固定数据!AD60, 固定数据!AE60, 0.2, 7,0, 0)</f>
        <v>--</v>
      </c>
      <c r="Q63" s="4" t="str" cm="1">
        <f t="array" ref="Q63">计算得分(INDEX([1]Sheet1!$I:$I, MATCH(A63, [1]Sheet1!$B:$B,0)), 固定数据!AF60, 固定数据!AG60,0.2, IF(固定数据!AF60&lt;&gt;"--",固定数据!AF60,0),2, 5)</f>
        <v>--</v>
      </c>
      <c r="R63" s="4" t="str" cm="1">
        <f t="array" ref="R63">计算得分(INDEX([2]Sheet1!$AL:$AL, MATCH(A63, [2]Sheet1!$A:$A,0)), 固定数据!AH60, 固定数据!AI60, 0.02, 6,6, 1)</f>
        <v>--</v>
      </c>
      <c r="S63" s="4" t="str" cm="1">
        <f t="array" ref="S63">计算得分(INDEX([2]Sheet1!$I:$I, MATCH(A63, [2]Sheet1!$A:$A,0)), 固定数据!AJ60, 固定数据!AK60, 0.005, 6,0, 1)</f>
        <v>--</v>
      </c>
      <c r="T63" s="4" t="str" cm="1">
        <f t="array" ref="T63">计算得分(98, 固定数据!AL60, 固定数据!AM60, 0.03, IF(固定数据!AL60&lt;&gt;"--",固定数据!AL60,0),0, 3)</f>
        <v>--</v>
      </c>
      <c r="U63" s="4" t="str" cm="1">
        <f t="array" ref="U63">计算得分(INDEX([1]Sheet1!$G:$G, MATCH(A63, [1]Sheet1!$B:$B,0)), 固定数据!AN60, 固定数据!AO60, 0.5, 3,0, 0)</f>
        <v>--</v>
      </c>
      <c r="V63" s="4" t="str" cm="1">
        <f t="array" ref="V63">计算得分(INDEX([1]Sheet1!$H:$H, MATCH(A63, [1]Sheet1!$B:$B,0)), 固定数据!AP60, 固定数据!AQ60, 0.4, 5,0, 1)</f>
        <v>--</v>
      </c>
      <c r="W63" s="4" t="str" cm="1">
        <f t="array" ref="W63">计算得分(INDEX([1]Sheet1!$J:$J, MATCH(A63, [1]Sheet1!$B:$B,0)), 固定数据!AR60, 固定数据!AS60, 0.2, 2,2, 4)</f>
        <v>--</v>
      </c>
      <c r="X63" s="4" t="str" cm="1">
        <f t="array" ref="X63">计算得分(INDEX([1]Sheet1!$K:$K, MATCH(A63, [1]Sheet1!$B:$B,0)), 固定数据!AT60, 固定数据!AU60, 0.2, 1.5,1.5, 4)</f>
        <v>--</v>
      </c>
      <c r="Y63" s="4" t="str" cm="1">
        <f t="array" ref="Y63">计算得分(INDEX([1]Sheet1!$AA:$AA, MATCH(A63, [1]Sheet1!$B:$B,0)), 固定数据!AV60, 固定数据!AW60, 0.05, IF(固定数据!AV60&lt;&gt;"--",固定数据!AV60,0),0, 3)</f>
        <v>--</v>
      </c>
      <c r="Z63" s="4" t="str" cm="1">
        <f t="array" ref="Z63">计算得分(INDEX([1]Sheet1!$AB:$AB, MATCH(A63, [1]Sheet1!$B:$B,0)), 固定数据!AX60, 固定数据!AY60, 0.05, IF(固定数据!AX60&lt;&gt;"--",固定数据!AX60,0),0, 3)</f>
        <v>--</v>
      </c>
      <c r="AA63" s="4" t="str" cm="1">
        <f t="array" ref="AA63">计算得分(INDEX([1]Sheet1!$AC:$AC, MATCH(A63, [1]Sheet1!$B:$B,0)), 固定数据!AZ60, 固定数据!BA60, 0.04, IF(固定数据!AZ60&lt;&gt;"--",固定数据!AZ60,0),0, 3)</f>
        <v>--</v>
      </c>
      <c r="AB63" s="4" t="str" cm="1">
        <f t="array" ref="AB63">计算得分(INDEX([1]Sheet1!$AD:$AD, MATCH(A63, [1]Sheet1!$B:$B,0)), 固定数据!BB60, 固定数据!BC60, 0.03, IF(固定数据!BB60&lt;&gt;"--",固定数据!BB60,0),0, 3)</f>
        <v>--</v>
      </c>
      <c r="AC63" s="4" t="str" cm="1">
        <f t="array" ref="AC63">计算得分(INDEX([1]Sheet1!$AE:$AE, MATCH(A63, [1]Sheet1!$B:$B,0)), 固定数据!BD60, 固定数据!BE60, 0.04, IF(固定数据!BD60&lt;&gt;"--",固定数据!BD60,0),0, 3)</f>
        <v>--</v>
      </c>
      <c r="AD63" s="4" t="str" cm="1">
        <f t="array" ref="AD63">计算得分(INDEX([1]Sheet1!$L:$L, MATCH(A63, [1]Sheet1!$B:$B,0)), 固定数据!BF60, 固定数据!BG60, 0.1, 12.5,0, 3)</f>
        <v>--</v>
      </c>
      <c r="AE63" s="4" t="str" cm="1">
        <f t="array" ref="AE63">计算得分(INDEX([1]Sheet1!$N:$N, MATCH(A63, [1]Sheet1!$B:$B,0)), 固定数据!BH60, 固定数据!BI60, 0.2, 7,0, 0)</f>
        <v>--</v>
      </c>
      <c r="AF63" s="4" t="str" cm="1">
        <f t="array" ref="AF63">计算得分(INDEX([1]Sheet1!$Q:$Q, MATCH(A63, [1]Sheet1!$B:$B,0)), 固定数据!BJ60, 固定数据!BK60, 0.2, 7,0, 0)</f>
        <v>--</v>
      </c>
      <c r="AG63" s="4" t="str" cm="1">
        <f t="array" ref="AG63">计算得分(INDEX([1]Sheet1!$S:$S, MATCH(A63, [1]Sheet1!$B:$B,0)), 固定数据!BL60, 固定数据!BM60, 0.2, 20,0, 0)</f>
        <v>--</v>
      </c>
      <c r="AH63" s="4" t="str" cm="1">
        <f t="array" ref="AH63">计算得分(INDEX([1]Sheet1!$AF:$AF, MATCH(A63, [1]Sheet1!$B:$B,0)), 固定数据!BN60, 固定数据!BO60, 0.1, 10,0, 3)</f>
        <v>--</v>
      </c>
      <c r="AI63" s="4" t="str" cm="1">
        <f t="array" ref="AI63">计算得分(INDEX([1]Sheet1!$M:$M, MATCH(A63, [1]Sheet1!$B:$B,0)), 固定数据!BP60, 固定数据!BQ60, 0.2, 20,0, 3)</f>
        <v>--</v>
      </c>
      <c r="AJ63" s="4" t="str" cm="1">
        <f t="array" ref="AJ63">计算得分(INDEX([1]Sheet1!$Z:$Z, MATCH(A63, [1]Sheet1!$B:$B,0)), 固定数据!BR60, 固定数据!BS60, 10, 50,0, 0)</f>
        <v>--</v>
      </c>
      <c r="AK63" s="4" t="str" cm="1">
        <f t="array" ref="AK63">计算得分(INDEX([1]Sheet1!$O:$O, MATCH(A63, [1]Sheet1!$B:$B,0)), 固定数据!BT60, 固定数据!BU60, 0.2, 15,0, 0)</f>
        <v>--</v>
      </c>
      <c r="AL63" s="4" t="str" cm="1">
        <f t="array" ref="AL63">计算得分(INDEX([1]Sheet1!$R:$R, MATCH(A63, [1]Sheet1!$B:$B,0)), 固定数据!BV60, 固定数据!BW60, 0.2, 10,0, 0)</f>
        <v>--</v>
      </c>
      <c r="AM63" s="4" t="str" cm="1">
        <f t="array" ref="AM63">计算得分(INDEX([1]Sheet1!$T:$T, MATCH(A63, [1]Sheet1!$B:$B,0)), 固定数据!BX60, 固定数据!BY60, 0.2, 20,0, 0)</f>
        <v>--</v>
      </c>
      <c r="AN63" s="4" t="str" cm="1">
        <f t="array" ref="AN63">计算得分([3]Sheet1!$F$3, 固定数据!BZ60, 固定数据!CA60, 0.5, 15,0, 0)</f>
        <v>--</v>
      </c>
      <c r="AO63" s="4" t="str" cm="1">
        <f t="array" ref="AO63">计算得分([3]Sheet1!$G$3, 固定数据!CB60, 固定数据!CC60, 0.01, 5,0, 1)</f>
        <v>--</v>
      </c>
      <c r="AP63" s="4" t="str" cm="1">
        <f t="array" ref="AP63">计算得分([3]Sheet1!$H$3, 固定数据!CD60, 固定数据!CE60, 0.001, 5,0, 1)</f>
        <v>--</v>
      </c>
      <c r="AQ63" s="4" t="str" cm="1">
        <f t="array" ref="AQ63">计算得分([3]Sheet1!$D$3,固定数据!CF60,固定数据!CG60,0.05,5,0,3)</f>
        <v>--</v>
      </c>
      <c r="AR63" s="4" t="str" cm="1">
        <f t="array" ref="AR63">计算得分([3]Sheet1!$E$3,固定数据!CH60,固定数据!CI60,0.1,10,0,3)</f>
        <v>--</v>
      </c>
      <c r="AS63" s="8" t="s">
        <v>74</v>
      </c>
      <c r="AT63" s="4" t="str" cm="1">
        <f t="array" ref="AT63">计算得分(INDEX([3]Sheet1!$J:$J, MATCH(A63, [3]Sheet1!$B:$B,0)), 固定数据!CL60, 固定数据!CM60, 2, 0,-10, 0)</f>
        <v>--</v>
      </c>
      <c r="AU63" s="4" t="str" cm="1">
        <f t="array" ref="AU63">计算得分(INDEX([3]Sheet1!$K:$K, MATCH(A63, [3]Sheet1!$B:$B,0)), 固定数据!CN60, 固定数据!CO60, 3, 0,-10, 0)</f>
        <v>--</v>
      </c>
      <c r="AV63" s="4" t="str" cm="1">
        <f t="array" ref="AV63">计算得分(INDEX([3]Sheet1!$L:$L, MATCH(A63, [3]Sheet1!$B:$B,0)), 固定数据!CP60, 固定数据!CQ60, 3, 0,-10, 0)</f>
        <v>--</v>
      </c>
      <c r="AW63" s="4" t="str" cm="1">
        <f t="array" ref="AW63">计算得分(INDEX([3]Sheet1!$M:$M, MATCH(A63, [3]Sheet1!$B:$B,0)), 固定数据!CR60, 固定数据!CS60, 100, 0,-100, 0)</f>
        <v>--</v>
      </c>
      <c r="AX63" s="4" t="str" cm="1">
        <f t="array" ref="AX63">计算得分(INDEX([3]Sheet1!$N:$N, MATCH(A63, [3]Sheet1!$B:$B,0)), 固定数据!CT60, 固定数据!CU60, 3, 0,-10, 0)</f>
        <v>--</v>
      </c>
      <c r="AY63" s="8" t="s">
        <v>74</v>
      </c>
      <c r="AZ63" s="8" t="s">
        <v>74</v>
      </c>
      <c r="BA63" s="4" t="str">
        <f>IFERROR(VLOOKUP(A63,[4]KPI评分!B:C,2,FALSE)*60%,"--")</f>
        <v>--</v>
      </c>
    </row>
    <row r="64" spans="1:53" ht="24.75" customHeight="1" x14ac:dyDescent="0.25">
      <c r="A64" s="1" t="s">
        <v>132</v>
      </c>
      <c r="B64" s="2" t="str" cm="1">
        <f t="array" ref="B64">计算得分(INDEX([1]Sheet1!$W:$W, MATCH(A64, [1]Sheet1!$B:$B,0)), 固定数据!B61, 固定数据!C61, 0.5, 0,-10, 0)</f>
        <v>--</v>
      </c>
      <c r="C64" s="2" t="str" cm="1">
        <f t="array" ref="C64">计算得分(INDEX([1]Sheet1!$X:$X, MATCH(A64, [1]Sheet1!$B:$B,0)), 固定数据!D61, 固定数据!E61, 1, 0,-10, 0)</f>
        <v>--</v>
      </c>
      <c r="D64" s="2" t="str" cm="1">
        <f t="array" ref="D64">计算得分(INDEX([1]Sheet1!$Y:$Y, MATCH(A64, [1]Sheet1!$B:$B,0)), 固定数据!F61, 固定数据!G61, 2, 0,-10, 0)</f>
        <v>--</v>
      </c>
      <c r="E64" s="6" t="str" cm="1">
        <f t="array" ref="E64">计算得分(INDEX([1]Sheet1!$C:$C, MATCH(A64, [1]Sheet1!$B:$B,0)), 固定数据!H61, 固定数据!I61, 0.02, 10,0, 1)</f>
        <v>--</v>
      </c>
      <c r="F64" s="2" t="str" cm="1">
        <f t="array" ref="F64">计算得分(INDEX([1]Sheet1!$D:$D, MATCH(A64, [1]Sheet1!$B:$B,0)), 固定数据!J61, 固定数据!K61, 0, 0,0, 0)</f>
        <v>--</v>
      </c>
      <c r="G64" s="2" t="str" cm="1">
        <f t="array" ref="G64">计算得分(INDEX([1]Sheet1!$E:$E, MATCH(A64, [1]Sheet1!$B:$B,0)), 固定数据!L61, 固定数据!M61,  0.3, 3,0, 5)</f>
        <v>--</v>
      </c>
      <c r="H64" s="2" t="str" cm="1">
        <f t="array" ref="H64">计算得分(INDEX([1]Sheet1!$AG:$AG, MATCH(A64, [1]Sheet1!$B:$B,0)), 固定数据!N61, 固定数据!O61, 0.03, 3,0, 3)</f>
        <v>--</v>
      </c>
      <c r="I64" s="2" t="str" cm="1">
        <f t="array" ref="I64">计算得分(INDEX([1]Sheet1!$V:$V, MATCH(A64, [1]Sheet1!$B:$B,0)), 固定数据!P61, 固定数据!Q61, 1, 0,-100, 0)</f>
        <v>--</v>
      </c>
      <c r="J64" s="2" t="str" cm="1">
        <f t="array" ref="J64">计算得分(INDEX([1]Sheet1!$AI:$AI, MATCH(A64, [1]Sheet1!$B:$B,0)), 固定数据!R61, 固定数据!S61, 0.04, 12,0, 3)</f>
        <v>--</v>
      </c>
      <c r="K64" s="2" t="str" cm="1">
        <f t="array" ref="K64">计算得分(INDEX([1]Sheet1!$F:$F, MATCH(A64, [1]Sheet1!$B:$B,0)), 固定数据!T61, 固定数据!U61, 0.02, 3,0, 1)</f>
        <v>--</v>
      </c>
      <c r="L64" s="2" t="str" cm="1">
        <f t="array" ref="L64">计算得分(INDEX([1]Sheet1!$U:$U, MATCH(A64, [1]Sheet1!$B:$B,0)), 固定数据!V61, 固定数据!W61, 0.2, 20,0, 0)</f>
        <v>--</v>
      </c>
      <c r="M64" s="2" t="str" cm="1">
        <f t="array" ref="M64">计算得分(100, 固定数据!X61, 固定数据!Y61, 0, 5,0, 0)</f>
        <v>--</v>
      </c>
      <c r="N64" s="2" t="str" cm="1">
        <f t="array" ref="N64">计算得分(100, 固定数据!Z61, 固定数据!AA61, 0, 5,0, 0)</f>
        <v>--</v>
      </c>
      <c r="O64" s="2" t="str" cm="1">
        <f t="array" ref="O64">计算得分(100, 固定数据!AB61, 固定数据!AC61, 0, 7,0, 0)</f>
        <v>--</v>
      </c>
      <c r="P64" s="2" t="str" cm="1">
        <f t="array" ref="P64">计算得分(INDEX([1]Sheet1!$P:$P, MATCH(A64, [1]Sheet1!$B:$B,0)), 固定数据!AD61, 固定数据!AE61, 0.2, 7,0, 0)</f>
        <v>--</v>
      </c>
      <c r="Q64" s="2" t="str" cm="1">
        <f t="array" ref="Q64">计算得分(INDEX([1]Sheet1!$I:$I, MATCH(A64, [1]Sheet1!$B:$B,0)), 固定数据!AF61, 固定数据!AG61,0.2, IF(固定数据!AF61&lt;&gt;"--",固定数据!AF61,0),2, 5)</f>
        <v>--</v>
      </c>
      <c r="R64" s="2" t="str" cm="1">
        <f t="array" ref="R64">计算得分(INDEX([2]Sheet1!$AL:$AL, MATCH(A64, [2]Sheet1!$A:$A,0)), 固定数据!AH61, 固定数据!AI61, 0.02, 6,6, 1)</f>
        <v>--</v>
      </c>
      <c r="S64" s="2" t="str" cm="1">
        <f t="array" ref="S64">计算得分(INDEX([2]Sheet1!$I:$I, MATCH(A64, [2]Sheet1!$A:$A,0)), 固定数据!AJ61, 固定数据!AK61, 0.005, 6,0, 1)</f>
        <v>--</v>
      </c>
      <c r="T64" s="2" t="str" cm="1">
        <f t="array" ref="T64">计算得分(98, 固定数据!AL61, 固定数据!AM61, 0.03, IF(固定数据!AL61&lt;&gt;"--",固定数据!AL61,0),0, 3)</f>
        <v>--</v>
      </c>
      <c r="U64" s="2" t="str" cm="1">
        <f t="array" ref="U64">计算得分(INDEX([1]Sheet1!$G:$G, MATCH(A64, [1]Sheet1!$B:$B,0)), 固定数据!AN61, 固定数据!AO61, 0.5, 3,0, 0)</f>
        <v>--</v>
      </c>
      <c r="V64" s="2" t="str" cm="1">
        <f t="array" ref="V64">计算得分(INDEX([1]Sheet1!$H:$H, MATCH(A64, [1]Sheet1!$B:$B,0)), 固定数据!AP61, 固定数据!AQ61, 0.4, 5,0, 1)</f>
        <v>--</v>
      </c>
      <c r="W64" s="2" t="str" cm="1">
        <f t="array" ref="W64">计算得分(INDEX([1]Sheet1!$J:$J, MATCH(A64, [1]Sheet1!$B:$B,0)), 固定数据!AR61, 固定数据!AS61, 0.2, 2,2, 4)</f>
        <v>--</v>
      </c>
      <c r="X64" s="2" t="str" cm="1">
        <f t="array" ref="X64">计算得分(INDEX([1]Sheet1!$K:$K, MATCH(A64, [1]Sheet1!$B:$B,0)), 固定数据!AT61, 固定数据!AU61, 0.2, 1.5,1.5, 4)</f>
        <v>--</v>
      </c>
      <c r="Y64" s="2" t="str" cm="1">
        <f t="array" ref="Y64">计算得分(INDEX([1]Sheet1!$AA:$AA, MATCH(A64, [1]Sheet1!$B:$B,0)), 固定数据!AV61, 固定数据!AW61, 0.05, IF(固定数据!AV61&lt;&gt;"--",固定数据!AV61,0),0, 3)</f>
        <v>--</v>
      </c>
      <c r="Z64" s="2" t="str" cm="1">
        <f t="array" ref="Z64">计算得分(INDEX([1]Sheet1!$AB:$AB, MATCH(A64, [1]Sheet1!$B:$B,0)), 固定数据!AX61, 固定数据!AY61, 0.05, IF(固定数据!AX61&lt;&gt;"--",固定数据!AX61,0),0, 3)</f>
        <v>--</v>
      </c>
      <c r="AA64" s="2" t="str" cm="1">
        <f t="array" ref="AA64">计算得分(INDEX([1]Sheet1!$AC:$AC, MATCH(A64, [1]Sheet1!$B:$B,0)), 固定数据!AZ61, 固定数据!BA61, 0.04, IF(固定数据!AZ61&lt;&gt;"--",固定数据!AZ61,0),0, 3)</f>
        <v>--</v>
      </c>
      <c r="AB64" s="2" t="str" cm="1">
        <f t="array" ref="AB64">计算得分(INDEX([1]Sheet1!$AD:$AD, MATCH(A64, [1]Sheet1!$B:$B,0)), 固定数据!BB61, 固定数据!BC61, 0.03, IF(固定数据!BB61&lt;&gt;"--",固定数据!BB61,0),0, 3)</f>
        <v>--</v>
      </c>
      <c r="AC64" s="2" t="str" cm="1">
        <f t="array" ref="AC64">计算得分(INDEX([1]Sheet1!$AE:$AE, MATCH(A64, [1]Sheet1!$B:$B,0)), 固定数据!BD61, 固定数据!BE61, 0.04, IF(固定数据!BD61&lt;&gt;"--",固定数据!BD61,0),0, 3)</f>
        <v>--</v>
      </c>
      <c r="AD64" s="2" t="str" cm="1">
        <f t="array" ref="AD64">计算得分(INDEX([1]Sheet1!$L:$L, MATCH(A64, [1]Sheet1!$B:$B,0)), 固定数据!BF61, 固定数据!BG61, 0.1, 12.5,0, 3)</f>
        <v>--</v>
      </c>
      <c r="AE64" s="2" t="str" cm="1">
        <f t="array" ref="AE64">计算得分(INDEX([1]Sheet1!$N:$N, MATCH(A64, [1]Sheet1!$B:$B,0)), 固定数据!BH61, 固定数据!BI61, 0.2, 7,0, 0)</f>
        <v>--</v>
      </c>
      <c r="AF64" s="2" t="str" cm="1">
        <f t="array" ref="AF64">计算得分(INDEX([1]Sheet1!$Q:$Q, MATCH(A64, [1]Sheet1!$B:$B,0)), 固定数据!BJ61, 固定数据!BK61, 0.2, 7,0, 0)</f>
        <v>--</v>
      </c>
      <c r="AG64" s="2" t="str" cm="1">
        <f t="array" ref="AG64">计算得分(INDEX([1]Sheet1!$S:$S, MATCH(A64, [1]Sheet1!$B:$B,0)), 固定数据!BL61, 固定数据!BM61, 0.2, 20,0, 0)</f>
        <v>--</v>
      </c>
      <c r="AH64" s="6" t="str" cm="1">
        <f t="array" ref="AH64">计算得分(INDEX([1]Sheet1!$AF:$AF, MATCH(A64, [1]Sheet1!$B:$B,0)), 固定数据!BN61, 固定数据!BO61, 0.1, 10,0, 3)</f>
        <v>--</v>
      </c>
      <c r="AI64" s="2" t="str" cm="1">
        <f t="array" ref="AI64">计算得分(INDEX([1]Sheet1!$M:$M, MATCH(A64, [1]Sheet1!$B:$B,0)), 固定数据!BP61, 固定数据!BQ61, 0.2, 20,0, 3)</f>
        <v>--</v>
      </c>
      <c r="AJ64" s="2" t="str" cm="1">
        <f t="array" ref="AJ64">计算得分(INDEX([1]Sheet1!$Z:$Z, MATCH(A64, [1]Sheet1!$B:$B,0)), 固定数据!BR61, 固定数据!BS61, 10, 50,0, 0)</f>
        <v>--</v>
      </c>
      <c r="AK64" s="2" t="str" cm="1">
        <f t="array" ref="AK64">计算得分(INDEX([1]Sheet1!$O:$O, MATCH(A64, [1]Sheet1!$B:$B,0)), 固定数据!BT61, 固定数据!BU61, 0.2, 15,0, 0)</f>
        <v>--</v>
      </c>
      <c r="AL64" s="2" t="str" cm="1">
        <f t="array" ref="AL64">计算得分(INDEX([1]Sheet1!$R:$R, MATCH(A64, [1]Sheet1!$B:$B,0)), 固定数据!BV61, 固定数据!BW61, 0.2, 10,0, 0)</f>
        <v>--</v>
      </c>
      <c r="AM64" s="2" t="str" cm="1">
        <f t="array" ref="AM64">计算得分(INDEX([1]Sheet1!$T:$T, MATCH(A64, [1]Sheet1!$B:$B,0)), 固定数据!BX61, 固定数据!BY61, 0.2, 20,0, 0)</f>
        <v>--</v>
      </c>
      <c r="AN64" s="2" cm="1">
        <f t="array" ref="AN64">计算得分([3]Sheet1!$F$3, 固定数据!BZ61, 固定数据!CA61, 0.5, 15,0, 0)</f>
        <v>104.4</v>
      </c>
      <c r="AO64" s="6" cm="1">
        <f t="array" ref="AO64">计算得分([3]Sheet1!$G$3, 固定数据!CB61, 固定数据!CC61, 0.01, 5,0, 1)</f>
        <v>3675</v>
      </c>
      <c r="AP64" s="6" cm="1">
        <f t="array" ref="AP64">计算得分([3]Sheet1!$H$3, 固定数据!CD61, 固定数据!CE61, 0.001, 5,0, 1)</f>
        <v>18357</v>
      </c>
      <c r="AQ64" s="6" cm="1">
        <f t="array" ref="AQ64">计算得分([3]Sheet1!$D$3,固定数据!CF61,固定数据!CG61,0.05,5,0,3)</f>
        <v>186.8</v>
      </c>
      <c r="AR64" s="6" cm="1">
        <f t="array" ref="AR64">计算得分([3]Sheet1!$E$3,固定数据!CH61,固定数据!CI61,0.1,10,0,3)</f>
        <v>7574.53</v>
      </c>
      <c r="AS64" s="7" t="s">
        <v>74</v>
      </c>
      <c r="AT64" s="6" cm="1">
        <f t="array" ref="AT64">计算得分(INDEX([3]Sheet1!$J:$J, MATCH(A64, [3]Sheet1!$B:$B,0)), 固定数据!CL61, 固定数据!CM61, 2, 0,-10, 0)</f>
        <v>100</v>
      </c>
      <c r="AU64" s="2" cm="1">
        <f t="array" ref="AU64">计算得分(INDEX([3]Sheet1!$K:$K, MATCH(A64, [3]Sheet1!$B:$B,0)), 固定数据!CN61, 固定数据!CO61, 3, 0,-10, 0)</f>
        <v>100</v>
      </c>
      <c r="AV64" s="2" cm="1">
        <f t="array" ref="AV64">计算得分(INDEX([3]Sheet1!$L:$L, MATCH(A64, [3]Sheet1!$B:$B,0)), 固定数据!CP61, 固定数据!CQ61, 3, 0,-10, 0)</f>
        <v>100</v>
      </c>
      <c r="AW64" s="2" cm="1">
        <f t="array" ref="AW64">计算得分(INDEX([3]Sheet1!$M:$M, MATCH(A64, [3]Sheet1!$B:$B,0)), 固定数据!CR61, 固定数据!CS61, 100, 0,-100, 0)</f>
        <v>100</v>
      </c>
      <c r="AX64" s="2" cm="1">
        <f t="array" ref="AX64">计算得分(INDEX([3]Sheet1!$N:$N, MATCH(A64, [3]Sheet1!$B:$B,0)), 固定数据!CT61, 固定数据!CU61, 3, 0,-10, 0)</f>
        <v>100</v>
      </c>
      <c r="AY64" s="7" t="s">
        <v>74</v>
      </c>
      <c r="AZ64" s="7" t="s">
        <v>74</v>
      </c>
      <c r="BA64" s="2">
        <f>IFERROR(VLOOKUP(A64,[4]KPI评分!B:C,2,FALSE)*60%,"--")</f>
        <v>57.24</v>
      </c>
    </row>
    <row r="65" spans="1:53" ht="24.75" customHeight="1" x14ac:dyDescent="0.25">
      <c r="A65" s="3" t="s">
        <v>133</v>
      </c>
      <c r="B65" s="4" cm="1">
        <f t="array" ref="B65">计算得分(INDEX([1]Sheet1!$W:$W, MATCH(A65, [1]Sheet1!$B:$B,0)), 固定数据!B62, 固定数据!C62, 0.5, 0,-10, 0)</f>
        <v>0</v>
      </c>
      <c r="C65" s="4" cm="1">
        <f t="array" ref="C65">计算得分(INDEX([1]Sheet1!$X:$X, MATCH(A65, [1]Sheet1!$B:$B,0)), 固定数据!D62, 固定数据!E62, 1, 0,-10, 0)</f>
        <v>0</v>
      </c>
      <c r="D65" s="4" cm="1">
        <f t="array" ref="D65">计算得分(INDEX([1]Sheet1!$Y:$Y, MATCH(A65, [1]Sheet1!$B:$B,0)), 固定数据!F62, 固定数据!G62, 2, 0,-10, 0)</f>
        <v>0</v>
      </c>
      <c r="E65" s="4" t="str" cm="1">
        <f t="array" ref="E65">计算得分(INDEX([1]Sheet1!$C:$C, MATCH(A65, [1]Sheet1!$B:$B,0)), 固定数据!H62, 固定数据!I62, 0.02, 10,0, 1)</f>
        <v>--</v>
      </c>
      <c r="F65" s="4" t="str" cm="1">
        <f t="array" ref="F65">计算得分(INDEX([1]Sheet1!$D:$D, MATCH(A65, [1]Sheet1!$B:$B,0)), 固定数据!J62, 固定数据!K62, 0, 0,0, 0)</f>
        <v>--</v>
      </c>
      <c r="G65" s="4" cm="1">
        <f t="array" ref="G65">计算得分(INDEX([1]Sheet1!$E:$E, MATCH(A65, [1]Sheet1!$B:$B,0)), 固定数据!L62, 固定数据!M62, 0.3, 3,0, 5)</f>
        <v>33228.089999999997</v>
      </c>
      <c r="H65" s="4" cm="1">
        <f t="array" ref="H65">计算得分(INDEX([1]Sheet1!$AG:$AG, MATCH(A65, [1]Sheet1!$B:$B,0)), 固定数据!N62, 固定数据!O62, 0.03, 3,0, 3)</f>
        <v>85</v>
      </c>
      <c r="I65" s="4" cm="1">
        <f t="array" ref="I65">计算得分(INDEX([1]Sheet1!$V:$V, MATCH(A65, [1]Sheet1!$B:$B,0)), 固定数据!P62, 固定数据!Q62, 1, 0,-100, 0)</f>
        <v>0</v>
      </c>
      <c r="J65" s="4" t="str" cm="1">
        <f t="array" ref="J65">计算得分(INDEX([1]Sheet1!$AI:$AI, MATCH(A65, [1]Sheet1!$B:$B,0)), 固定数据!R62, 固定数据!S62, 0.04, 12,0, 3)</f>
        <v>--</v>
      </c>
      <c r="K65" s="4" cm="1">
        <f t="array" ref="K65">计算得分(INDEX([1]Sheet1!$F:$F, MATCH(A65, [1]Sheet1!$B:$B,0)), 固定数据!T62, 固定数据!U62, 0.02, 3,0, 1)</f>
        <v>47.4</v>
      </c>
      <c r="L65" s="4" t="str" cm="1">
        <f t="array" ref="L65">计算得分(INDEX([1]Sheet1!$U:$U, MATCH(A65, [1]Sheet1!$B:$B,0)), 固定数据!V62, 固定数据!W62, 0.2, 20,0, 0)</f>
        <v>--</v>
      </c>
      <c r="M65" s="4" t="str" cm="1">
        <f t="array" ref="M65">计算得分(100, 固定数据!X62, 固定数据!Y62, 0, 5,0, 0)</f>
        <v>--</v>
      </c>
      <c r="N65" s="4" t="str" cm="1">
        <f t="array" ref="N65">计算得分(100, 固定数据!Z62, 固定数据!AA62, 0, 5,0, 0)</f>
        <v>--</v>
      </c>
      <c r="O65" s="4" t="str" cm="1">
        <f t="array" ref="O65">计算得分(100, 固定数据!AB62, 固定数据!AC62, 0, 7,0, 0)</f>
        <v>--</v>
      </c>
      <c r="P65" s="4" t="str" cm="1">
        <f t="array" ref="P65">计算得分(INDEX([1]Sheet1!$P:$P, MATCH(A65, [1]Sheet1!$B:$B,0)), 固定数据!AD62, 固定数据!AE62, 0.2, 7,0, 0)</f>
        <v>--</v>
      </c>
      <c r="Q65" s="4" cm="1">
        <f t="array" ref="Q65">计算得分(INDEX([1]Sheet1!$I:$I, MATCH(A65, [1]Sheet1!$B:$B,0)), 固定数据!AF62, 固定数据!AG62,0.2, IF(固定数据!AF62&lt;&gt;"--",固定数据!AF62,0),2, 5)</f>
        <v>322.68</v>
      </c>
      <c r="R65" s="4" cm="1">
        <f t="array" ref="R65">计算得分(INDEX([2]Sheet1!$AL:$AL, MATCH(A65, [2]Sheet1!$A:$A,0)), 固定数据!AH62, 固定数据!AI62, 0.02, 6,6, 1)</f>
        <v>175</v>
      </c>
      <c r="S65" s="4" cm="1">
        <f t="array" ref="S65">计算得分(INDEX([2]Sheet1!$I:$I, MATCH(A65, [2]Sheet1!$A:$A,0)), 固定数据!AJ62, 固定数据!AK62, 0.005, 6,0, 1)</f>
        <v>754</v>
      </c>
      <c r="T65" s="4" cm="1">
        <f t="array" ref="T65">计算得分(98, 固定数据!AL62, 固定数据!AM62, 0.03, IF(固定数据!AL62&lt;&gt;"--",固定数据!AL62,0),0, 3)</f>
        <v>98</v>
      </c>
      <c r="U65" s="4" cm="1">
        <f t="array" ref="U65">计算得分(INDEX([1]Sheet1!$G:$G, MATCH(A65, [1]Sheet1!$B:$B,0)), 固定数据!AN62, 固定数据!AO62, 0.5, 3,0, 0)</f>
        <v>6.37</v>
      </c>
      <c r="V65" s="4" cm="1">
        <f t="array" ref="V65">计算得分(INDEX([1]Sheet1!$H:$H, MATCH(A65, [1]Sheet1!$B:$B,0)), 固定数据!AP62, 固定数据!AQ62, 0.4, 5,0, 1)</f>
        <v>3.07</v>
      </c>
      <c r="W65" s="4" cm="1">
        <f t="array" ref="W65">计算得分(INDEX([1]Sheet1!$J:$J, MATCH(A65, [1]Sheet1!$B:$B,0)), 固定数据!AR62, 固定数据!AS62, 0.2, 2,2, 4)</f>
        <v>322.68</v>
      </c>
      <c r="X65" s="4" cm="1">
        <f t="array" ref="X65">计算得分(INDEX([1]Sheet1!$K:$K, MATCH(A65, [1]Sheet1!$B:$B,0)), 固定数据!AT62, 固定数据!AU62, 0.2, 1.5,1.5, 4)</f>
        <v>9988.3799999999992</v>
      </c>
      <c r="Y65" s="4" cm="1">
        <f t="array" ref="Y65">计算得分(INDEX([1]Sheet1!$AA:$AA, MATCH(A65, [1]Sheet1!$B:$B,0)), 固定数据!AV62, 固定数据!AW62, 0.05, IF(固定数据!AV62&lt;&gt;"--",固定数据!AV62,0),0, 3)</f>
        <v>94</v>
      </c>
      <c r="Z65" s="4" cm="1">
        <f t="array" ref="Z65">计算得分(INDEX([1]Sheet1!$AB:$AB, MATCH(A65, [1]Sheet1!$B:$B,0)), 固定数据!AX62, 固定数据!AY62, 0.05, IF(固定数据!AX62&lt;&gt;"--",固定数据!AX62,0),0, 3)</f>
        <v>95</v>
      </c>
      <c r="AA65" s="4" cm="1">
        <f t="array" ref="AA65">计算得分(INDEX([1]Sheet1!$AC:$AC, MATCH(A65, [1]Sheet1!$B:$B,0)), 固定数据!AZ62, 固定数据!BA62, 0.04, IF(固定数据!AZ62&lt;&gt;"--",固定数据!AZ62,0),0, 3)</f>
        <v>98</v>
      </c>
      <c r="AB65" s="4" cm="1">
        <f t="array" ref="AB65">计算得分(INDEX([1]Sheet1!$AD:$AD, MATCH(A65, [1]Sheet1!$B:$B,0)), 固定数据!BB62, 固定数据!BC62, 0.03, IF(固定数据!BB62&lt;&gt;"--",固定数据!BB62,0),0, 3)</f>
        <v>98</v>
      </c>
      <c r="AC65" s="4" cm="1">
        <f t="array" ref="AC65">计算得分(INDEX([1]Sheet1!$AE:$AE, MATCH(A65, [1]Sheet1!$B:$B,0)), 固定数据!BD62, 固定数据!BE62, 0.04, IF(固定数据!BD62&lt;&gt;"--",固定数据!BD62,0),0, 3)</f>
        <v>98.09</v>
      </c>
      <c r="AD65" s="4" cm="1">
        <f t="array" ref="AD65">计算得分(INDEX([1]Sheet1!$L:$L, MATCH(A65, [1]Sheet1!$B:$B,0)), 固定数据!BF62, 固定数据!BG62, 0.1, 12.5,0, 3)</f>
        <v>5243.26</v>
      </c>
      <c r="AE65" s="4" cm="1">
        <f t="array" ref="AE65">计算得分(INDEX([1]Sheet1!$N:$N, MATCH(A65, [1]Sheet1!$B:$B,0)), 固定数据!BH62, 固定数据!BI62, 0.2, 7,0, 0)</f>
        <v>11.2</v>
      </c>
      <c r="AF65" s="4" cm="1">
        <f t="array" ref="AF65">计算得分(INDEX([1]Sheet1!$Q:$Q, MATCH(A65, [1]Sheet1!$B:$B,0)), 固定数据!BJ62, 固定数据!BK62, 0.2, 7,0, 0)</f>
        <v>31.84</v>
      </c>
      <c r="AG65" s="4" cm="1">
        <f t="array" ref="AG65">计算得分(INDEX([1]Sheet1!$S:$S, MATCH(A65, [1]Sheet1!$B:$B,0)), 固定数据!BL62, 固定数据!BM62, 0.2, 20,0, 0)</f>
        <v>59.38</v>
      </c>
      <c r="AH65" s="4" t="str" cm="1">
        <f t="array" ref="AH65">计算得分(INDEX([1]Sheet1!$AF:$AF, MATCH(A65, [1]Sheet1!$B:$B,0)), 固定数据!BN62, 固定数据!BO62, 0.1, 10,0, 3)</f>
        <v>--</v>
      </c>
      <c r="AI65" s="4" t="str" cm="1">
        <f t="array" ref="AI65">计算得分(INDEX([1]Sheet1!$M:$M, MATCH(A65, [1]Sheet1!$B:$B,0)), 固定数据!BP62, 固定数据!BQ62, 0.2, 20,0, 3)</f>
        <v>--</v>
      </c>
      <c r="AJ65" s="4" cm="1">
        <f t="array" ref="AJ65">计算得分(INDEX([1]Sheet1!$Z:$Z, MATCH(A65, [1]Sheet1!$B:$B,0)), 固定数据!BR62, 固定数据!BS62, 10, 50,0, 0)</f>
        <v>0</v>
      </c>
      <c r="AK65" s="4" t="str" cm="1">
        <f t="array" ref="AK65">计算得分(INDEX([1]Sheet1!$O:$O, MATCH(A65, [1]Sheet1!$B:$B,0)), 固定数据!BT62, 固定数据!BU62, 0.2, 15,0, 0)</f>
        <v>--</v>
      </c>
      <c r="AL65" s="4" t="str" cm="1">
        <f t="array" ref="AL65">计算得分(INDEX([1]Sheet1!$R:$R, MATCH(A65, [1]Sheet1!$B:$B,0)), 固定数据!BV62, 固定数据!BW62, 0.2, 10,0, 0)</f>
        <v>--</v>
      </c>
      <c r="AM65" s="4" t="str" cm="1">
        <f t="array" ref="AM65">计算得分(INDEX([1]Sheet1!$T:$T, MATCH(A65, [1]Sheet1!$B:$B,0)), 固定数据!BX62, 固定数据!BY62, 0.2, 20,0, 0)</f>
        <v>--</v>
      </c>
      <c r="AN65" s="4" t="str" cm="1">
        <f t="array" ref="AN65">计算得分([3]Sheet1!$F$3, 固定数据!BZ62, 固定数据!CA62, 0.5, 15,0, 0)</f>
        <v>--</v>
      </c>
      <c r="AO65" s="4" t="str" cm="1">
        <f t="array" ref="AO65">计算得分([3]Sheet1!$G$3, 固定数据!CB62, 固定数据!CC62, 0.01, 5,0, 1)</f>
        <v>--</v>
      </c>
      <c r="AP65" s="4" t="str" cm="1">
        <f t="array" ref="AP65">计算得分([3]Sheet1!$H$3, 固定数据!CD62, 固定数据!CE62, 0.001, 5,0, 1)</f>
        <v>--</v>
      </c>
      <c r="AQ65" s="4" t="str" cm="1">
        <f t="array" ref="AQ65">计算得分([3]Sheet1!$D$3,固定数据!CF62,固定数据!CG62,0.05,5,0,3)</f>
        <v>--</v>
      </c>
      <c r="AR65" s="4" t="str" cm="1">
        <f t="array" ref="AR65">计算得分([3]Sheet1!$E$3,固定数据!CH62,固定数据!CI62,0.1,10,0,3)</f>
        <v>--</v>
      </c>
      <c r="AS65" s="8" t="s">
        <v>74</v>
      </c>
      <c r="AT65" s="4" t="str" cm="1">
        <f t="array" ref="AT65">计算得分(INDEX([3]Sheet1!$J:$J, MATCH(A65, [3]Sheet1!$B:$B,0)), 固定数据!CL62, 固定数据!CM62, 2, 0,-10, 0)</f>
        <v>--</v>
      </c>
      <c r="AU65" s="4" t="str" cm="1">
        <f t="array" ref="AU65">计算得分(INDEX([3]Sheet1!$K:$K, MATCH(A65, [3]Sheet1!$B:$B,0)), 固定数据!CN62, 固定数据!CO62, 3, 0,-10, 0)</f>
        <v>--</v>
      </c>
      <c r="AV65" s="4" t="str" cm="1">
        <f t="array" ref="AV65">计算得分(INDEX([3]Sheet1!$L:$L, MATCH(A65, [3]Sheet1!$B:$B,0)), 固定数据!CP62, 固定数据!CQ62, 3, 0,-10, 0)</f>
        <v>--</v>
      </c>
      <c r="AW65" s="4" t="str" cm="1">
        <f t="array" ref="AW65">计算得分(INDEX([3]Sheet1!$M:$M, MATCH(A65, [3]Sheet1!$B:$B,0)), 固定数据!CR62, 固定数据!CS62, 100, 0,-100, 0)</f>
        <v>--</v>
      </c>
      <c r="AX65" s="4" t="str" cm="1">
        <f t="array" ref="AX65">计算得分(INDEX([3]Sheet1!$N:$N, MATCH(A65, [3]Sheet1!$B:$B,0)), 固定数据!CT62, 固定数据!CU62, 3, 0,-10, 0)</f>
        <v>--</v>
      </c>
      <c r="AY65" s="8" t="s">
        <v>74</v>
      </c>
      <c r="AZ65" s="8" t="s">
        <v>74</v>
      </c>
      <c r="BA65" s="4" t="str">
        <f>IFERROR(VLOOKUP(A65,[4]KPI评分!B:C,2,FALSE)*60%,"--")</f>
        <v>--</v>
      </c>
    </row>
    <row r="66" spans="1:53" ht="24.75" customHeight="1" x14ac:dyDescent="0.25">
      <c r="A66" s="1" t="s">
        <v>134</v>
      </c>
      <c r="B66" s="2" t="str" cm="1">
        <f t="array" ref="B66">计算得分(INDEX([1]Sheet1!$W:$W, MATCH(A66, [1]Sheet1!$B:$B,0)), 固定数据!B63, 固定数据!C63, 0.5, 0,-10, 0)</f>
        <v>--</v>
      </c>
      <c r="C66" s="2" t="str" cm="1">
        <f t="array" ref="C66">计算得分(INDEX([1]Sheet1!$X:$X, MATCH(A66, [1]Sheet1!$B:$B,0)), 固定数据!D63, 固定数据!E63, 1, 0,-10, 0)</f>
        <v>--</v>
      </c>
      <c r="D66" s="2" t="str" cm="1">
        <f t="array" ref="D66">计算得分(INDEX([1]Sheet1!$Y:$Y, MATCH(A66, [1]Sheet1!$B:$B,0)), 固定数据!F63, 固定数据!G63, 2, 0,-10, 0)</f>
        <v>--</v>
      </c>
      <c r="E66" s="6" t="str" cm="1">
        <f t="array" ref="E66">计算得分(INDEX([1]Sheet1!$C:$C, MATCH(A66, [1]Sheet1!$B:$B,0)), 固定数据!H63, 固定数据!I63, 0.02, 10,0, 1)</f>
        <v>--</v>
      </c>
      <c r="F66" s="2" t="str" cm="1">
        <f t="array" ref="F66">计算得分(INDEX([1]Sheet1!$D:$D, MATCH(A66, [1]Sheet1!$B:$B,0)), 固定数据!J63, 固定数据!K63, 0, 0,0, 0)</f>
        <v>--</v>
      </c>
      <c r="G66" s="2" t="str" cm="1">
        <f t="array" ref="G66">计算得分(INDEX([1]Sheet1!$E:$E, MATCH(A66, [1]Sheet1!$B:$B,0)), 固定数据!L63, 固定数据!M63,  0.3, 3,0, 5)</f>
        <v>--</v>
      </c>
      <c r="H66" s="2" t="str" cm="1">
        <f t="array" ref="H66">计算得分(INDEX([1]Sheet1!$AG:$AG, MATCH(A66, [1]Sheet1!$B:$B,0)), 固定数据!N63, 固定数据!O63, 0.03, 3,0, 3)</f>
        <v>--</v>
      </c>
      <c r="I66" s="2" t="str" cm="1">
        <f t="array" ref="I66">计算得分(INDEX([1]Sheet1!$V:$V, MATCH(A66, [1]Sheet1!$B:$B,0)), 固定数据!P63, 固定数据!Q63, 1, 0,-100, 0)</f>
        <v>--</v>
      </c>
      <c r="J66" s="2" t="str" cm="1">
        <f t="array" ref="J66">计算得分(INDEX([1]Sheet1!$AI:$AI, MATCH(A66, [1]Sheet1!$B:$B,0)), 固定数据!R63, 固定数据!S63, 0.04, 12,0, 3)</f>
        <v>--</v>
      </c>
      <c r="K66" s="2" t="str" cm="1">
        <f t="array" ref="K66">计算得分(INDEX([1]Sheet1!$F:$F, MATCH(A66, [1]Sheet1!$B:$B,0)), 固定数据!T63, 固定数据!U63, 0.02, 3,0, 1)</f>
        <v>--</v>
      </c>
      <c r="L66" s="2" t="str" cm="1">
        <f t="array" ref="L66">计算得分(INDEX([1]Sheet1!$U:$U, MATCH(A66, [1]Sheet1!$B:$B,0)), 固定数据!V63, 固定数据!W63, 0.2, 20,0, 0)</f>
        <v>--</v>
      </c>
      <c r="M66" s="2" t="str" cm="1">
        <f t="array" ref="M66">计算得分(100, 固定数据!X63, 固定数据!Y63, 0, 5,0, 0)</f>
        <v>--</v>
      </c>
      <c r="N66" s="2" t="str" cm="1">
        <f t="array" ref="N66">计算得分(100, 固定数据!Z63, 固定数据!AA63, 0, 5,0, 0)</f>
        <v>--</v>
      </c>
      <c r="O66" s="2" t="str" cm="1">
        <f t="array" ref="O66">计算得分(100, 固定数据!AB63, 固定数据!AC63, 0, 7,0, 0)</f>
        <v>--</v>
      </c>
      <c r="P66" s="2" t="str" cm="1">
        <f t="array" ref="P66">计算得分(INDEX([1]Sheet1!$P:$P, MATCH(A66, [1]Sheet1!$B:$B,0)), 固定数据!AD63, 固定数据!AE63, 0.2, 7,0, 0)</f>
        <v>--</v>
      </c>
      <c r="Q66" s="2" t="str" cm="1">
        <f t="array" ref="Q66">计算得分(INDEX([1]Sheet1!$I:$I, MATCH(A66, [1]Sheet1!$B:$B,0)), 固定数据!AF63, 固定数据!AG63,0.2, IF(固定数据!AF63&lt;&gt;"--",固定数据!AF63,0),2, 5)</f>
        <v>--</v>
      </c>
      <c r="R66" s="2" t="str" cm="1">
        <f t="array" ref="R66">计算得分(INDEX([2]Sheet1!$AL:$AL, MATCH(A66, [2]Sheet1!$A:$A,0)), 固定数据!AH63, 固定数据!AI63, 0.02, 6,6, 1)</f>
        <v>--</v>
      </c>
      <c r="S66" s="2" t="str" cm="1">
        <f t="array" ref="S66">计算得分(INDEX([2]Sheet1!$I:$I, MATCH(A66, [2]Sheet1!$A:$A,0)), 固定数据!AJ63, 固定数据!AK63, 0.005, 6,0, 1)</f>
        <v>--</v>
      </c>
      <c r="T66" s="2" t="str" cm="1">
        <f t="array" ref="T66">计算得分(98, 固定数据!AL63, 固定数据!AM63, 0.03, IF(固定数据!AL63&lt;&gt;"--",固定数据!AL63,0),0, 3)</f>
        <v>--</v>
      </c>
      <c r="U66" s="2" t="str" cm="1">
        <f t="array" ref="U66">计算得分(INDEX([1]Sheet1!$G:$G, MATCH(A66, [1]Sheet1!$B:$B,0)), 固定数据!AN63, 固定数据!AO63, 0.5, 3,0, 0)</f>
        <v>--</v>
      </c>
      <c r="V66" s="2" t="str" cm="1">
        <f t="array" ref="V66">计算得分(INDEX([1]Sheet1!$H:$H, MATCH(A66, [1]Sheet1!$B:$B,0)), 固定数据!AP63, 固定数据!AQ63, 0.4, 5,0, 1)</f>
        <v>--</v>
      </c>
      <c r="W66" s="2" t="str" cm="1">
        <f t="array" ref="W66">计算得分(INDEX([1]Sheet1!$J:$J, MATCH(A66, [1]Sheet1!$B:$B,0)), 固定数据!AR63, 固定数据!AS63, 0.2, 2,2, 4)</f>
        <v>--</v>
      </c>
      <c r="X66" s="2" t="str" cm="1">
        <f t="array" ref="X66">计算得分(INDEX([1]Sheet1!$K:$K, MATCH(A66, [1]Sheet1!$B:$B,0)), 固定数据!AT63, 固定数据!AU63, 0.2, 1.5,1.5, 4)</f>
        <v>--</v>
      </c>
      <c r="Y66" s="2" t="str" cm="1">
        <f t="array" ref="Y66">计算得分(INDEX([1]Sheet1!$AA:$AA, MATCH(A66, [1]Sheet1!$B:$B,0)), 固定数据!AV63, 固定数据!AW63, 0.05, IF(固定数据!AV63&lt;&gt;"--",固定数据!AV63,0),0, 3)</f>
        <v>--</v>
      </c>
      <c r="Z66" s="2" t="str" cm="1">
        <f t="array" ref="Z66">计算得分(INDEX([1]Sheet1!$AB:$AB, MATCH(A66, [1]Sheet1!$B:$B,0)), 固定数据!AX63, 固定数据!AY63, 0.05, IF(固定数据!AX63&lt;&gt;"--",固定数据!AX63,0),0, 3)</f>
        <v>--</v>
      </c>
      <c r="AA66" s="2" t="str" cm="1">
        <f t="array" ref="AA66">计算得分(INDEX([1]Sheet1!$AC:$AC, MATCH(A66, [1]Sheet1!$B:$B,0)), 固定数据!AZ63, 固定数据!BA63, 0.04, IF(固定数据!AZ63&lt;&gt;"--",固定数据!AZ63,0),0, 3)</f>
        <v>--</v>
      </c>
      <c r="AB66" s="2" t="str" cm="1">
        <f t="array" ref="AB66">计算得分(INDEX([1]Sheet1!$AD:$AD, MATCH(A66, [1]Sheet1!$B:$B,0)), 固定数据!BB63, 固定数据!BC63, 0.03, IF(固定数据!BB63&lt;&gt;"--",固定数据!BB63,0),0, 3)</f>
        <v>--</v>
      </c>
      <c r="AC66" s="2" t="str" cm="1">
        <f t="array" ref="AC66">计算得分(INDEX([1]Sheet1!$AE:$AE, MATCH(A66, [1]Sheet1!$B:$B,0)), 固定数据!BD63, 固定数据!BE63, 0.04, IF(固定数据!BD63&lt;&gt;"--",固定数据!BD63,0),0, 3)</f>
        <v>--</v>
      </c>
      <c r="AD66" s="2" t="str" cm="1">
        <f t="array" ref="AD66">计算得分(INDEX([1]Sheet1!$L:$L, MATCH(A66, [1]Sheet1!$B:$B,0)), 固定数据!BF63, 固定数据!BG63, 0.1, 12.5,0, 3)</f>
        <v>--</v>
      </c>
      <c r="AE66" s="2" t="str" cm="1">
        <f t="array" ref="AE66">计算得分(INDEX([1]Sheet1!$N:$N, MATCH(A66, [1]Sheet1!$B:$B,0)), 固定数据!BH63, 固定数据!BI63, 0.2, 7,0, 0)</f>
        <v>--</v>
      </c>
      <c r="AF66" s="2" t="str" cm="1">
        <f t="array" ref="AF66">计算得分(INDEX([1]Sheet1!$Q:$Q, MATCH(A66, [1]Sheet1!$B:$B,0)), 固定数据!BJ63, 固定数据!BK63, 0.2, 7,0, 0)</f>
        <v>--</v>
      </c>
      <c r="AG66" s="2" t="str" cm="1">
        <f t="array" ref="AG66">计算得分(INDEX([1]Sheet1!$S:$S, MATCH(A66, [1]Sheet1!$B:$B,0)), 固定数据!BL63, 固定数据!BM63, 0.2, 20,0, 0)</f>
        <v>--</v>
      </c>
      <c r="AH66" s="6" t="str" cm="1">
        <f t="array" ref="AH66">计算得分(INDEX([1]Sheet1!$AF:$AF, MATCH(A66, [1]Sheet1!$B:$B,0)), 固定数据!BN63, 固定数据!BO63, 0.1, 10,0, 3)</f>
        <v>--</v>
      </c>
      <c r="AI66" s="2" t="str" cm="1">
        <f t="array" ref="AI66">计算得分(INDEX([1]Sheet1!$M:$M, MATCH(A66, [1]Sheet1!$B:$B,0)), 固定数据!BP63, 固定数据!BQ63, 0.2, 20,0, 3)</f>
        <v>--</v>
      </c>
      <c r="AJ66" s="2" t="str" cm="1">
        <f t="array" ref="AJ66">计算得分(INDEX([1]Sheet1!$Z:$Z, MATCH(A66, [1]Sheet1!$B:$B,0)), 固定数据!BR63, 固定数据!BS63, 10, 50,0, 0)</f>
        <v>--</v>
      </c>
      <c r="AK66" s="2" t="str" cm="1">
        <f t="array" ref="AK66">计算得分(INDEX([1]Sheet1!$O:$O, MATCH(A66, [1]Sheet1!$B:$B,0)), 固定数据!BT63, 固定数据!BU63, 0.2, 15,0, 0)</f>
        <v>--</v>
      </c>
      <c r="AL66" s="2" t="str" cm="1">
        <f t="array" ref="AL66">计算得分(INDEX([1]Sheet1!$R:$R, MATCH(A66, [1]Sheet1!$B:$B,0)), 固定数据!BV63, 固定数据!BW63, 0.2, 10,0, 0)</f>
        <v>--</v>
      </c>
      <c r="AM66" s="2" t="str" cm="1">
        <f t="array" ref="AM66">计算得分(INDEX([1]Sheet1!$T:$T, MATCH(A66, [1]Sheet1!$B:$B,0)), 固定数据!BX63, 固定数据!BY63, 0.2, 20,0, 0)</f>
        <v>--</v>
      </c>
      <c r="AN66" s="2" t="str" cm="1">
        <f t="array" ref="AN66">计算得分([3]Sheet1!$F$3, 固定数据!BZ63, 固定数据!CA63, 0.5, 15,0, 0)</f>
        <v>--</v>
      </c>
      <c r="AO66" s="6" t="str" cm="1">
        <f t="array" ref="AO66">计算得分([3]Sheet1!$G$3, 固定数据!CB63, 固定数据!CC63, 0.01, 5,0, 1)</f>
        <v>--</v>
      </c>
      <c r="AP66" s="6" t="str" cm="1">
        <f t="array" ref="AP66">计算得分([3]Sheet1!$H$3, 固定数据!CD63, 固定数据!CE63, 0.001, 5,0, 1)</f>
        <v>--</v>
      </c>
      <c r="AQ66" s="6" t="str" cm="1">
        <f t="array" ref="AQ66">计算得分([3]Sheet1!$D$3,固定数据!CF63,固定数据!CG63,0.05,5,0,3)</f>
        <v>--</v>
      </c>
      <c r="AR66" s="6" t="str" cm="1">
        <f t="array" ref="AR66">计算得分([3]Sheet1!$E$3,固定数据!CH63,固定数据!CI63,0.1,10,0,3)</f>
        <v>--</v>
      </c>
      <c r="AS66" s="7" t="s">
        <v>74</v>
      </c>
      <c r="AT66" s="6" t="str" cm="1">
        <f t="array" ref="AT66">计算得分(INDEX([3]Sheet1!$J:$J, MATCH(A66, [3]Sheet1!$B:$B,0)), 固定数据!CL63, 固定数据!CM63, 2, 0,-10, 0)</f>
        <v>--</v>
      </c>
      <c r="AU66" s="2" t="str" cm="1">
        <f t="array" ref="AU66">计算得分(INDEX([3]Sheet1!$K:$K, MATCH(A66, [3]Sheet1!$B:$B,0)), 固定数据!CN63, 固定数据!CO63, 3, 0,-10, 0)</f>
        <v>--</v>
      </c>
      <c r="AV66" s="2" t="str" cm="1">
        <f t="array" ref="AV66">计算得分(INDEX([3]Sheet1!$L:$L, MATCH(A66, [3]Sheet1!$B:$B,0)), 固定数据!CP63, 固定数据!CQ63, 3, 0,-10, 0)</f>
        <v>--</v>
      </c>
      <c r="AW66" s="2" t="str" cm="1">
        <f t="array" ref="AW66">计算得分(INDEX([3]Sheet1!$M:$M, MATCH(A66, [3]Sheet1!$B:$B,0)), 固定数据!CR63, 固定数据!CS63, 100, 0,-100, 0)</f>
        <v>--</v>
      </c>
      <c r="AX66" s="2" t="str" cm="1">
        <f t="array" ref="AX66">计算得分(INDEX([3]Sheet1!$N:$N, MATCH(A66, [3]Sheet1!$B:$B,0)), 固定数据!CT63, 固定数据!CU63, 3, 0,-10, 0)</f>
        <v>--</v>
      </c>
      <c r="AY66" s="7" t="s">
        <v>74</v>
      </c>
      <c r="AZ66" s="7" t="s">
        <v>74</v>
      </c>
      <c r="BA66" s="2" t="str">
        <f>IFERROR(VLOOKUP(A66,[4]KPI评分!B:C,2,FALSE)*60%,"--")</f>
        <v>--</v>
      </c>
    </row>
    <row r="67" spans="1:53" ht="24.75" customHeight="1" x14ac:dyDescent="0.25">
      <c r="A67" s="3" t="s">
        <v>135</v>
      </c>
      <c r="B67" s="4" cm="1">
        <f t="array" ref="B67">计算得分(INDEX([1]Sheet1!$W:$W, MATCH(A67, [1]Sheet1!$B:$B,0)), 固定数据!B64, 固定数据!C64, 0.5, 0,-10, 0)</f>
        <v>0</v>
      </c>
      <c r="C67" s="4" cm="1">
        <f t="array" ref="C67">计算得分(INDEX([1]Sheet1!$X:$X, MATCH(A67, [1]Sheet1!$B:$B,0)), 固定数据!D64, 固定数据!E64, 1, 0,-10, 0)</f>
        <v>0</v>
      </c>
      <c r="D67" s="4" cm="1">
        <f t="array" ref="D67">计算得分(INDEX([1]Sheet1!$Y:$Y, MATCH(A67, [1]Sheet1!$B:$B,0)), 固定数据!F64, 固定数据!G64, 2, 0,-10, 0)</f>
        <v>0</v>
      </c>
      <c r="E67" s="4" t="str" cm="1">
        <f t="array" ref="E67">计算得分(INDEX([1]Sheet1!$C:$C, MATCH(A67, [1]Sheet1!$B:$B,0)), 固定数据!H64, 固定数据!I64, 0.02, 10,0, 1)</f>
        <v>--</v>
      </c>
      <c r="F67" s="4" t="str" cm="1">
        <f t="array" ref="F67">计算得分(INDEX([1]Sheet1!$D:$D, MATCH(A67, [1]Sheet1!$B:$B,0)), 固定数据!J64, 固定数据!K64, 0, 0,0, 0)</f>
        <v>--</v>
      </c>
      <c r="G67" s="4" cm="1">
        <f t="array" ref="G67">计算得分(INDEX([1]Sheet1!$E:$E, MATCH(A67, [1]Sheet1!$B:$B,0)), 固定数据!L64, 固定数据!M64, 0.3, 3,0, 5)</f>
        <v>31495.06</v>
      </c>
      <c r="H67" s="4" cm="1">
        <f t="array" ref="H67">计算得分(INDEX([1]Sheet1!$AG:$AG, MATCH(A67, [1]Sheet1!$B:$B,0)), 固定数据!N64, 固定数据!O64, 0.03, 3,0, 3)</f>
        <v>100</v>
      </c>
      <c r="I67" s="4" cm="1">
        <f t="array" ref="I67">计算得分(INDEX([1]Sheet1!$V:$V, MATCH(A67, [1]Sheet1!$B:$B,0)), 固定数据!P64, 固定数据!Q64, 1, 0,-100, 0)</f>
        <v>0</v>
      </c>
      <c r="J67" s="4" t="str" cm="1">
        <f t="array" ref="J67">计算得分(INDEX([1]Sheet1!$AI:$AI, MATCH(A67, [1]Sheet1!$B:$B,0)), 固定数据!R64, 固定数据!S64, 0.04, 12,0, 3)</f>
        <v>--</v>
      </c>
      <c r="K67" s="4" cm="1">
        <f t="array" ref="K67">计算得分(INDEX([1]Sheet1!$F:$F, MATCH(A67, [1]Sheet1!$B:$B,0)), 固定数据!T64, 固定数据!U64, 0.02, 3,0, 1)</f>
        <v>48.68</v>
      </c>
      <c r="L67" s="4" t="str" cm="1">
        <f t="array" ref="L67">计算得分(INDEX([1]Sheet1!$U:$U, MATCH(A67, [1]Sheet1!$B:$B,0)), 固定数据!V64, 固定数据!W64, 0.2, 20,0, 0)</f>
        <v>--</v>
      </c>
      <c r="M67" s="4" t="str" cm="1">
        <f t="array" ref="M67">计算得分(100, 固定数据!X64, 固定数据!Y64, 0, 5,0, 0)</f>
        <v>--</v>
      </c>
      <c r="N67" s="4" t="str" cm="1">
        <f t="array" ref="N67">计算得分(100, 固定数据!Z64, 固定数据!AA64, 0, 5,0, 0)</f>
        <v>--</v>
      </c>
      <c r="O67" s="4" t="str" cm="1">
        <f t="array" ref="O67">计算得分(100, 固定数据!AB64, 固定数据!AC64, 0, 7,0, 0)</f>
        <v>--</v>
      </c>
      <c r="P67" s="4" t="str" cm="1">
        <f t="array" ref="P67">计算得分(INDEX([1]Sheet1!$P:$P, MATCH(A67, [1]Sheet1!$B:$B,0)), 固定数据!AD64, 固定数据!AE64, 0.2, 7,0, 0)</f>
        <v>--</v>
      </c>
      <c r="Q67" s="4" cm="1">
        <f t="array" ref="Q67">计算得分(INDEX([1]Sheet1!$I:$I, MATCH(A67, [1]Sheet1!$B:$B,0)), 固定数据!AF64, 固定数据!AG64,0.2, IF(固定数据!AF64&lt;&gt;"--",固定数据!AF64,0),0, 5)</f>
        <v>242.79</v>
      </c>
      <c r="R67" s="4" cm="1">
        <f t="array" ref="R67">计算得分(INDEX([2]Sheet1!$AL:$AL, MATCH(A67, [2]Sheet1!$A:$A,0)), 固定数据!AH64, 固定数据!AI64, 0.02, 6,0, 1)</f>
        <v>166</v>
      </c>
      <c r="S67" s="4" cm="1">
        <f t="array" ref="S67">计算得分(INDEX([2]Sheet1!$I:$I, MATCH(A67, [2]Sheet1!$A:$A,0)), 固定数据!AJ64, 固定数据!AK64, 0.005, 6,0, 1)</f>
        <v>435</v>
      </c>
      <c r="T67" s="4" cm="1">
        <f t="array" ref="T67">计算得分(98, 固定数据!AL64, 固定数据!AM64, 0.03, IF(固定数据!AL64&lt;&gt;"--",固定数据!AL64,0),0, 3)</f>
        <v>98</v>
      </c>
      <c r="U67" s="4" cm="1">
        <f t="array" ref="U67">计算得分(INDEX([1]Sheet1!$G:$G, MATCH(A67, [1]Sheet1!$B:$B,0)), 固定数据!AN64, 固定数据!AO64, 0.5, 3,0, 0)</f>
        <v>5.57</v>
      </c>
      <c r="V67" s="4" cm="1">
        <f t="array" ref="V67">计算得分(INDEX([1]Sheet1!$H:$H, MATCH(A67, [1]Sheet1!$B:$B,0)), 固定数据!AP64, 固定数据!AQ64, 0.4, 5,0, 1)</f>
        <v>3.61</v>
      </c>
      <c r="W67" s="4" cm="1">
        <f t="array" ref="W67">计算得分(INDEX([1]Sheet1!$J:$J, MATCH(A67, [1]Sheet1!$B:$B,0)), 固定数据!AR64, 固定数据!AS64, 0.2, 2,0, 4)</f>
        <v>242.79</v>
      </c>
      <c r="X67" s="4" cm="1">
        <f t="array" ref="X67">计算得分(INDEX([1]Sheet1!$K:$K, MATCH(A67, [1]Sheet1!$B:$B,0)), 固定数据!AT64, 固定数据!AU64, 0.2, 1.5,0, 4)</f>
        <v>7422.96</v>
      </c>
      <c r="Y67" s="4" cm="1">
        <f t="array" ref="Y67">计算得分(INDEX([1]Sheet1!$AA:$AA, MATCH(A67, [1]Sheet1!$B:$B,0)), 固定数据!AV64, 固定数据!AW64, 0.05, IF(固定数据!AV64&lt;&gt;"--",固定数据!AV64,0),0, 3)</f>
        <v>93.5</v>
      </c>
      <c r="Z67" s="4" cm="1">
        <f t="array" ref="Z67">计算得分(INDEX([1]Sheet1!$AB:$AB, MATCH(A67, [1]Sheet1!$B:$B,0)), 固定数据!AX64, 固定数据!AY64, 0.05, IF(固定数据!AX64&lt;&gt;"--",固定数据!AX64,0),0, 3)</f>
        <v>95</v>
      </c>
      <c r="AA67" s="4" cm="1">
        <f t="array" ref="AA67">计算得分(INDEX([1]Sheet1!$AC:$AC, MATCH(A67, [1]Sheet1!$B:$B,0)), 固定数据!AZ64, 固定数据!BA64, 0.04, IF(固定数据!AZ64&lt;&gt;"--",固定数据!AZ64,0),0, 3)</f>
        <v>96</v>
      </c>
      <c r="AB67" s="4" cm="1">
        <f t="array" ref="AB67">计算得分(INDEX([1]Sheet1!$AD:$AD, MATCH(A67, [1]Sheet1!$B:$B,0)), 固定数据!BB64, 固定数据!BC64, 0.03, IF(固定数据!BB64&lt;&gt;"--",固定数据!BB64,0),0, 3)</f>
        <v>96.7</v>
      </c>
      <c r="AC67" s="4" cm="1">
        <f t="array" ref="AC67">计算得分(INDEX([1]Sheet1!$AE:$AE, MATCH(A67, [1]Sheet1!$B:$B,0)), 固定数据!BD64, 固定数据!BE64, 0.04, IF(固定数据!BD64&lt;&gt;"--",固定数据!BD64,0),0, 3)</f>
        <v>98.25</v>
      </c>
      <c r="AD67" s="4" cm="1">
        <f t="array" ref="AD67">计算得分(INDEX([1]Sheet1!$L:$L, MATCH(A67, [1]Sheet1!$B:$B,0)), 固定数据!BF64, 固定数据!BG64, 0.1, 12.5,0, 3)</f>
        <v>4332.3100000000004</v>
      </c>
      <c r="AE67" s="4" cm="1">
        <f t="array" ref="AE67">计算得分(INDEX([1]Sheet1!$N:$N, MATCH(A67, [1]Sheet1!$B:$B,0)), 固定数据!BH64, 固定数据!BI64, 0.2, 7,0, 0)</f>
        <v>6.03</v>
      </c>
      <c r="AF67" s="4" cm="1">
        <f t="array" ref="AF67">计算得分(INDEX([1]Sheet1!$Q:$Q, MATCH(A67, [1]Sheet1!$B:$B,0)), 固定数据!BJ64, 固定数据!BK64, 0.2, 7,0, 0)</f>
        <v>28.05</v>
      </c>
      <c r="AG67" s="4" cm="1">
        <f t="array" ref="AG67">计算得分(INDEX([1]Sheet1!$S:$S, MATCH(A67, [1]Sheet1!$B:$B,0)), 固定数据!BL64, 固定数据!BM64, 0.2, 20,0, 0)</f>
        <v>69.430000000000007</v>
      </c>
      <c r="AH67" s="4" t="str" cm="1">
        <f t="array" ref="AH67">计算得分(INDEX([1]Sheet1!$AF:$AF, MATCH(A67, [1]Sheet1!$B:$B,0)), 固定数据!BN64, 固定数据!BO64, 0.1, 10,0, 3)</f>
        <v>--</v>
      </c>
      <c r="AI67" s="4" t="str" cm="1">
        <f t="array" ref="AI67">计算得分(INDEX([1]Sheet1!$M:$M, MATCH(A67, [1]Sheet1!$B:$B,0)), 固定数据!BP64, 固定数据!BQ64, 0.2, 20,0, 3)</f>
        <v>--</v>
      </c>
      <c r="AJ67" s="4" cm="1">
        <f t="array" ref="AJ67">计算得分(INDEX([1]Sheet1!$Z:$Z, MATCH(A67, [1]Sheet1!$B:$B,0)), 固定数据!BR64, 固定数据!BS64, 10, 50,0, 0)</f>
        <v>0</v>
      </c>
      <c r="AK67" s="4" t="str" cm="1">
        <f t="array" ref="AK67">计算得分(INDEX([1]Sheet1!$O:$O, MATCH(A67, [1]Sheet1!$B:$B,0)), 固定数据!BT64, 固定数据!BU64, 0.2, 15,0, 0)</f>
        <v>--</v>
      </c>
      <c r="AL67" s="4" t="str" cm="1">
        <f t="array" ref="AL67">计算得分(INDEX([1]Sheet1!$R:$R, MATCH(A67, [1]Sheet1!$B:$B,0)), 固定数据!BV64, 固定数据!BW64, 0.2, 10,0, 0)</f>
        <v>--</v>
      </c>
      <c r="AM67" s="4" t="str" cm="1">
        <f t="array" ref="AM67">计算得分(INDEX([1]Sheet1!$T:$T, MATCH(A67, [1]Sheet1!$B:$B,0)), 固定数据!BX64, 固定数据!BY64, 0.2, 20,0, 0)</f>
        <v>--</v>
      </c>
      <c r="AN67" s="4" t="str" cm="1">
        <f t="array" ref="AN67">计算得分([3]Sheet1!$F$3, 固定数据!BZ64, 固定数据!CA64, 0.5, 15,0, 0)</f>
        <v>--</v>
      </c>
      <c r="AO67" s="4" t="str" cm="1">
        <f t="array" ref="AO67">计算得分([3]Sheet1!$G$3, 固定数据!CB64, 固定数据!CC64, 0.01, 5,0, 1)</f>
        <v>--</v>
      </c>
      <c r="AP67" s="4" t="str" cm="1">
        <f t="array" ref="AP67">计算得分([3]Sheet1!$H$3, 固定数据!CD64, 固定数据!CE64, 0.001, 5,0, 1)</f>
        <v>--</v>
      </c>
      <c r="AQ67" s="4" t="str" cm="1">
        <f t="array" ref="AQ67">计算得分([3]Sheet1!$D$3,固定数据!CF64,固定数据!CG64,0.05,5,0,3)</f>
        <v>--</v>
      </c>
      <c r="AR67" s="4" t="str" cm="1">
        <f t="array" ref="AR67">计算得分([3]Sheet1!$E$3,固定数据!CH64,固定数据!CI64,0.1,10,0,3)</f>
        <v>--</v>
      </c>
      <c r="AS67" s="8" t="s">
        <v>74</v>
      </c>
      <c r="AT67" s="4" t="str" cm="1">
        <f t="array" ref="AT67">计算得分(INDEX([3]Sheet1!$J:$J, MATCH(A67, [3]Sheet1!$B:$B,0)), 固定数据!CL64, 固定数据!CM64, 2, 0,-10, 0)</f>
        <v>--</v>
      </c>
      <c r="AU67" s="4" t="str" cm="1">
        <f t="array" ref="AU67">计算得分(INDEX([3]Sheet1!$K:$K, MATCH(A67, [3]Sheet1!$B:$B,0)), 固定数据!CN64, 固定数据!CO64, 3, 0,-10, 0)</f>
        <v>--</v>
      </c>
      <c r="AV67" s="4" t="str" cm="1">
        <f t="array" ref="AV67">计算得分(INDEX([3]Sheet1!$L:$L, MATCH(A67, [3]Sheet1!$B:$B,0)), 固定数据!CP64, 固定数据!CQ64, 3, 0,-10, 0)</f>
        <v>--</v>
      </c>
      <c r="AW67" s="4" t="str" cm="1">
        <f t="array" ref="AW67">计算得分(INDEX([3]Sheet1!$M:$M, MATCH(A67, [3]Sheet1!$B:$B,0)), 固定数据!CR64, 固定数据!CS64, 100, 0,-100, 0)</f>
        <v>--</v>
      </c>
      <c r="AX67" s="4" t="str" cm="1">
        <f t="array" ref="AX67">计算得分(INDEX([3]Sheet1!$N:$N, MATCH(A67, [3]Sheet1!$B:$B,0)), 固定数据!CT64, 固定数据!CU64, 3, 0,-10, 0)</f>
        <v>--</v>
      </c>
      <c r="AY67" s="8" t="s">
        <v>74</v>
      </c>
      <c r="AZ67" s="8" t="s">
        <v>74</v>
      </c>
      <c r="BA67" s="4" t="str">
        <f>IFERROR(VLOOKUP(A67,[4]KPI评分!B:C,2,FALSE)*60%,"--")</f>
        <v>--</v>
      </c>
    </row>
    <row r="68" spans="1:53" ht="24.75" customHeight="1" x14ac:dyDescent="0.25">
      <c r="A68" s="1" t="s">
        <v>136</v>
      </c>
      <c r="B68" s="2" t="str" cm="1">
        <f t="array" ref="B68">计算得分(INDEX([1]Sheet1!$W:$W, MATCH(A68, [1]Sheet1!$B:$B,0)), 固定数据!B65, 固定数据!C65, 0.5, 0,-10, 0)</f>
        <v>--</v>
      </c>
      <c r="C68" s="2" t="str" cm="1">
        <f t="array" ref="C68">计算得分(INDEX([1]Sheet1!$X:$X, MATCH(A68, [1]Sheet1!$B:$B,0)), 固定数据!D65, 固定数据!E65, 1, 0,-10, 0)</f>
        <v>--</v>
      </c>
      <c r="D68" s="2" t="str" cm="1">
        <f t="array" ref="D68">计算得分(INDEX([1]Sheet1!$Y:$Y, MATCH(A68, [1]Sheet1!$B:$B,0)), 固定数据!F65, 固定数据!G65, 2, 0,-10, 0)</f>
        <v>--</v>
      </c>
      <c r="E68" s="6" t="str" cm="1">
        <f t="array" ref="E68">计算得分(INDEX([1]Sheet1!$C:$C, MATCH(A68, [1]Sheet1!$B:$B,0)), 固定数据!H65, 固定数据!I65, 0.02, 10,0, 1)</f>
        <v>--</v>
      </c>
      <c r="F68" s="2" t="str" cm="1">
        <f t="array" ref="F68">计算得分(INDEX([1]Sheet1!$D:$D, MATCH(A68, [1]Sheet1!$B:$B,0)), 固定数据!J65, 固定数据!K65, 0, 0,0, 0)</f>
        <v>--</v>
      </c>
      <c r="G68" s="2" t="str" cm="1">
        <f t="array" ref="G68">计算得分(INDEX([1]Sheet1!$E:$E, MATCH(A68, [1]Sheet1!$B:$B,0)), 固定数据!L65, 固定数据!M65,  0.3, 3,0, 5)</f>
        <v>--</v>
      </c>
      <c r="H68" s="2" t="str" cm="1">
        <f t="array" ref="H68">计算得分(INDEX([1]Sheet1!$AG:$AG, MATCH(A68, [1]Sheet1!$B:$B,0)), 固定数据!N65, 固定数据!O65, 0.03, 3,0, 3)</f>
        <v>--</v>
      </c>
      <c r="I68" s="2" t="str" cm="1">
        <f t="array" ref="I68">计算得分(INDEX([1]Sheet1!$V:$V, MATCH(A68, [1]Sheet1!$B:$B,0)), 固定数据!P65, 固定数据!Q65, 1, 0,-100, 0)</f>
        <v>--</v>
      </c>
      <c r="J68" s="2" t="str" cm="1">
        <f t="array" ref="J68">计算得分(INDEX([1]Sheet1!$AI:$AI, MATCH(A68, [1]Sheet1!$B:$B,0)), 固定数据!R65, 固定数据!S65, 0.04, 12,0, 3)</f>
        <v>--</v>
      </c>
      <c r="K68" s="2" t="str" cm="1">
        <f t="array" ref="K68">计算得分(INDEX([1]Sheet1!$F:$F, MATCH(A68, [1]Sheet1!$B:$B,0)), 固定数据!T65, 固定数据!U65, 0.02, 3,0, 1)</f>
        <v>--</v>
      </c>
      <c r="L68" s="2" t="str" cm="1">
        <f t="array" ref="L68">计算得分(INDEX([1]Sheet1!$U:$U, MATCH(A68, [1]Sheet1!$B:$B,0)), 固定数据!V65, 固定数据!W65, 0.2, 20,0, 0)</f>
        <v>--</v>
      </c>
      <c r="M68" s="2" t="str" cm="1">
        <f t="array" ref="M68">计算得分(100, 固定数据!X65, 固定数据!Y65, 0, 5,0, 0)</f>
        <v>--</v>
      </c>
      <c r="N68" s="2" t="str" cm="1">
        <f t="array" ref="N68">计算得分(100, 固定数据!Z65, 固定数据!AA65, 0, 5,0, 0)</f>
        <v>--</v>
      </c>
      <c r="O68" s="2" t="str" cm="1">
        <f t="array" ref="O68">计算得分(100, 固定数据!AB65, 固定数据!AC65, 0, 7,0, 0)</f>
        <v>--</v>
      </c>
      <c r="P68" s="2" t="str" cm="1">
        <f t="array" ref="P68">计算得分(INDEX([1]Sheet1!$P:$P, MATCH(A68, [1]Sheet1!$B:$B,0)), 固定数据!AD65, 固定数据!AE65, 0.2, 7,0, 0)</f>
        <v>--</v>
      </c>
      <c r="Q68" s="2" t="str" cm="1">
        <f t="array" ref="Q68">计算得分(INDEX([1]Sheet1!$I:$I, MATCH(A68, [1]Sheet1!$B:$B,0)), 固定数据!AF65, 固定数据!AG65,0.2, IF(固定数据!AF65&lt;&gt;"--",固定数据!AF65,0),2, 5)</f>
        <v>--</v>
      </c>
      <c r="R68" s="2" t="str" cm="1">
        <f t="array" ref="R68">计算得分(INDEX([2]Sheet1!$AL:$AL, MATCH(A68, [2]Sheet1!$A:$A,0)), 固定数据!AH65, 固定数据!AI65, 0.02, 6,6, 1)</f>
        <v>--</v>
      </c>
      <c r="S68" s="2" t="str" cm="1">
        <f t="array" ref="S68">计算得分(INDEX([2]Sheet1!$I:$I, MATCH(A68, [2]Sheet1!$A:$A,0)), 固定数据!AJ65, 固定数据!AK65, 0.005, 6,0, 1)</f>
        <v>--</v>
      </c>
      <c r="T68" s="2" t="str" cm="1">
        <f t="array" ref="T68">计算得分(98, 固定数据!AL65, 固定数据!AM65, 0.03, IF(固定数据!AL65&lt;&gt;"--",固定数据!AL65,0),0, 3)</f>
        <v>--</v>
      </c>
      <c r="U68" s="2" t="str" cm="1">
        <f t="array" ref="U68">计算得分(INDEX([1]Sheet1!$G:$G, MATCH(A68, [1]Sheet1!$B:$B,0)), 固定数据!AN65, 固定数据!AO65, 0.5, 3,0, 0)</f>
        <v>--</v>
      </c>
      <c r="V68" s="2" t="str" cm="1">
        <f t="array" ref="V68">计算得分(INDEX([1]Sheet1!$H:$H, MATCH(A68, [1]Sheet1!$B:$B,0)), 固定数据!AP65, 固定数据!AQ65, 0.4, 5,0, 1)</f>
        <v>--</v>
      </c>
      <c r="W68" s="2" t="str" cm="1">
        <f t="array" ref="W68">计算得分(INDEX([1]Sheet1!$J:$J, MATCH(A68, [1]Sheet1!$B:$B,0)), 固定数据!AR65, 固定数据!AS65, 0.2, 2,2, 4)</f>
        <v>--</v>
      </c>
      <c r="X68" s="2" t="str" cm="1">
        <f t="array" ref="X68">计算得分(INDEX([1]Sheet1!$K:$K, MATCH(A68, [1]Sheet1!$B:$B,0)), 固定数据!AT65, 固定数据!AU65, 0.2, 1.5,1.5, 4)</f>
        <v>--</v>
      </c>
      <c r="Y68" s="2" t="str" cm="1">
        <f t="array" ref="Y68">计算得分(INDEX([1]Sheet1!$AA:$AA, MATCH(A68, [1]Sheet1!$B:$B,0)), 固定数据!AV65, 固定数据!AW65, 0.05, IF(固定数据!AV65&lt;&gt;"--",固定数据!AV65,0),0, 3)</f>
        <v>--</v>
      </c>
      <c r="Z68" s="2" t="str" cm="1">
        <f t="array" ref="Z68">计算得分(INDEX([1]Sheet1!$AB:$AB, MATCH(A68, [1]Sheet1!$B:$B,0)), 固定数据!AX65, 固定数据!AY65, 0.05, IF(固定数据!AX65&lt;&gt;"--",固定数据!AX65,0),0, 3)</f>
        <v>--</v>
      </c>
      <c r="AA68" s="2" t="str" cm="1">
        <f t="array" ref="AA68">计算得分(INDEX([1]Sheet1!$AC:$AC, MATCH(A68, [1]Sheet1!$B:$B,0)), 固定数据!AZ65, 固定数据!BA65, 0.04, IF(固定数据!AZ65&lt;&gt;"--",固定数据!AZ65,0),0, 3)</f>
        <v>--</v>
      </c>
      <c r="AB68" s="2" t="str" cm="1">
        <f t="array" ref="AB68">计算得分(INDEX([1]Sheet1!$AD:$AD, MATCH(A68, [1]Sheet1!$B:$B,0)), 固定数据!BB65, 固定数据!BC65, 0.03, IF(固定数据!BB65&lt;&gt;"--",固定数据!BB65,0),0, 3)</f>
        <v>--</v>
      </c>
      <c r="AC68" s="2" t="str" cm="1">
        <f t="array" ref="AC68">计算得分(INDEX([1]Sheet1!$AE:$AE, MATCH(A68, [1]Sheet1!$B:$B,0)), 固定数据!BD65, 固定数据!BE65, 0.04, IF(固定数据!BD65&lt;&gt;"--",固定数据!BD65,0),0, 3)</f>
        <v>--</v>
      </c>
      <c r="AD68" s="2" t="str" cm="1">
        <f t="array" ref="AD68">计算得分(INDEX([1]Sheet1!$L:$L, MATCH(A68, [1]Sheet1!$B:$B,0)), 固定数据!BF65, 固定数据!BG65, 0.1, 12.5,0, 3)</f>
        <v>--</v>
      </c>
      <c r="AE68" s="2" t="str" cm="1">
        <f t="array" ref="AE68">计算得分(INDEX([1]Sheet1!$N:$N, MATCH(A68, [1]Sheet1!$B:$B,0)), 固定数据!BH65, 固定数据!BI65, 0.2, 7,0, 0)</f>
        <v>--</v>
      </c>
      <c r="AF68" s="2" t="str" cm="1">
        <f t="array" ref="AF68">计算得分(INDEX([1]Sheet1!$Q:$Q, MATCH(A68, [1]Sheet1!$B:$B,0)), 固定数据!BJ65, 固定数据!BK65, 0.2, 7,0, 0)</f>
        <v>--</v>
      </c>
      <c r="AG68" s="2" t="str" cm="1">
        <f t="array" ref="AG68">计算得分(INDEX([1]Sheet1!$S:$S, MATCH(A68, [1]Sheet1!$B:$B,0)), 固定数据!BL65, 固定数据!BM65, 0.2, 20,0, 0)</f>
        <v>--</v>
      </c>
      <c r="AH68" s="6" t="str" cm="1">
        <f t="array" ref="AH68">计算得分(INDEX([1]Sheet1!$AF:$AF, MATCH(A68, [1]Sheet1!$B:$B,0)), 固定数据!BN65, 固定数据!BO65, 0.1, 10,0, 3)</f>
        <v>--</v>
      </c>
      <c r="AI68" s="2" t="str" cm="1">
        <f t="array" ref="AI68">计算得分(INDEX([1]Sheet1!$M:$M, MATCH(A68, [1]Sheet1!$B:$B,0)), 固定数据!BP65, 固定数据!BQ65, 0.2, 20,0, 3)</f>
        <v>--</v>
      </c>
      <c r="AJ68" s="2" t="str" cm="1">
        <f t="array" ref="AJ68">计算得分(INDEX([1]Sheet1!$Z:$Z, MATCH(A68, [1]Sheet1!$B:$B,0)), 固定数据!BR65, 固定数据!BS65, 10, 50,0, 0)</f>
        <v>--</v>
      </c>
      <c r="AK68" s="2" t="str" cm="1">
        <f t="array" ref="AK68">计算得分(INDEX([1]Sheet1!$O:$O, MATCH(A68, [1]Sheet1!$B:$B,0)), 固定数据!BT65, 固定数据!BU65, 0.2, 15,0, 0)</f>
        <v>--</v>
      </c>
      <c r="AL68" s="2" t="str" cm="1">
        <f t="array" ref="AL68">计算得分(INDEX([1]Sheet1!$R:$R, MATCH(A68, [1]Sheet1!$B:$B,0)), 固定数据!BV65, 固定数据!BW65, 0.2, 10,0, 0)</f>
        <v>--</v>
      </c>
      <c r="AM68" s="2" t="str" cm="1">
        <f t="array" ref="AM68">计算得分(INDEX([1]Sheet1!$T:$T, MATCH(A68, [1]Sheet1!$B:$B,0)), 固定数据!BX65, 固定数据!BY65, 0.2, 20,0, 0)</f>
        <v>--</v>
      </c>
      <c r="AN68" s="2" cm="1">
        <f t="array" ref="AN68">计算得分([3]Sheet1!$F$3, 固定数据!BZ65, 固定数据!CA65, 0.5, 15,0, 0)</f>
        <v>104.4</v>
      </c>
      <c r="AO68" s="6" cm="1">
        <f t="array" ref="AO68">计算得分([3]Sheet1!$G$3, 固定数据!CB65, 固定数据!CC65, 0.01, 5,0, 1)</f>
        <v>3675</v>
      </c>
      <c r="AP68" s="6" cm="1">
        <f t="array" ref="AP68">计算得分([3]Sheet1!$H$3, 固定数据!CD65, 固定数据!CE65, 0.001, 5,0, 1)</f>
        <v>18357</v>
      </c>
      <c r="AQ68" s="6" cm="1">
        <f t="array" ref="AQ68">计算得分([3]Sheet1!$D$3,固定数据!CF65,固定数据!CG65,0.05,5,0,3)</f>
        <v>186.8</v>
      </c>
      <c r="AR68" s="6" cm="1">
        <f t="array" ref="AR68">计算得分([3]Sheet1!$E$3,固定数据!CH65,固定数据!CI65,0.1,10,0,3)</f>
        <v>7574.53</v>
      </c>
      <c r="AS68" s="7" t="s">
        <v>74</v>
      </c>
      <c r="AT68" s="6" cm="1">
        <f t="array" ref="AT68">计算得分(INDEX([3]Sheet1!$J:$J, MATCH(A68, [3]Sheet1!$B:$B,0)), 固定数据!CL65, 固定数据!CM65, 2, 0,-10, 0)</f>
        <v>100</v>
      </c>
      <c r="AU68" s="2" cm="1">
        <f t="array" ref="AU68">计算得分(INDEX([3]Sheet1!$K:$K, MATCH(A68, [3]Sheet1!$B:$B,0)), 固定数据!CN65, 固定数据!CO65, 3, 0,-10, 0)</f>
        <v>100</v>
      </c>
      <c r="AV68" s="2" cm="1">
        <f t="array" ref="AV68">计算得分(INDEX([3]Sheet1!$L:$L, MATCH(A68, [3]Sheet1!$B:$B,0)), 固定数据!CP65, 固定数据!CQ65, 3, 0,-10, 0)</f>
        <v>100</v>
      </c>
      <c r="AW68" s="2" cm="1">
        <f t="array" ref="AW68">计算得分(INDEX([3]Sheet1!$M:$M, MATCH(A68, [3]Sheet1!$B:$B,0)), 固定数据!CR65, 固定数据!CS65, 100, 0,-100, 0)</f>
        <v>100</v>
      </c>
      <c r="AX68" s="2" cm="1">
        <f t="array" ref="AX68">计算得分(INDEX([3]Sheet1!$N:$N, MATCH(A68, [3]Sheet1!$B:$B,0)), 固定数据!CT65, 固定数据!CU65, 3, 0,-10, 0)</f>
        <v>100</v>
      </c>
      <c r="AY68" s="7" t="s">
        <v>74</v>
      </c>
      <c r="AZ68" s="7" t="s">
        <v>74</v>
      </c>
      <c r="BA68" s="2">
        <f>IFERROR(VLOOKUP(A68,[4]KPI评分!B:C,2,FALSE)*60%,"--")</f>
        <v>58.199999999999996</v>
      </c>
    </row>
    <row r="69" spans="1:53" ht="24.75" customHeight="1" x14ac:dyDescent="0.25">
      <c r="A69" s="3" t="s">
        <v>137</v>
      </c>
      <c r="B69" s="4" t="str" cm="1">
        <f t="array" ref="B69">计算得分(INDEX([1]Sheet1!$W:$W, MATCH(A69, [1]Sheet1!$B:$B,0)), 固定数据!B66, 固定数据!C66, 0.5, 0,-10, 0)</f>
        <v>--</v>
      </c>
      <c r="C69" s="4" t="str" cm="1">
        <f t="array" ref="C69">计算得分(INDEX([1]Sheet1!$X:$X, MATCH(A69, [1]Sheet1!$B:$B,0)), 固定数据!D66, 固定数据!E66, 1, 0,-10, 0)</f>
        <v>--</v>
      </c>
      <c r="D69" s="4" t="str" cm="1">
        <f t="array" ref="D69">计算得分(INDEX([1]Sheet1!$Y:$Y, MATCH(A69, [1]Sheet1!$B:$B,0)), 固定数据!F66, 固定数据!G66, 2, 0,-10, 0)</f>
        <v>--</v>
      </c>
      <c r="E69" s="4" t="str" cm="1">
        <f t="array" ref="E69">计算得分(INDEX([1]Sheet1!$C:$C, MATCH(A69, [1]Sheet1!$B:$B,0)), 固定数据!H66, 固定数据!I66, 0.02, 10,0, 1)</f>
        <v>--</v>
      </c>
      <c r="F69" s="4" t="str" cm="1">
        <f t="array" ref="F69">计算得分(INDEX([1]Sheet1!$D:$D, MATCH(A69, [1]Sheet1!$B:$B,0)), 固定数据!J66, 固定数据!K66, 0, 0,0, 0)</f>
        <v>--</v>
      </c>
      <c r="G69" s="4" t="str" cm="1">
        <f t="array" ref="G69">计算得分(INDEX([1]Sheet1!$E:$E, MATCH(A69, [1]Sheet1!$B:$B,0)), 固定数据!L66, 固定数据!M66, 0.3, 3,0, 5)</f>
        <v>--</v>
      </c>
      <c r="H69" s="4" t="str" cm="1">
        <f t="array" ref="H69">计算得分(INDEX([1]Sheet1!$AG:$AG, MATCH(A69, [1]Sheet1!$B:$B,0)), 固定数据!N66, 固定数据!O66, 0.03, 3,0, 3)</f>
        <v>--</v>
      </c>
      <c r="I69" s="4" t="str" cm="1">
        <f t="array" ref="I69">计算得分(INDEX([1]Sheet1!$V:$V, MATCH(A69, [1]Sheet1!$B:$B,0)), 固定数据!P66, 固定数据!Q66, 1, 0,-100, 0)</f>
        <v>--</v>
      </c>
      <c r="J69" s="4" t="str" cm="1">
        <f t="array" ref="J69">计算得分(INDEX([1]Sheet1!$AI:$AI, MATCH(A69, [1]Sheet1!$B:$B,0)), 固定数据!R66, 固定数据!S66, 0.04, 12,0, 3)</f>
        <v>--</v>
      </c>
      <c r="K69" s="4" t="str" cm="1">
        <f t="array" ref="K69">计算得分(INDEX([1]Sheet1!$F:$F, MATCH(A69, [1]Sheet1!$B:$B,0)), 固定数据!T66, 固定数据!U66, 0.02, 3,0, 1)</f>
        <v>--</v>
      </c>
      <c r="L69" s="4" t="str" cm="1">
        <f t="array" ref="L69">计算得分(INDEX([1]Sheet1!$U:$U, MATCH(A69, [1]Sheet1!$B:$B,0)), 固定数据!V66, 固定数据!W66, 0.2, 20,0, 0)</f>
        <v>--</v>
      </c>
      <c r="M69" s="4" t="str" cm="1">
        <f t="array" ref="M69">计算得分(100, 固定数据!X66, 固定数据!Y66, 0, 5,0, 0)</f>
        <v>--</v>
      </c>
      <c r="N69" s="4" t="str" cm="1">
        <f t="array" ref="N69">计算得分(100, 固定数据!Z66, 固定数据!AA66, 0, 5,0, 0)</f>
        <v>--</v>
      </c>
      <c r="O69" s="4" t="str" cm="1">
        <f t="array" ref="O69">计算得分(100, 固定数据!AB66, 固定数据!AC66, 0, 7,0, 0)</f>
        <v>--</v>
      </c>
      <c r="P69" s="4" t="str" cm="1">
        <f t="array" ref="P69">计算得分(INDEX([1]Sheet1!$P:$P, MATCH(A69, [1]Sheet1!$B:$B,0)), 固定数据!AD66, 固定数据!AE66, 0.2, 7,0, 0)</f>
        <v>--</v>
      </c>
      <c r="Q69" s="4" t="str" cm="1">
        <f t="array" ref="Q69">计算得分(INDEX([1]Sheet1!$I:$I, MATCH(A69, [1]Sheet1!$B:$B,0)), 固定数据!AF66, 固定数据!AG66,0.2, IF(固定数据!AF66&lt;&gt;"--",固定数据!AF66,0),2, 5)</f>
        <v>--</v>
      </c>
      <c r="R69" s="4" t="str" cm="1">
        <f t="array" ref="R69">计算得分(INDEX([2]Sheet1!$AL:$AL, MATCH(A69, [2]Sheet1!$A:$A,0)), 固定数据!AH66, 固定数据!AI66, 0.02, 6,6, 1)</f>
        <v>--</v>
      </c>
      <c r="S69" s="4" t="str" cm="1">
        <f t="array" ref="S69">计算得分(INDEX([2]Sheet1!$I:$I, MATCH(A69, [2]Sheet1!$A:$A,0)), 固定数据!AJ66, 固定数据!AK66, 0.005, 6,0, 1)</f>
        <v>--</v>
      </c>
      <c r="T69" s="4" t="str" cm="1">
        <f t="array" ref="T69">计算得分(98, 固定数据!AL66, 固定数据!AM66, 0.03, IF(固定数据!AL66&lt;&gt;"--",固定数据!AL66,0),0, 3)</f>
        <v>--</v>
      </c>
      <c r="U69" s="4" t="str" cm="1">
        <f t="array" ref="U69">计算得分(INDEX([1]Sheet1!$G:$G, MATCH(A69, [1]Sheet1!$B:$B,0)), 固定数据!AN66, 固定数据!AO66, 0.5, 3,0, 0)</f>
        <v>--</v>
      </c>
      <c r="V69" s="4" t="str" cm="1">
        <f t="array" ref="V69">计算得分(INDEX([1]Sheet1!$H:$H, MATCH(A69, [1]Sheet1!$B:$B,0)), 固定数据!AP66, 固定数据!AQ66, 0.4, 5,0, 1)</f>
        <v>--</v>
      </c>
      <c r="W69" s="4" t="str" cm="1">
        <f t="array" ref="W69">计算得分(INDEX([1]Sheet1!$J:$J, MATCH(A69, [1]Sheet1!$B:$B,0)), 固定数据!AR66, 固定数据!AS66, 0.2, 2,2, 4)</f>
        <v>--</v>
      </c>
      <c r="X69" s="4" t="str" cm="1">
        <f t="array" ref="X69">计算得分(INDEX([1]Sheet1!$K:$K, MATCH(A69, [1]Sheet1!$B:$B,0)), 固定数据!AT66, 固定数据!AU66, 0.2, 1.5,1.5, 4)</f>
        <v>--</v>
      </c>
      <c r="Y69" s="4" t="str" cm="1">
        <f t="array" ref="Y69">计算得分(INDEX([1]Sheet1!$AA:$AA, MATCH(A69, [1]Sheet1!$B:$B,0)), 固定数据!AV66, 固定数据!AW66, 0.05, IF(固定数据!AV66&lt;&gt;"--",固定数据!AV66,0),0, 3)</f>
        <v>--</v>
      </c>
      <c r="Z69" s="4" t="str" cm="1">
        <f t="array" ref="Z69">计算得分(INDEX([1]Sheet1!$AB:$AB, MATCH(A69, [1]Sheet1!$B:$B,0)), 固定数据!AX66, 固定数据!AY66, 0.05, IF(固定数据!AX66&lt;&gt;"--",固定数据!AX66,0),0, 3)</f>
        <v>--</v>
      </c>
      <c r="AA69" s="4" t="str" cm="1">
        <f t="array" ref="AA69">计算得分(INDEX([1]Sheet1!$AC:$AC, MATCH(A69, [1]Sheet1!$B:$B,0)), 固定数据!AZ66, 固定数据!BA66, 0.04, IF(固定数据!AZ66&lt;&gt;"--",固定数据!AZ66,0),0, 3)</f>
        <v>--</v>
      </c>
      <c r="AB69" s="4" t="str" cm="1">
        <f t="array" ref="AB69">计算得分(INDEX([1]Sheet1!$AD:$AD, MATCH(A69, [1]Sheet1!$B:$B,0)), 固定数据!BB66, 固定数据!BC66, 0.03, IF(固定数据!BB66&lt;&gt;"--",固定数据!BB66,0),0, 3)</f>
        <v>--</v>
      </c>
      <c r="AC69" s="4" t="str" cm="1">
        <f t="array" ref="AC69">计算得分(INDEX([1]Sheet1!$AE:$AE, MATCH(A69, [1]Sheet1!$B:$B,0)), 固定数据!BD66, 固定数据!BE66, 0.04, IF(固定数据!BD66&lt;&gt;"--",固定数据!BD66,0),0, 3)</f>
        <v>--</v>
      </c>
      <c r="AD69" s="4" t="str" cm="1">
        <f t="array" ref="AD69">计算得分(INDEX([1]Sheet1!$L:$L, MATCH(A69, [1]Sheet1!$B:$B,0)), 固定数据!BF66, 固定数据!BG66, 0.1, 12.5,0, 3)</f>
        <v>--</v>
      </c>
      <c r="AE69" s="4" t="str" cm="1">
        <f t="array" ref="AE69">计算得分(INDEX([1]Sheet1!$N:$N, MATCH(A69, [1]Sheet1!$B:$B,0)), 固定数据!BH66, 固定数据!BI66, 0.2, 7,0, 0)</f>
        <v>--</v>
      </c>
      <c r="AF69" s="4" t="str" cm="1">
        <f t="array" ref="AF69">计算得分(INDEX([1]Sheet1!$Q:$Q, MATCH(A69, [1]Sheet1!$B:$B,0)), 固定数据!BJ66, 固定数据!BK66, 0.2, 7,0, 0)</f>
        <v>--</v>
      </c>
      <c r="AG69" s="4" t="str" cm="1">
        <f t="array" ref="AG69">计算得分(INDEX([1]Sheet1!$S:$S, MATCH(A69, [1]Sheet1!$B:$B,0)), 固定数据!BL66, 固定数据!BM66, 0.2, 20,0, 0)</f>
        <v>--</v>
      </c>
      <c r="AH69" s="4" t="str" cm="1">
        <f t="array" ref="AH69">计算得分(INDEX([1]Sheet1!$AF:$AF, MATCH(A69, [1]Sheet1!$B:$B,0)), 固定数据!BN66, 固定数据!BO66, 0.1, 10,0, 3)</f>
        <v>--</v>
      </c>
      <c r="AI69" s="4" t="str" cm="1">
        <f t="array" ref="AI69">计算得分(INDEX([1]Sheet1!$M:$M, MATCH(A69, [1]Sheet1!$B:$B,0)), 固定数据!BP66, 固定数据!BQ66, 0.2, 20,0, 3)</f>
        <v>--</v>
      </c>
      <c r="AJ69" s="4" t="str" cm="1">
        <f t="array" ref="AJ69">计算得分(INDEX([1]Sheet1!$Z:$Z, MATCH(A69, [1]Sheet1!$B:$B,0)), 固定数据!BR66, 固定数据!BS66, 10, 50,0, 0)</f>
        <v>--</v>
      </c>
      <c r="AK69" s="4" t="str" cm="1">
        <f t="array" ref="AK69">计算得分(INDEX([1]Sheet1!$O:$O, MATCH(A69, [1]Sheet1!$B:$B,0)), 固定数据!BT66, 固定数据!BU66, 0.2, 15,0, 0)</f>
        <v>--</v>
      </c>
      <c r="AL69" s="4" t="str" cm="1">
        <f t="array" ref="AL69">计算得分(INDEX([1]Sheet1!$R:$R, MATCH(A69, [1]Sheet1!$B:$B,0)), 固定数据!BV66, 固定数据!BW66, 0.2, 10,0, 0)</f>
        <v>--</v>
      </c>
      <c r="AM69" s="4" t="str" cm="1">
        <f t="array" ref="AM69">计算得分(INDEX([1]Sheet1!$T:$T, MATCH(A69, [1]Sheet1!$B:$B,0)), 固定数据!BX66, 固定数据!BY66, 0.2, 20,0, 0)</f>
        <v>--</v>
      </c>
      <c r="AN69" s="4" cm="1">
        <f t="array" ref="AN69">计算得分([3]Sheet1!$F$3, 固定数据!BZ66, 固定数据!CA66, 0.5, 15,0, 0)</f>
        <v>104.4</v>
      </c>
      <c r="AO69" s="4" cm="1">
        <f t="array" ref="AO69">计算得分([3]Sheet1!$G$3, 固定数据!CB66, 固定数据!CC66, 0.01, 5,0, 1)</f>
        <v>3675</v>
      </c>
      <c r="AP69" s="4" cm="1">
        <f t="array" ref="AP69">计算得分([3]Sheet1!$H$3, 固定数据!CD66, 固定数据!CE66, 0.001, 5,0, 1)</f>
        <v>18357</v>
      </c>
      <c r="AQ69" s="4" cm="1">
        <f t="array" ref="AQ69">计算得分([3]Sheet1!$D$3,固定数据!CF66,固定数据!CG66,0.05,5,0,3)</f>
        <v>186.8</v>
      </c>
      <c r="AR69" s="4" cm="1">
        <f t="array" ref="AR69">计算得分([3]Sheet1!$E$3,固定数据!CH66,固定数据!CI66,0.1,10,0,3)</f>
        <v>7574.53</v>
      </c>
      <c r="AS69" s="8" t="s">
        <v>74</v>
      </c>
      <c r="AT69" s="4" cm="1">
        <f t="array" ref="AT69">计算得分(INDEX([3]Sheet1!$J:$J, MATCH(A69, [3]Sheet1!$B:$B,0)), 固定数据!CL66, 固定数据!CM66, 2, 0,-10, 0)</f>
        <v>100</v>
      </c>
      <c r="AU69" s="4" cm="1">
        <f t="array" ref="AU69">计算得分(INDEX([3]Sheet1!$K:$K, MATCH(A69, [3]Sheet1!$B:$B,0)), 固定数据!CN66, 固定数据!CO66, 3, 0,-10, 0)</f>
        <v>100</v>
      </c>
      <c r="AV69" s="4" cm="1">
        <f t="array" ref="AV69">计算得分(INDEX([3]Sheet1!$L:$L, MATCH(A69, [3]Sheet1!$B:$B,0)), 固定数据!CP66, 固定数据!CQ66, 3, 0,-10, 0)</f>
        <v>100</v>
      </c>
      <c r="AW69" s="4" cm="1">
        <f t="array" ref="AW69">计算得分(INDEX([3]Sheet1!$M:$M, MATCH(A69, [3]Sheet1!$B:$B,0)), 固定数据!CR66, 固定数据!CS66, 100, 0,-100, 0)</f>
        <v>100</v>
      </c>
      <c r="AX69" s="4" cm="1">
        <f t="array" ref="AX69">计算得分(INDEX([3]Sheet1!$N:$N, MATCH(A69, [3]Sheet1!$B:$B,0)), 固定数据!CT66, 固定数据!CU66, 3, 0,-10, 0)</f>
        <v>100</v>
      </c>
      <c r="AY69" s="8" t="s">
        <v>74</v>
      </c>
      <c r="AZ69" s="8" t="s">
        <v>74</v>
      </c>
      <c r="BA69" s="4">
        <f>IFERROR(VLOOKUP(A69,[4]KPI评分!B:C,2,FALSE)*60%,"--")</f>
        <v>57.359999999999992</v>
      </c>
    </row>
    <row r="70" spans="1:53" ht="24.75" customHeight="1" x14ac:dyDescent="0.25">
      <c r="A70" s="1" t="s">
        <v>138</v>
      </c>
      <c r="B70" s="2" t="str" cm="1">
        <f t="array" ref="B70">计算得分(INDEX([1]Sheet1!$W:$W, MATCH(A70, [1]Sheet1!$B:$B,0)), 固定数据!B67, 固定数据!C67, 0.5, 0,-10, 0)</f>
        <v>--</v>
      </c>
      <c r="C70" s="2" t="str" cm="1">
        <f t="array" ref="C70">计算得分(INDEX([1]Sheet1!$X:$X, MATCH(A70, [1]Sheet1!$B:$B,0)), 固定数据!D67, 固定数据!E67, 1, 0,-10, 0)</f>
        <v>--</v>
      </c>
      <c r="D70" s="2" t="str" cm="1">
        <f t="array" ref="D70">计算得分(INDEX([1]Sheet1!$Y:$Y, MATCH(A70, [1]Sheet1!$B:$B,0)), 固定数据!F67, 固定数据!G67, 2, 0,-10, 0)</f>
        <v>--</v>
      </c>
      <c r="E70" s="6" t="str" cm="1">
        <f t="array" ref="E70">计算得分(INDEX([1]Sheet1!$C:$C, MATCH(A70, [1]Sheet1!$B:$B,0)), 固定数据!H67, 固定数据!I67, 0.02, 10,0, 1)</f>
        <v>--</v>
      </c>
      <c r="F70" s="2" t="str" cm="1">
        <f t="array" ref="F70">计算得分(INDEX([1]Sheet1!$D:$D, MATCH(A70, [1]Sheet1!$B:$B,0)), 固定数据!J67, 固定数据!K67, 0, 0,0, 0)</f>
        <v>--</v>
      </c>
      <c r="G70" s="2" t="str" cm="1">
        <f t="array" ref="G70">计算得分(INDEX([1]Sheet1!$E:$E, MATCH(A70, [1]Sheet1!$B:$B,0)), 固定数据!L67, 固定数据!M67,  0.3, 3,0, 5)</f>
        <v>--</v>
      </c>
      <c r="H70" s="2" t="str" cm="1">
        <f t="array" ref="H70">计算得分(INDEX([1]Sheet1!$AG:$AG, MATCH(A70, [1]Sheet1!$B:$B,0)), 固定数据!N67, 固定数据!O67, 0.03, 3,0, 3)</f>
        <v>--</v>
      </c>
      <c r="I70" s="2" t="str" cm="1">
        <f t="array" ref="I70">计算得分(INDEX([1]Sheet1!$V:$V, MATCH(A70, [1]Sheet1!$B:$B,0)), 固定数据!P67, 固定数据!Q67, 1, 0,-100, 0)</f>
        <v>--</v>
      </c>
      <c r="J70" s="2" t="str" cm="1">
        <f t="array" ref="J70">计算得分(INDEX([1]Sheet1!$AI:$AI, MATCH(A70, [1]Sheet1!$B:$B,0)), 固定数据!R67, 固定数据!S67, 0.04, 12,0, 3)</f>
        <v>--</v>
      </c>
      <c r="K70" s="2" t="str" cm="1">
        <f t="array" ref="K70">计算得分(INDEX([1]Sheet1!$F:$F, MATCH(A70, [1]Sheet1!$B:$B,0)), 固定数据!T67, 固定数据!U67, 0.02, 3,0, 1)</f>
        <v>--</v>
      </c>
      <c r="L70" s="2" t="str" cm="1">
        <f t="array" ref="L70">计算得分(INDEX([1]Sheet1!$U:$U, MATCH(A70, [1]Sheet1!$B:$B,0)), 固定数据!V67, 固定数据!W67, 0.2, 20,0, 0)</f>
        <v>--</v>
      </c>
      <c r="M70" s="2" t="str" cm="1">
        <f t="array" ref="M70">计算得分(100, 固定数据!X67, 固定数据!Y67, 0, 5,0, 0)</f>
        <v>--</v>
      </c>
      <c r="N70" s="2" t="str" cm="1">
        <f t="array" ref="N70">计算得分(100, 固定数据!Z67, 固定数据!AA67, 0, 5,0, 0)</f>
        <v>--</v>
      </c>
      <c r="O70" s="2" t="str" cm="1">
        <f t="array" ref="O70">计算得分(100, 固定数据!AB67, 固定数据!AC67, 0, 7,0, 0)</f>
        <v>--</v>
      </c>
      <c r="P70" s="2" t="str" cm="1">
        <f t="array" ref="P70">计算得分(INDEX([1]Sheet1!$P:$P, MATCH(A70, [1]Sheet1!$B:$B,0)), 固定数据!AD67, 固定数据!AE67, 0.2, 7,0, 0)</f>
        <v>--</v>
      </c>
      <c r="Q70" s="2" t="str" cm="1">
        <f t="array" ref="Q70">计算得分(INDEX([1]Sheet1!$I:$I, MATCH(A70, [1]Sheet1!$B:$B,0)), 固定数据!AF67, 固定数据!AG67,0.2, IF(固定数据!AF67&lt;&gt;"--",固定数据!AF67,0),2, 5)</f>
        <v>--</v>
      </c>
      <c r="R70" s="2" t="str" cm="1">
        <f t="array" ref="R70">计算得分(INDEX([2]Sheet1!$AL:$AL, MATCH(A70, [2]Sheet1!$A:$A,0)), 固定数据!AH67, 固定数据!AI67, 0.02, 6,6, 1)</f>
        <v>--</v>
      </c>
      <c r="S70" s="2" t="str" cm="1">
        <f t="array" ref="S70">计算得分(INDEX([2]Sheet1!$I:$I, MATCH(A70, [2]Sheet1!$A:$A,0)), 固定数据!AJ67, 固定数据!AK67, 0.005, 6,0, 1)</f>
        <v>--</v>
      </c>
      <c r="T70" s="2" t="str" cm="1">
        <f t="array" ref="T70">计算得分(98, 固定数据!AL67, 固定数据!AM67, 0.03, IF(固定数据!AL67&lt;&gt;"--",固定数据!AL67,0),0, 3)</f>
        <v>--</v>
      </c>
      <c r="U70" s="2" t="str" cm="1">
        <f t="array" ref="U70">计算得分(INDEX([1]Sheet1!$G:$G, MATCH(A70, [1]Sheet1!$B:$B,0)), 固定数据!AN67, 固定数据!AO67, 0.5, 3,0, 0)</f>
        <v>--</v>
      </c>
      <c r="V70" s="2" t="str" cm="1">
        <f t="array" ref="V70">计算得分(INDEX([1]Sheet1!$H:$H, MATCH(A70, [1]Sheet1!$B:$B,0)), 固定数据!AP67, 固定数据!AQ67, 0.4, 5,0, 1)</f>
        <v>--</v>
      </c>
      <c r="W70" s="2" t="str" cm="1">
        <f t="array" ref="W70">计算得分(INDEX([1]Sheet1!$J:$J, MATCH(A70, [1]Sheet1!$B:$B,0)), 固定数据!AR67, 固定数据!AS67, 0.2, 2,2, 4)</f>
        <v>--</v>
      </c>
      <c r="X70" s="2" t="str" cm="1">
        <f t="array" ref="X70">计算得分(INDEX([1]Sheet1!$K:$K, MATCH(A70, [1]Sheet1!$B:$B,0)), 固定数据!AT67, 固定数据!AU67, 0.2, 1.5,1.5, 4)</f>
        <v>--</v>
      </c>
      <c r="Y70" s="2" t="str" cm="1">
        <f t="array" ref="Y70">计算得分(INDEX([1]Sheet1!$AA:$AA, MATCH(A70, [1]Sheet1!$B:$B,0)), 固定数据!AV67, 固定数据!AW67, 0.05, IF(固定数据!AV67&lt;&gt;"--",固定数据!AV67,0),0, 3)</f>
        <v>--</v>
      </c>
      <c r="Z70" s="2" t="str" cm="1">
        <f t="array" ref="Z70">计算得分(INDEX([1]Sheet1!$AB:$AB, MATCH(A70, [1]Sheet1!$B:$B,0)), 固定数据!AX67, 固定数据!AY67, 0.05, IF(固定数据!AX67&lt;&gt;"--",固定数据!AX67,0),0, 3)</f>
        <v>--</v>
      </c>
      <c r="AA70" s="2" t="str" cm="1">
        <f t="array" ref="AA70">计算得分(INDEX([1]Sheet1!$AC:$AC, MATCH(A70, [1]Sheet1!$B:$B,0)), 固定数据!AZ67, 固定数据!BA67, 0.04, IF(固定数据!AZ67&lt;&gt;"--",固定数据!AZ67,0),0, 3)</f>
        <v>--</v>
      </c>
      <c r="AB70" s="2" t="str" cm="1">
        <f t="array" ref="AB70">计算得分(INDEX([1]Sheet1!$AD:$AD, MATCH(A70, [1]Sheet1!$B:$B,0)), 固定数据!BB67, 固定数据!BC67, 0.03, IF(固定数据!BB67&lt;&gt;"--",固定数据!BB67,0),0, 3)</f>
        <v>--</v>
      </c>
      <c r="AC70" s="2" t="str" cm="1">
        <f t="array" ref="AC70">计算得分(INDEX([1]Sheet1!$AE:$AE, MATCH(A70, [1]Sheet1!$B:$B,0)), 固定数据!BD67, 固定数据!BE67, 0.04, IF(固定数据!BD67&lt;&gt;"--",固定数据!BD67,0),0, 3)</f>
        <v>--</v>
      </c>
      <c r="AD70" s="2" t="str" cm="1">
        <f t="array" ref="AD70">计算得分(INDEX([1]Sheet1!$L:$L, MATCH(A70, [1]Sheet1!$B:$B,0)), 固定数据!BF67, 固定数据!BG67, 0.1, 12.5,0, 3)</f>
        <v>--</v>
      </c>
      <c r="AE70" s="2" t="str" cm="1">
        <f t="array" ref="AE70">计算得分(INDEX([1]Sheet1!$N:$N, MATCH(A70, [1]Sheet1!$B:$B,0)), 固定数据!BH67, 固定数据!BI67, 0.2, 7,0, 0)</f>
        <v>--</v>
      </c>
      <c r="AF70" s="2" t="str" cm="1">
        <f t="array" ref="AF70">计算得分(INDEX([1]Sheet1!$Q:$Q, MATCH(A70, [1]Sheet1!$B:$B,0)), 固定数据!BJ67, 固定数据!BK67, 0.2, 7,0, 0)</f>
        <v>--</v>
      </c>
      <c r="AG70" s="2" t="str" cm="1">
        <f t="array" ref="AG70">计算得分(INDEX([1]Sheet1!$S:$S, MATCH(A70, [1]Sheet1!$B:$B,0)), 固定数据!BL67, 固定数据!BM67, 0.2, 20,0, 0)</f>
        <v>--</v>
      </c>
      <c r="AH70" s="6" t="str" cm="1">
        <f t="array" ref="AH70">计算得分(INDEX([1]Sheet1!$AF:$AF, MATCH(A70, [1]Sheet1!$B:$B,0)), 固定数据!BN67, 固定数据!BO67, 0.1, 10,0, 3)</f>
        <v>--</v>
      </c>
      <c r="AI70" s="2" t="str" cm="1">
        <f t="array" ref="AI70">计算得分(INDEX([1]Sheet1!$M:$M, MATCH(A70, [1]Sheet1!$B:$B,0)), 固定数据!BP67, 固定数据!BQ67, 0.2, 20,0, 3)</f>
        <v>--</v>
      </c>
      <c r="AJ70" s="2" t="str" cm="1">
        <f t="array" ref="AJ70">计算得分(INDEX([1]Sheet1!$Z:$Z, MATCH(A70, [1]Sheet1!$B:$B,0)), 固定数据!BR67, 固定数据!BS67, 10, 50,0, 0)</f>
        <v>--</v>
      </c>
      <c r="AK70" s="2" t="str" cm="1">
        <f t="array" ref="AK70">计算得分(INDEX([1]Sheet1!$O:$O, MATCH(A70, [1]Sheet1!$B:$B,0)), 固定数据!BT67, 固定数据!BU67, 0.2, 15,0, 0)</f>
        <v>--</v>
      </c>
      <c r="AL70" s="2" t="str" cm="1">
        <f t="array" ref="AL70">计算得分(INDEX([1]Sheet1!$R:$R, MATCH(A70, [1]Sheet1!$B:$B,0)), 固定数据!BV67, 固定数据!BW67, 0.2, 10,0, 0)</f>
        <v>--</v>
      </c>
      <c r="AM70" s="2" t="str" cm="1">
        <f t="array" ref="AM70">计算得分(INDEX([1]Sheet1!$T:$T, MATCH(A70, [1]Sheet1!$B:$B,0)), 固定数据!BX67, 固定数据!BY67, 0.2, 20,0, 0)</f>
        <v>--</v>
      </c>
      <c r="AN70" s="2" t="str" cm="1">
        <f t="array" ref="AN70">计算得分([3]Sheet1!$F$3, 固定数据!BZ67, 固定数据!CA67, 0.5, 15,0, 0)</f>
        <v>--</v>
      </c>
      <c r="AO70" s="6" t="str" cm="1">
        <f t="array" ref="AO70">计算得分([3]Sheet1!$G$3, 固定数据!CB67, 固定数据!CC67, 0.01, 5,0, 1)</f>
        <v>--</v>
      </c>
      <c r="AP70" s="6" t="str" cm="1">
        <f t="array" ref="AP70">计算得分([3]Sheet1!$H$3, 固定数据!CD67, 固定数据!CE67, 0.001, 5,0, 1)</f>
        <v>--</v>
      </c>
      <c r="AQ70" s="6" t="str" cm="1">
        <f t="array" ref="AQ70">计算得分([3]Sheet1!$D$3,固定数据!CF67,固定数据!CG67,0.05,5,0,3)</f>
        <v>--</v>
      </c>
      <c r="AR70" s="6" t="str" cm="1">
        <f t="array" ref="AR70">计算得分([3]Sheet1!$E$3,固定数据!CH67,固定数据!CI67,0.1,10,0,3)</f>
        <v>--</v>
      </c>
      <c r="AS70" s="7" t="s">
        <v>74</v>
      </c>
      <c r="AT70" s="6" t="str" cm="1">
        <f t="array" ref="AT70">计算得分(INDEX([3]Sheet1!$J:$J, MATCH(A70, [3]Sheet1!$B:$B,0)), 固定数据!CL67, 固定数据!CM67, 2, 0,-10, 0)</f>
        <v>--</v>
      </c>
      <c r="AU70" s="2" t="str" cm="1">
        <f t="array" ref="AU70">计算得分(INDEX([3]Sheet1!$K:$K, MATCH(A70, [3]Sheet1!$B:$B,0)), 固定数据!CN67, 固定数据!CO67, 3, 0,-10, 0)</f>
        <v>--</v>
      </c>
      <c r="AV70" s="2" t="str" cm="1">
        <f t="array" ref="AV70">计算得分(INDEX([3]Sheet1!$L:$L, MATCH(A70, [3]Sheet1!$B:$B,0)), 固定数据!CP67, 固定数据!CQ67, 3, 0,-10, 0)</f>
        <v>--</v>
      </c>
      <c r="AW70" s="2" t="str" cm="1">
        <f t="array" ref="AW70">计算得分(INDEX([3]Sheet1!$M:$M, MATCH(A70, [3]Sheet1!$B:$B,0)), 固定数据!CR67, 固定数据!CS67, 100, 0,-100, 0)</f>
        <v>--</v>
      </c>
      <c r="AX70" s="2" t="str" cm="1">
        <f t="array" ref="AX70">计算得分(INDEX([3]Sheet1!$N:$N, MATCH(A70, [3]Sheet1!$B:$B,0)), 固定数据!CT67, 固定数据!CU67, 3, 0,-10, 0)</f>
        <v>--</v>
      </c>
      <c r="AY70" s="7" t="s">
        <v>74</v>
      </c>
      <c r="AZ70" s="7" t="s">
        <v>74</v>
      </c>
      <c r="BA70" s="2" t="str">
        <f>IFERROR(VLOOKUP(A70,[4]KPI评分!B:C,2,FALSE)*60%,"--")</f>
        <v>--</v>
      </c>
    </row>
    <row r="71" spans="1:53" ht="24.75" customHeight="1" x14ac:dyDescent="0.25">
      <c r="A71" s="3" t="s">
        <v>139</v>
      </c>
      <c r="B71" s="4" t="str" cm="1">
        <f t="array" ref="B71">计算得分(INDEX([1]Sheet1!$W:$W, MATCH(A71, [1]Sheet1!$B:$B,0)), 固定数据!B68, 固定数据!C68, 0.5, 0,-10, 0)</f>
        <v>--</v>
      </c>
      <c r="C71" s="4" t="str" cm="1">
        <f t="array" ref="C71">计算得分(INDEX([1]Sheet1!$X:$X, MATCH(A71, [1]Sheet1!$B:$B,0)), 固定数据!D68, 固定数据!E68, 1, 0,-10, 0)</f>
        <v>--</v>
      </c>
      <c r="D71" s="4" t="str" cm="1">
        <f t="array" ref="D71">计算得分(INDEX([1]Sheet1!$Y:$Y, MATCH(A71, [1]Sheet1!$B:$B,0)), 固定数据!F68, 固定数据!G68, 2, 0,-10, 0)</f>
        <v>--</v>
      </c>
      <c r="E71" s="4" t="str" cm="1">
        <f t="array" ref="E71">计算得分(INDEX([1]Sheet1!$C:$C, MATCH(A71, [1]Sheet1!$B:$B,0)), 固定数据!H68, 固定数据!I68, 0.02, 10,0, 1)</f>
        <v>--</v>
      </c>
      <c r="F71" s="4" t="str" cm="1">
        <f t="array" ref="F71">计算得分(INDEX([1]Sheet1!$D:$D, MATCH(A71, [1]Sheet1!$B:$B,0)), 固定数据!J68, 固定数据!K68, 0, 0,0, 0)</f>
        <v>--</v>
      </c>
      <c r="G71" s="4" t="str" cm="1">
        <f t="array" ref="G71">计算得分(INDEX([1]Sheet1!$E:$E, MATCH(A71, [1]Sheet1!$B:$B,0)), 固定数据!L68, 固定数据!M68, 0.3, 3,0, 5)</f>
        <v>--</v>
      </c>
      <c r="H71" s="4" t="str" cm="1">
        <f t="array" ref="H71">计算得分(INDEX([1]Sheet1!$AG:$AG, MATCH(A71, [1]Sheet1!$B:$B,0)), 固定数据!N68, 固定数据!O68, 0.03, 3,0, 3)</f>
        <v>--</v>
      </c>
      <c r="I71" s="4" t="str" cm="1">
        <f t="array" ref="I71">计算得分(INDEX([1]Sheet1!$V:$V, MATCH(A71, [1]Sheet1!$B:$B,0)), 固定数据!P68, 固定数据!Q68, 1, 0,-100, 0)</f>
        <v>--</v>
      </c>
      <c r="J71" s="4" t="str" cm="1">
        <f t="array" ref="J71">计算得分(INDEX([1]Sheet1!$AI:$AI, MATCH(A71, [1]Sheet1!$B:$B,0)), 固定数据!R68, 固定数据!S68, 0.04, 12,0, 3)</f>
        <v>--</v>
      </c>
      <c r="K71" s="4" t="str" cm="1">
        <f t="array" ref="K71">计算得分(INDEX([1]Sheet1!$F:$F, MATCH(A71, [1]Sheet1!$B:$B,0)), 固定数据!T68, 固定数据!U68, 0.02, 3,0, 1)</f>
        <v>--</v>
      </c>
      <c r="L71" s="4" t="str" cm="1">
        <f t="array" ref="L71">计算得分(INDEX([1]Sheet1!$U:$U, MATCH(A71, [1]Sheet1!$B:$B,0)), 固定数据!V68, 固定数据!W68, 0.2, 20,0, 0)</f>
        <v>--</v>
      </c>
      <c r="M71" s="4" t="str" cm="1">
        <f t="array" ref="M71">计算得分(100, 固定数据!X68, 固定数据!Y68, 0, 5,0, 0)</f>
        <v>--</v>
      </c>
      <c r="N71" s="4" t="str" cm="1">
        <f t="array" ref="N71">计算得分(100, 固定数据!Z68, 固定数据!AA68, 0, 5,0, 0)</f>
        <v>--</v>
      </c>
      <c r="O71" s="4" t="str" cm="1">
        <f t="array" ref="O71">计算得分(100, 固定数据!AB68, 固定数据!AC68, 0, 7,0, 0)</f>
        <v>--</v>
      </c>
      <c r="P71" s="4" t="str" cm="1">
        <f t="array" ref="P71">计算得分(INDEX([1]Sheet1!$P:$P, MATCH(A71, [1]Sheet1!$B:$B,0)), 固定数据!AD68, 固定数据!AE68, 0.2, 7,0, 0)</f>
        <v>--</v>
      </c>
      <c r="Q71" s="4" t="str" cm="1">
        <f t="array" ref="Q71">计算得分(INDEX([1]Sheet1!$I:$I, MATCH(A71, [1]Sheet1!$B:$B,0)), 固定数据!AF68, 固定数据!AG68,0.2, IF(固定数据!AF68&lt;&gt;"--",固定数据!AF68,0),2, 5)</f>
        <v>--</v>
      </c>
      <c r="R71" s="4" t="str" cm="1">
        <f t="array" ref="R71">计算得分(INDEX([2]Sheet1!$AL:$AL, MATCH(A71, [2]Sheet1!$A:$A,0)), 固定数据!AH68, 固定数据!AI68, 0.02, 6,6, 1)</f>
        <v>--</v>
      </c>
      <c r="S71" s="4" t="str" cm="1">
        <f t="array" ref="S71">计算得分(INDEX([2]Sheet1!$I:$I, MATCH(A71, [2]Sheet1!$A:$A,0)), 固定数据!AJ68, 固定数据!AK68, 0.005, 6,0, 1)</f>
        <v>--</v>
      </c>
      <c r="T71" s="4" t="str" cm="1">
        <f t="array" ref="T71">计算得分(98, 固定数据!AL68, 固定数据!AM68, 0.03, IF(固定数据!AL68&lt;&gt;"--",固定数据!AL68,0),0, 3)</f>
        <v>--</v>
      </c>
      <c r="U71" s="4" t="str" cm="1">
        <f t="array" ref="U71">计算得分(INDEX([1]Sheet1!$G:$G, MATCH(A71, [1]Sheet1!$B:$B,0)), 固定数据!AN68, 固定数据!AO68, 0.5, 3,0, 0)</f>
        <v>--</v>
      </c>
      <c r="V71" s="4" t="str" cm="1">
        <f t="array" ref="V71">计算得分(INDEX([1]Sheet1!$H:$H, MATCH(A71, [1]Sheet1!$B:$B,0)), 固定数据!AP68, 固定数据!AQ68, 0.4, 5,0, 1)</f>
        <v>--</v>
      </c>
      <c r="W71" s="4" t="str" cm="1">
        <f t="array" ref="W71">计算得分(INDEX([1]Sheet1!$J:$J, MATCH(A71, [1]Sheet1!$B:$B,0)), 固定数据!AR68, 固定数据!AS68, 0.2, 2,2, 4)</f>
        <v>--</v>
      </c>
      <c r="X71" s="4" t="str" cm="1">
        <f t="array" ref="X71">计算得分(INDEX([1]Sheet1!$K:$K, MATCH(A71, [1]Sheet1!$B:$B,0)), 固定数据!AT68, 固定数据!AU68, 0.2, 1.5,1.5, 4)</f>
        <v>--</v>
      </c>
      <c r="Y71" s="4" t="str" cm="1">
        <f t="array" ref="Y71">计算得分(INDEX([1]Sheet1!$AA:$AA, MATCH(A71, [1]Sheet1!$B:$B,0)), 固定数据!AV68, 固定数据!AW68, 0.05, IF(固定数据!AV68&lt;&gt;"--",固定数据!AV68,0),0, 3)</f>
        <v>--</v>
      </c>
      <c r="Z71" s="4" t="str" cm="1">
        <f t="array" ref="Z71">计算得分(INDEX([1]Sheet1!$AB:$AB, MATCH(A71, [1]Sheet1!$B:$B,0)), 固定数据!AX68, 固定数据!AY68, 0.05, IF(固定数据!AX68&lt;&gt;"--",固定数据!AX68,0),0, 3)</f>
        <v>--</v>
      </c>
      <c r="AA71" s="4" t="str" cm="1">
        <f t="array" ref="AA71">计算得分(INDEX([1]Sheet1!$AC:$AC, MATCH(A71, [1]Sheet1!$B:$B,0)), 固定数据!AZ68, 固定数据!BA68, 0.04, IF(固定数据!AZ68&lt;&gt;"--",固定数据!AZ68,0),0, 3)</f>
        <v>--</v>
      </c>
      <c r="AB71" s="4" t="str" cm="1">
        <f t="array" ref="AB71">计算得分(INDEX([1]Sheet1!$AD:$AD, MATCH(A71, [1]Sheet1!$B:$B,0)), 固定数据!BB68, 固定数据!BC68, 0.03, IF(固定数据!BB68&lt;&gt;"--",固定数据!BB68,0),0, 3)</f>
        <v>--</v>
      </c>
      <c r="AC71" s="4" t="str" cm="1">
        <f t="array" ref="AC71">计算得分(INDEX([1]Sheet1!$AE:$AE, MATCH(A71, [1]Sheet1!$B:$B,0)), 固定数据!BD68, 固定数据!BE68, 0.04, IF(固定数据!BD68&lt;&gt;"--",固定数据!BD68,0),0, 3)</f>
        <v>--</v>
      </c>
      <c r="AD71" s="4" t="str" cm="1">
        <f t="array" ref="AD71">计算得分(INDEX([1]Sheet1!$L:$L, MATCH(A71, [1]Sheet1!$B:$B,0)), 固定数据!BF68, 固定数据!BG68, 0.1, 12.5,0, 3)</f>
        <v>--</v>
      </c>
      <c r="AE71" s="4" t="str" cm="1">
        <f t="array" ref="AE71">计算得分(INDEX([1]Sheet1!$N:$N, MATCH(A71, [1]Sheet1!$B:$B,0)), 固定数据!BH68, 固定数据!BI68, 0.2, 7,0, 0)</f>
        <v>--</v>
      </c>
      <c r="AF71" s="4" t="str" cm="1">
        <f t="array" ref="AF71">计算得分(INDEX([1]Sheet1!$Q:$Q, MATCH(A71, [1]Sheet1!$B:$B,0)), 固定数据!BJ68, 固定数据!BK68, 0.2, 7,0, 0)</f>
        <v>--</v>
      </c>
      <c r="AG71" s="4" t="str" cm="1">
        <f t="array" ref="AG71">计算得分(INDEX([1]Sheet1!$S:$S, MATCH(A71, [1]Sheet1!$B:$B,0)), 固定数据!BL68, 固定数据!BM68, 0.2, 20,0, 0)</f>
        <v>--</v>
      </c>
      <c r="AH71" s="4" t="str" cm="1">
        <f t="array" ref="AH71">计算得分(INDEX([1]Sheet1!$AF:$AF, MATCH(A71, [1]Sheet1!$B:$B,0)), 固定数据!BN68, 固定数据!BO68, 0.1, 10,0, 3)</f>
        <v>--</v>
      </c>
      <c r="AI71" s="4" t="str" cm="1">
        <f t="array" ref="AI71">计算得分(INDEX([1]Sheet1!$M:$M, MATCH(A71, [1]Sheet1!$B:$B,0)), 固定数据!BP68, 固定数据!BQ68, 0.2, 20,0, 3)</f>
        <v>--</v>
      </c>
      <c r="AJ71" s="4" t="str" cm="1">
        <f t="array" ref="AJ71">计算得分(INDEX([1]Sheet1!$Z:$Z, MATCH(A71, [1]Sheet1!$B:$B,0)), 固定数据!BR68, 固定数据!BS68, 10, 50,0, 0)</f>
        <v>--</v>
      </c>
      <c r="AK71" s="4" t="str" cm="1">
        <f t="array" ref="AK71">计算得分(INDEX([1]Sheet1!$O:$O, MATCH(A71, [1]Sheet1!$B:$B,0)), 固定数据!BT68, 固定数据!BU68, 0.2, 15,0, 0)</f>
        <v>--</v>
      </c>
      <c r="AL71" s="4" t="str" cm="1">
        <f t="array" ref="AL71">计算得分(INDEX([1]Sheet1!$R:$R, MATCH(A71, [1]Sheet1!$B:$B,0)), 固定数据!BV68, 固定数据!BW68, 0.2, 10,0, 0)</f>
        <v>--</v>
      </c>
      <c r="AM71" s="4" t="str" cm="1">
        <f t="array" ref="AM71">计算得分(INDEX([1]Sheet1!$T:$T, MATCH(A71, [1]Sheet1!$B:$B,0)), 固定数据!BX68, 固定数据!BY68, 0.2, 20,0, 0)</f>
        <v>--</v>
      </c>
      <c r="AN71" s="4" cm="1">
        <f t="array" ref="AN71">计算得分([3]Sheet1!$F$3, 固定数据!BZ68, 固定数据!CA68, 0.5, 15,0, 0)</f>
        <v>104.4</v>
      </c>
      <c r="AO71" s="4" cm="1">
        <f t="array" ref="AO71">计算得分([3]Sheet1!$G$3, 固定数据!CB68, 固定数据!CC68, 0.01, 5,0, 1)</f>
        <v>3675</v>
      </c>
      <c r="AP71" s="4" cm="1">
        <f t="array" ref="AP71">计算得分([3]Sheet1!$H$3, 固定数据!CD68, 固定数据!CE68, 0.001, 5,0, 1)</f>
        <v>18357</v>
      </c>
      <c r="AQ71" s="4" cm="1">
        <f t="array" ref="AQ71">计算得分([3]Sheet1!$D$3,固定数据!CF68,固定数据!CG68,0.05,5,0,3)</f>
        <v>186.8</v>
      </c>
      <c r="AR71" s="4" cm="1">
        <f t="array" ref="AR71">计算得分([3]Sheet1!$E$3,固定数据!CH68,固定数据!CI68,0.1,10,0,3)</f>
        <v>7574.53</v>
      </c>
      <c r="AS71" s="8" t="s">
        <v>74</v>
      </c>
      <c r="AT71" s="4" cm="1">
        <f t="array" ref="AT71">计算得分(INDEX([3]Sheet1!$J:$J, MATCH(A71, [3]Sheet1!$B:$B,0)), 固定数据!CL68, 固定数据!CM68, 2, 0,-10, 0)</f>
        <v>100</v>
      </c>
      <c r="AU71" s="4" cm="1">
        <f t="array" ref="AU71">计算得分(INDEX([3]Sheet1!$K:$K, MATCH(A71, [3]Sheet1!$B:$B,0)), 固定数据!CN68, 固定数据!CO68, 3, 0,-10, 0)</f>
        <v>100</v>
      </c>
      <c r="AV71" s="4" cm="1">
        <f t="array" ref="AV71">计算得分(INDEX([3]Sheet1!$L:$L, MATCH(A71, [3]Sheet1!$B:$B,0)), 固定数据!CP68, 固定数据!CQ68, 3, 0,-10, 0)</f>
        <v>100</v>
      </c>
      <c r="AW71" s="4" cm="1">
        <f t="array" ref="AW71">计算得分(INDEX([3]Sheet1!$M:$M, MATCH(A71, [3]Sheet1!$B:$B,0)), 固定数据!CR68, 固定数据!CS68, 100, 0,-100, 0)</f>
        <v>100</v>
      </c>
      <c r="AX71" s="4" cm="1">
        <f t="array" ref="AX71">计算得分(INDEX([3]Sheet1!$N:$N, MATCH(A71, [3]Sheet1!$B:$B,0)), 固定数据!CT68, 固定数据!CU68, 3, 0,-10, 0)</f>
        <v>100</v>
      </c>
      <c r="AY71" s="8" t="s">
        <v>74</v>
      </c>
      <c r="AZ71" s="8" t="s">
        <v>74</v>
      </c>
      <c r="BA71" s="4">
        <f>IFERROR(VLOOKUP(A71,[4]KPI评分!B:C,2,FALSE)*60%,"--")</f>
        <v>57.24</v>
      </c>
    </row>
    <row r="72" spans="1:53" ht="24.75" customHeight="1" x14ac:dyDescent="0.25">
      <c r="A72" s="1" t="s">
        <v>140</v>
      </c>
      <c r="B72" s="2" cm="1">
        <f t="array" ref="B72">计算得分(INDEX([1]Sheet1!$W:$W, MATCH(A72, [1]Sheet1!$B:$B,0)), 固定数据!B69, 固定数据!C69, 0.5, 0,-10, 0)</f>
        <v>0</v>
      </c>
      <c r="C72" s="2" cm="1">
        <f t="array" ref="C72">计算得分(INDEX([1]Sheet1!$X:$X, MATCH(A72, [1]Sheet1!$B:$B,0)), 固定数据!D69, 固定数据!E69, 1, 0,-10, 0)</f>
        <v>0</v>
      </c>
      <c r="D72" s="2" cm="1">
        <f t="array" ref="D72">计算得分(INDEX([1]Sheet1!$Y:$Y, MATCH(A72, [1]Sheet1!$B:$B,0)), 固定数据!F69, 固定数据!G69, 2, 0,-10, 0)</f>
        <v>0</v>
      </c>
      <c r="E72" s="6" t="str" cm="1">
        <f t="array" ref="E72">计算得分(INDEX([1]Sheet1!$C:$C, MATCH(A72, [1]Sheet1!$B:$B,0)), 固定数据!H69, 固定数据!I69, 0.02, 10,0, 1)</f>
        <v>--</v>
      </c>
      <c r="F72" s="2" t="str" cm="1">
        <f t="array" ref="F72">计算得分(INDEX([1]Sheet1!$D:$D, MATCH(A72, [1]Sheet1!$B:$B,0)), 固定数据!J69, 固定数据!K69, 0, 0,0, 0)</f>
        <v>--</v>
      </c>
      <c r="G72" s="2" cm="1">
        <f t="array" ref="G72">计算得分(INDEX([1]Sheet1!$E:$E, MATCH(A72, [1]Sheet1!$B:$B,0)), 固定数据!L69, 固定数据!M69,  0.3, 3,0, 5)</f>
        <v>59662.27</v>
      </c>
      <c r="H72" s="2" cm="1">
        <f t="array" ref="H72">计算得分(INDEX([1]Sheet1!$AG:$AG, MATCH(A72, [1]Sheet1!$B:$B,0)), 固定数据!N69, 固定数据!O69, 0.03, 3,0, 3)</f>
        <v>94</v>
      </c>
      <c r="I72" s="2" cm="1">
        <f t="array" ref="I72">计算得分(INDEX([1]Sheet1!$V:$V, MATCH(A72, [1]Sheet1!$B:$B,0)), 固定数据!P69, 固定数据!Q69, 1, 0,-100, 0)</f>
        <v>0</v>
      </c>
      <c r="J72" s="2" t="str" cm="1">
        <f t="array" ref="J72">计算得分(INDEX([1]Sheet1!$AI:$AI, MATCH(A72, [1]Sheet1!$B:$B,0)), 固定数据!R69, 固定数据!S69, 0.04, 12,0, 3)</f>
        <v>--</v>
      </c>
      <c r="K72" s="2" cm="1">
        <f t="array" ref="K72">计算得分(INDEX([1]Sheet1!$F:$F, MATCH(A72, [1]Sheet1!$B:$B,0)), 固定数据!T69, 固定数据!U69, 0.02, 3,0, 1)</f>
        <v>66.73</v>
      </c>
      <c r="L72" s="2" t="str" cm="1">
        <f t="array" ref="L72">计算得分(INDEX([1]Sheet1!$U:$U, MATCH(A72, [1]Sheet1!$B:$B,0)), 固定数据!V69, 固定数据!W69, 0.2, 20,0, 0)</f>
        <v>--</v>
      </c>
      <c r="M72" s="2" t="str" cm="1">
        <f t="array" ref="M72">计算得分(100, 固定数据!X69, 固定数据!Y69, 0, 5,0, 0)</f>
        <v>--</v>
      </c>
      <c r="N72" s="2" t="str" cm="1">
        <f t="array" ref="N72">计算得分(100, 固定数据!Z69, 固定数据!AA69, 0, 5,0, 0)</f>
        <v>--</v>
      </c>
      <c r="O72" s="2" t="str" cm="1">
        <f t="array" ref="O72">计算得分(100, 固定数据!AB69, 固定数据!AC69, 0, 7,0, 0)</f>
        <v>--</v>
      </c>
      <c r="P72" s="2" t="str" cm="1">
        <f t="array" ref="P72">计算得分(INDEX([1]Sheet1!$P:$P, MATCH(A72, [1]Sheet1!$B:$B,0)), 固定数据!AD69, 固定数据!AE69, 0.2, 7,0, 0)</f>
        <v>--</v>
      </c>
      <c r="Q72" s="2" cm="1">
        <f t="array" ref="Q72">计算得分(INDEX([1]Sheet1!$I:$I, MATCH(A72, [1]Sheet1!$B:$B,0)), 固定数据!AF69, 固定数据!AG69,0.2, IF(固定数据!AF69&lt;&gt;"--",固定数据!AF69,0),2, 5)</f>
        <v>191.67</v>
      </c>
      <c r="R72" s="2" cm="1">
        <f t="array" ref="R72">计算得分(INDEX([2]Sheet1!$AL:$AL, MATCH(A72, [2]Sheet1!$A:$A,0)), 固定数据!AH69, 固定数据!AI69, 0.02, 6,6, 1)</f>
        <v>215</v>
      </c>
      <c r="S72" s="2" cm="1">
        <f t="array" ref="S72">计算得分(INDEX([2]Sheet1!$I:$I, MATCH(A72, [2]Sheet1!$A:$A,0)), 固定数据!AJ69, 固定数据!AK69, 0.005, 6,0, 1)</f>
        <v>582</v>
      </c>
      <c r="T72" s="2" cm="1">
        <f t="array" ref="T72">计算得分(98, 固定数据!AL69, 固定数据!AM69, 0.03, IF(固定数据!AL69&lt;&gt;"--",固定数据!AL69,0),0, 3)</f>
        <v>98</v>
      </c>
      <c r="U72" s="2" cm="1">
        <f t="array" ref="U72">计算得分(INDEX([1]Sheet1!$G:$G, MATCH(A72, [1]Sheet1!$B:$B,0)), 固定数据!AN69, 固定数据!AO69, 0.5, 3,0, 0)</f>
        <v>8.07</v>
      </c>
      <c r="V72" s="2" cm="1">
        <f t="array" ref="V72">计算得分(INDEX([1]Sheet1!$H:$H, MATCH(A72, [1]Sheet1!$B:$B,0)), 固定数据!AP69, 固定数据!AQ69, 0.4, 5,0, 1)</f>
        <v>3.77</v>
      </c>
      <c r="W72" s="2" cm="1">
        <f t="array" ref="W72">计算得分(INDEX([1]Sheet1!$J:$J, MATCH(A72, [1]Sheet1!$B:$B,0)), 固定数据!AR69, 固定数据!AS69, 0.2, 2,2, 4)</f>
        <v>191.67</v>
      </c>
      <c r="X72" s="2" cm="1">
        <f t="array" ref="X72">计算得分(INDEX([1]Sheet1!$K:$K, MATCH(A72, [1]Sheet1!$B:$B,0)), 固定数据!AT69, 固定数据!AU69, 0.2, 1.5,1.5, 4)</f>
        <v>13218.64</v>
      </c>
      <c r="Y72" s="2" cm="1">
        <f t="array" ref="Y72">计算得分(INDEX([1]Sheet1!$AA:$AA, MATCH(A72, [1]Sheet1!$B:$B,0)), 固定数据!AV69, 固定数据!AW69, 0.05, IF(固定数据!AV69&lt;&gt;"--",固定数据!AV69,0),0, 3)</f>
        <v>90</v>
      </c>
      <c r="Z72" s="2" cm="1">
        <f t="array" ref="Z72">计算得分(INDEX([1]Sheet1!$AB:$AB, MATCH(A72, [1]Sheet1!$B:$B,0)), 固定数据!AX69, 固定数据!AY69, 0.05, IF(固定数据!AX69&lt;&gt;"--",固定数据!AX69,0),0, 3)</f>
        <v>96.5</v>
      </c>
      <c r="AA72" s="2" cm="1">
        <f t="array" ref="AA72">计算得分(INDEX([1]Sheet1!$AC:$AC, MATCH(A72, [1]Sheet1!$B:$B,0)), 固定数据!AZ69, 固定数据!BA69, 0.04, IF(固定数据!AZ69&lt;&gt;"--",固定数据!AZ69,0),0, 3)</f>
        <v>90</v>
      </c>
      <c r="AB72" s="2" cm="1">
        <f t="array" ref="AB72">计算得分(INDEX([1]Sheet1!$AD:$AD, MATCH(A72, [1]Sheet1!$B:$B,0)), 固定数据!BB69, 固定数据!BC69, 0.03, IF(固定数据!BB69&lt;&gt;"--",固定数据!BB69,0),0, 3)</f>
        <v>94.3</v>
      </c>
      <c r="AC72" s="2" cm="1">
        <f t="array" ref="AC72">计算得分(INDEX([1]Sheet1!$AE:$AE, MATCH(A72, [1]Sheet1!$B:$B,0)), 固定数据!BD69, 固定数据!BE69, 0.04, IF(固定数据!BD69&lt;&gt;"--",固定数据!BD69,0),0, 3)</f>
        <v>98.62</v>
      </c>
      <c r="AD72" s="2" cm="1">
        <f t="array" ref="AD72">计算得分(INDEX([1]Sheet1!$L:$L, MATCH(A72, [1]Sheet1!$B:$B,0)), 固定数据!BF69, 固定数据!BG69, 0.1, 12.5,0, 3)</f>
        <v>7041.94</v>
      </c>
      <c r="AE72" s="2" cm="1">
        <f t="array" ref="AE72">计算得分(INDEX([1]Sheet1!$N:$N, MATCH(A72, [1]Sheet1!$B:$B,0)), 固定数据!BH69, 固定数据!BI69, 0.2, 7,0, 0)</f>
        <v>31.18</v>
      </c>
      <c r="AF72" s="2" cm="1">
        <f t="array" ref="AF72">计算得分(INDEX([1]Sheet1!$Q:$Q, MATCH(A72, [1]Sheet1!$B:$B,0)), 固定数据!BJ69, 固定数据!BK69, 0.2, 7,0, 0)</f>
        <v>15.64</v>
      </c>
      <c r="AG72" s="2" cm="1">
        <f t="array" ref="AG72">计算得分(INDEX([1]Sheet1!$S:$S, MATCH(A72, [1]Sheet1!$B:$B,0)), 固定数据!BL69, 固定数据!BM69, 0.2, 20,0, 0)</f>
        <v>61.51</v>
      </c>
      <c r="AH72" s="6" t="str" cm="1">
        <f t="array" ref="AH72">计算得分(INDEX([1]Sheet1!$AF:$AF, MATCH(A72, [1]Sheet1!$B:$B,0)), 固定数据!BN69, 固定数据!BO69, 0.1, 10,0, 3)</f>
        <v>--</v>
      </c>
      <c r="AI72" s="2" t="str" cm="1">
        <f t="array" ref="AI72">计算得分(INDEX([1]Sheet1!$M:$M, MATCH(A72, [1]Sheet1!$B:$B,0)), 固定数据!BP69, 固定数据!BQ69, 0.2, 20,0, 3)</f>
        <v>--</v>
      </c>
      <c r="AJ72" s="2" cm="1">
        <f t="array" ref="AJ72">计算得分(INDEX([1]Sheet1!$Z:$Z, MATCH(A72, [1]Sheet1!$B:$B,0)), 固定数据!BR69, 固定数据!BS69, 10, 50,0, 0)</f>
        <v>0</v>
      </c>
      <c r="AK72" s="2" t="str" cm="1">
        <f t="array" ref="AK72">计算得分(INDEX([1]Sheet1!$O:$O, MATCH(A72, [1]Sheet1!$B:$B,0)), 固定数据!BT69, 固定数据!BU69, 0.2, 15,0, 0)</f>
        <v>--</v>
      </c>
      <c r="AL72" s="2" t="str" cm="1">
        <f t="array" ref="AL72">计算得分(INDEX([1]Sheet1!$R:$R, MATCH(A72, [1]Sheet1!$B:$B,0)), 固定数据!BV69, 固定数据!BW69, 0.2, 10,0, 0)</f>
        <v>--</v>
      </c>
      <c r="AM72" s="2" t="str" cm="1">
        <f t="array" ref="AM72">计算得分(INDEX([1]Sheet1!$T:$T, MATCH(A72, [1]Sheet1!$B:$B,0)), 固定数据!BX69, 固定数据!BY69, 0.2, 20,0, 0)</f>
        <v>--</v>
      </c>
      <c r="AN72" s="2" t="str" cm="1">
        <f t="array" ref="AN72">计算得分([3]Sheet1!$F$3, 固定数据!BZ69, 固定数据!CA69, 0.5, 15,0, 0)</f>
        <v>--</v>
      </c>
      <c r="AO72" s="6" t="str" cm="1">
        <f t="array" ref="AO72">计算得分([3]Sheet1!$G$3, 固定数据!CB69, 固定数据!CC69, 0.01, 5,0, 1)</f>
        <v>--</v>
      </c>
      <c r="AP72" s="6" t="str" cm="1">
        <f t="array" ref="AP72">计算得分([3]Sheet1!$H$3, 固定数据!CD69, 固定数据!CE69, 0.001, 5,0, 1)</f>
        <v>--</v>
      </c>
      <c r="AQ72" s="6" t="str" cm="1">
        <f t="array" ref="AQ72">计算得分([3]Sheet1!$D$3,固定数据!CF69,固定数据!CG69,0.05,5,0,3)</f>
        <v>--</v>
      </c>
      <c r="AR72" s="6" t="str" cm="1">
        <f t="array" ref="AR72">计算得分([3]Sheet1!$E$3,固定数据!CH69,固定数据!CI69,0.1,10,0,3)</f>
        <v>--</v>
      </c>
      <c r="AS72" s="7" t="s">
        <v>74</v>
      </c>
      <c r="AT72" s="6" t="str" cm="1">
        <f t="array" ref="AT72">计算得分(INDEX([3]Sheet1!$J:$J, MATCH(A72, [3]Sheet1!$B:$B,0)), 固定数据!CL69, 固定数据!CM69, 2, 0,-10, 0)</f>
        <v>--</v>
      </c>
      <c r="AU72" s="2" t="str" cm="1">
        <f t="array" ref="AU72">计算得分(INDEX([3]Sheet1!$K:$K, MATCH(A72, [3]Sheet1!$B:$B,0)), 固定数据!CN69, 固定数据!CO69, 3, 0,-10, 0)</f>
        <v>--</v>
      </c>
      <c r="AV72" s="2" t="str" cm="1">
        <f t="array" ref="AV72">计算得分(INDEX([3]Sheet1!$L:$L, MATCH(A72, [3]Sheet1!$B:$B,0)), 固定数据!CP69, 固定数据!CQ69, 3, 0,-10, 0)</f>
        <v>--</v>
      </c>
      <c r="AW72" s="2" t="str" cm="1">
        <f t="array" ref="AW72">计算得分(INDEX([3]Sheet1!$M:$M, MATCH(A72, [3]Sheet1!$B:$B,0)), 固定数据!CR69, 固定数据!CS69, 100, 0,-100, 0)</f>
        <v>--</v>
      </c>
      <c r="AX72" s="2" t="str" cm="1">
        <f t="array" ref="AX72">计算得分(INDEX([3]Sheet1!$N:$N, MATCH(A72, [3]Sheet1!$B:$B,0)), 固定数据!CT69, 固定数据!CU69, 3, 0,-10, 0)</f>
        <v>--</v>
      </c>
      <c r="AY72" s="7" t="s">
        <v>74</v>
      </c>
      <c r="AZ72" s="7" t="s">
        <v>74</v>
      </c>
      <c r="BA72" s="2" t="str">
        <f>IFERROR(VLOOKUP(A72,[4]KPI评分!B:C,2,FALSE)*60%,"--")</f>
        <v>--</v>
      </c>
    </row>
    <row r="73" spans="1:53" ht="24.75" customHeight="1" x14ac:dyDescent="0.25">
      <c r="A73" s="3" t="s">
        <v>141</v>
      </c>
      <c r="B73" s="4" t="str" cm="1">
        <f t="array" ref="B73">计算得分(INDEX([1]Sheet1!$W:$W, MATCH(A73, [1]Sheet1!$B:$B,0)), 固定数据!B70, 固定数据!C70, 0.5, 0,-10, 0)</f>
        <v>--</v>
      </c>
      <c r="C73" s="4" t="str" cm="1">
        <f t="array" ref="C73">计算得分(INDEX([1]Sheet1!$X:$X, MATCH(A73, [1]Sheet1!$B:$B,0)), 固定数据!D70, 固定数据!E70, 1, 0,-10, 0)</f>
        <v>--</v>
      </c>
      <c r="D73" s="4" t="str" cm="1">
        <f t="array" ref="D73">计算得分(INDEX([1]Sheet1!$Y:$Y, MATCH(A73, [1]Sheet1!$B:$B,0)), 固定数据!F70, 固定数据!G70, 2, 0,-10, 0)</f>
        <v>--</v>
      </c>
      <c r="E73" s="4" t="str" cm="1">
        <f t="array" ref="E73">计算得分(INDEX([1]Sheet1!$C:$C, MATCH(A73, [1]Sheet1!$B:$B,0)), 固定数据!H70, 固定数据!I70, 0.02, 10,0, 1)</f>
        <v>--</v>
      </c>
      <c r="F73" s="4" t="str" cm="1">
        <f t="array" ref="F73">计算得分(INDEX([1]Sheet1!$D:$D, MATCH(A73, [1]Sheet1!$B:$B,0)), 固定数据!J70, 固定数据!K70, 0, 0,0, 0)</f>
        <v>--</v>
      </c>
      <c r="G73" s="4" t="str" cm="1">
        <f t="array" ref="G73">计算得分(INDEX([1]Sheet1!$E:$E, MATCH(A73, [1]Sheet1!$B:$B,0)), 固定数据!L70, 固定数据!M70, 0.3, 3,0, 5)</f>
        <v>--</v>
      </c>
      <c r="H73" s="4" t="str" cm="1">
        <f t="array" ref="H73">计算得分(INDEX([1]Sheet1!$AG:$AG, MATCH(A73, [1]Sheet1!$B:$B,0)), 固定数据!N70, 固定数据!O70, 0.03, 3,0, 3)</f>
        <v>--</v>
      </c>
      <c r="I73" s="4" t="str" cm="1">
        <f t="array" ref="I73">计算得分(INDEX([1]Sheet1!$V:$V, MATCH(A73, [1]Sheet1!$B:$B,0)), 固定数据!P70, 固定数据!Q70, 1, 0,-100, 0)</f>
        <v>--</v>
      </c>
      <c r="J73" s="4" t="str" cm="1">
        <f t="array" ref="J73">计算得分(INDEX([1]Sheet1!$AI:$AI, MATCH(A73, [1]Sheet1!$B:$B,0)), 固定数据!R70, 固定数据!S70, 0.04, 12,0, 3)</f>
        <v>--</v>
      </c>
      <c r="K73" s="4" t="str" cm="1">
        <f t="array" ref="K73">计算得分(INDEX([1]Sheet1!$F:$F, MATCH(A73, [1]Sheet1!$B:$B,0)), 固定数据!T70, 固定数据!U70, 0.02, 3,0, 1)</f>
        <v>--</v>
      </c>
      <c r="L73" s="4" t="str" cm="1">
        <f t="array" ref="L73">计算得分(INDEX([1]Sheet1!$U:$U, MATCH(A73, [1]Sheet1!$B:$B,0)), 固定数据!V70, 固定数据!W70, 0.2, 20,0, 0)</f>
        <v>--</v>
      </c>
      <c r="M73" s="4" t="str" cm="1">
        <f t="array" ref="M73">计算得分(100, 固定数据!X70, 固定数据!Y70, 0, 5,0, 0)</f>
        <v>--</v>
      </c>
      <c r="N73" s="4" t="str" cm="1">
        <f t="array" ref="N73">计算得分(100, 固定数据!Z70, 固定数据!AA70, 0, 5,0, 0)</f>
        <v>--</v>
      </c>
      <c r="O73" s="4" t="str" cm="1">
        <f t="array" ref="O73">计算得分(100, 固定数据!AB70, 固定数据!AC70, 0, 7,0, 0)</f>
        <v>--</v>
      </c>
      <c r="P73" s="4" t="str" cm="1">
        <f t="array" ref="P73">计算得分(INDEX([1]Sheet1!$P:$P, MATCH(A73, [1]Sheet1!$B:$B,0)), 固定数据!AD70, 固定数据!AE70, 0.2, 7,0, 0)</f>
        <v>--</v>
      </c>
      <c r="Q73" s="4" t="str" cm="1">
        <f t="array" ref="Q73">计算得分(INDEX([1]Sheet1!$I:$I, MATCH(A73, [1]Sheet1!$B:$B,0)), 固定数据!AF70, 固定数据!AG70,0.2, IF(固定数据!AF70&lt;&gt;"--",固定数据!AF70,0),2, 5)</f>
        <v>--</v>
      </c>
      <c r="R73" s="4" t="str" cm="1">
        <f t="array" ref="R73">计算得分(INDEX([2]Sheet1!$AL:$AL, MATCH(A73, [2]Sheet1!$A:$A,0)), 固定数据!AH70, 固定数据!AI70, 0.02, 6,6, 1)</f>
        <v>--</v>
      </c>
      <c r="S73" s="4" t="str" cm="1">
        <f t="array" ref="S73">计算得分(INDEX([2]Sheet1!$I:$I, MATCH(A73, [2]Sheet1!$A:$A,0)), 固定数据!AJ70, 固定数据!AK70, 0.005, 6,0, 1)</f>
        <v>--</v>
      </c>
      <c r="T73" s="4" t="str" cm="1">
        <f t="array" ref="T73">计算得分(98, 固定数据!AL70, 固定数据!AM70, 0.03, IF(固定数据!AL70&lt;&gt;"--",固定数据!AL70,0),0, 3)</f>
        <v>--</v>
      </c>
      <c r="U73" s="4" t="str" cm="1">
        <f t="array" ref="U73">计算得分(INDEX([1]Sheet1!$G:$G, MATCH(A73, [1]Sheet1!$B:$B,0)), 固定数据!AN70, 固定数据!AO70, 0.5, 3,0, 0)</f>
        <v>--</v>
      </c>
      <c r="V73" s="4" t="str" cm="1">
        <f t="array" ref="V73">计算得分(INDEX([1]Sheet1!$H:$H, MATCH(A73, [1]Sheet1!$B:$B,0)), 固定数据!AP70, 固定数据!AQ70, 0.4, 5,0, 1)</f>
        <v>--</v>
      </c>
      <c r="W73" s="4" t="str" cm="1">
        <f t="array" ref="W73">计算得分(INDEX([1]Sheet1!$J:$J, MATCH(A73, [1]Sheet1!$B:$B,0)), 固定数据!AR70, 固定数据!AS70, 0.2, 2,2, 4)</f>
        <v>--</v>
      </c>
      <c r="X73" s="4" t="str" cm="1">
        <f t="array" ref="X73">计算得分(INDEX([1]Sheet1!$K:$K, MATCH(A73, [1]Sheet1!$B:$B,0)), 固定数据!AT70, 固定数据!AU70, 0.2, 1.5,1.5, 4)</f>
        <v>--</v>
      </c>
      <c r="Y73" s="4" t="str" cm="1">
        <f t="array" ref="Y73">计算得分(INDEX([1]Sheet1!$AA:$AA, MATCH(A73, [1]Sheet1!$B:$B,0)), 固定数据!AV70, 固定数据!AW70, 0.05, IF(固定数据!AV70&lt;&gt;"--",固定数据!AV70,0),0, 3)</f>
        <v>--</v>
      </c>
      <c r="Z73" s="4" t="str" cm="1">
        <f t="array" ref="Z73">计算得分(INDEX([1]Sheet1!$AB:$AB, MATCH(A73, [1]Sheet1!$B:$B,0)), 固定数据!AX70, 固定数据!AY70, 0.05, IF(固定数据!AX70&lt;&gt;"--",固定数据!AX70,0),0, 3)</f>
        <v>--</v>
      </c>
      <c r="AA73" s="4" t="str" cm="1">
        <f t="array" ref="AA73">计算得分(INDEX([1]Sheet1!$AC:$AC, MATCH(A73, [1]Sheet1!$B:$B,0)), 固定数据!AZ70, 固定数据!BA70, 0.04, IF(固定数据!AZ70&lt;&gt;"--",固定数据!AZ70,0),0, 3)</f>
        <v>--</v>
      </c>
      <c r="AB73" s="4" t="str" cm="1">
        <f t="array" ref="AB73">计算得分(INDEX([1]Sheet1!$AD:$AD, MATCH(A73, [1]Sheet1!$B:$B,0)), 固定数据!BB70, 固定数据!BC70, 0.03, IF(固定数据!BB70&lt;&gt;"--",固定数据!BB70,0),0, 3)</f>
        <v>--</v>
      </c>
      <c r="AC73" s="4" t="str" cm="1">
        <f t="array" ref="AC73">计算得分(INDEX([1]Sheet1!$AE:$AE, MATCH(A73, [1]Sheet1!$B:$B,0)), 固定数据!BD70, 固定数据!BE70, 0.04, IF(固定数据!BD70&lt;&gt;"--",固定数据!BD70,0),0, 3)</f>
        <v>--</v>
      </c>
      <c r="AD73" s="4" t="str" cm="1">
        <f t="array" ref="AD73">计算得分(INDEX([1]Sheet1!$L:$L, MATCH(A73, [1]Sheet1!$B:$B,0)), 固定数据!BF70, 固定数据!BG70, 0.1, 12.5,0, 3)</f>
        <v>--</v>
      </c>
      <c r="AE73" s="4" t="str" cm="1">
        <f t="array" ref="AE73">计算得分(INDEX([1]Sheet1!$N:$N, MATCH(A73, [1]Sheet1!$B:$B,0)), 固定数据!BH70, 固定数据!BI70, 0.2, 7,0, 0)</f>
        <v>--</v>
      </c>
      <c r="AF73" s="4" t="str" cm="1">
        <f t="array" ref="AF73">计算得分(INDEX([1]Sheet1!$Q:$Q, MATCH(A73, [1]Sheet1!$B:$B,0)), 固定数据!BJ70, 固定数据!BK70, 0.2, 7,0, 0)</f>
        <v>--</v>
      </c>
      <c r="AG73" s="4" t="str" cm="1">
        <f t="array" ref="AG73">计算得分(INDEX([1]Sheet1!$S:$S, MATCH(A73, [1]Sheet1!$B:$B,0)), 固定数据!BL70, 固定数据!BM70, 0.2, 20,0, 0)</f>
        <v>--</v>
      </c>
      <c r="AH73" s="4" t="str" cm="1">
        <f t="array" ref="AH73">计算得分(INDEX([1]Sheet1!$AF:$AF, MATCH(A73, [1]Sheet1!$B:$B,0)), 固定数据!BN70, 固定数据!BO70, 0.1, 10,0, 3)</f>
        <v>--</v>
      </c>
      <c r="AI73" s="4" t="str" cm="1">
        <f t="array" ref="AI73">计算得分(INDEX([1]Sheet1!$M:$M, MATCH(A73, [1]Sheet1!$B:$B,0)), 固定数据!BP70, 固定数据!BQ70, 0.2, 20,0, 3)</f>
        <v>--</v>
      </c>
      <c r="AJ73" s="4" t="str" cm="1">
        <f t="array" ref="AJ73">计算得分(INDEX([1]Sheet1!$Z:$Z, MATCH(A73, [1]Sheet1!$B:$B,0)), 固定数据!BR70, 固定数据!BS70, 10, 50,0, 0)</f>
        <v>--</v>
      </c>
      <c r="AK73" s="4" t="str" cm="1">
        <f t="array" ref="AK73">计算得分(INDEX([1]Sheet1!$O:$O, MATCH(A73, [1]Sheet1!$B:$B,0)), 固定数据!BT70, 固定数据!BU70, 0.2, 15,0, 0)</f>
        <v>--</v>
      </c>
      <c r="AL73" s="4" t="str" cm="1">
        <f t="array" ref="AL73">计算得分(INDEX([1]Sheet1!$R:$R, MATCH(A73, [1]Sheet1!$B:$B,0)), 固定数据!BV70, 固定数据!BW70, 0.2, 10,0, 0)</f>
        <v>--</v>
      </c>
      <c r="AM73" s="4" t="str" cm="1">
        <f t="array" ref="AM73">计算得分(INDEX([1]Sheet1!$T:$T, MATCH(A73, [1]Sheet1!$B:$B,0)), 固定数据!BX70, 固定数据!BY70, 0.2, 20,0, 0)</f>
        <v>--</v>
      </c>
      <c r="AN73" s="4" t="str" cm="1">
        <f t="array" ref="AN73">计算得分([3]Sheet1!$F$3, 固定数据!BZ70, 固定数据!CA70, 0.5, 15,0, 0)</f>
        <v>--</v>
      </c>
      <c r="AO73" s="4" t="str" cm="1">
        <f t="array" ref="AO73">计算得分([3]Sheet1!$G$3, 固定数据!CB70, 固定数据!CC70, 0.01, 5,0, 1)</f>
        <v>--</v>
      </c>
      <c r="AP73" s="4" t="str" cm="1">
        <f t="array" ref="AP73">计算得分([3]Sheet1!$H$3, 固定数据!CD70, 固定数据!CE70, 0.001, 5,0, 1)</f>
        <v>--</v>
      </c>
      <c r="AQ73" s="4" t="str" cm="1">
        <f t="array" ref="AQ73">计算得分([3]Sheet1!$D$3,固定数据!CF70,固定数据!CG70,0.05,5,0,3)</f>
        <v>--</v>
      </c>
      <c r="AR73" s="4" t="str" cm="1">
        <f t="array" ref="AR73">计算得分([3]Sheet1!$E$3,固定数据!CH70,固定数据!CI70,0.1,10,0,3)</f>
        <v>--</v>
      </c>
      <c r="AS73" s="8" t="s">
        <v>74</v>
      </c>
      <c r="AT73" s="4" t="str" cm="1">
        <f t="array" ref="AT73">计算得分(INDEX([3]Sheet1!$J:$J, MATCH(A73, [3]Sheet1!$B:$B,0)), 固定数据!CL70, 固定数据!CM70, 2, 0,-10, 0)</f>
        <v>--</v>
      </c>
      <c r="AU73" s="4" t="str" cm="1">
        <f t="array" ref="AU73">计算得分(INDEX([3]Sheet1!$K:$K, MATCH(A73, [3]Sheet1!$B:$B,0)), 固定数据!CN70, 固定数据!CO70, 3, 0,-10, 0)</f>
        <v>--</v>
      </c>
      <c r="AV73" s="4" t="str" cm="1">
        <f t="array" ref="AV73">计算得分(INDEX([3]Sheet1!$L:$L, MATCH(A73, [3]Sheet1!$B:$B,0)), 固定数据!CP70, 固定数据!CQ70, 3, 0,-10, 0)</f>
        <v>--</v>
      </c>
      <c r="AW73" s="4" t="str" cm="1">
        <f t="array" ref="AW73">计算得分(INDEX([3]Sheet1!$M:$M, MATCH(A73, [3]Sheet1!$B:$B,0)), 固定数据!CR70, 固定数据!CS70, 100, 0,-100, 0)</f>
        <v>--</v>
      </c>
      <c r="AX73" s="4" t="str" cm="1">
        <f t="array" ref="AX73">计算得分(INDEX([3]Sheet1!$N:$N, MATCH(A73, [3]Sheet1!$B:$B,0)), 固定数据!CT70, 固定数据!CU70, 3, 0,-10, 0)</f>
        <v>--</v>
      </c>
      <c r="AY73" s="8" t="s">
        <v>74</v>
      </c>
      <c r="AZ73" s="8" t="s">
        <v>74</v>
      </c>
      <c r="BA73" s="4" t="str">
        <f>IFERROR(VLOOKUP(A73,[4]KPI评分!B:C,2,FALSE)*60%,"--")</f>
        <v>--</v>
      </c>
    </row>
    <row r="74" spans="1:53" ht="24.75" customHeight="1" x14ac:dyDescent="0.25">
      <c r="A74" s="1" t="s">
        <v>142</v>
      </c>
      <c r="B74" s="2" cm="1">
        <f t="array" ref="B74">计算得分(INDEX([1]Sheet1!$W:$W, MATCH(A74, [1]Sheet1!$B:$B,0)), 固定数据!B71, 固定数据!C71, 0.5, 0,-10, 0)</f>
        <v>0</v>
      </c>
      <c r="C74" s="2" cm="1">
        <f t="array" ref="C74">计算得分(INDEX([1]Sheet1!$X:$X, MATCH(A74, [1]Sheet1!$B:$B,0)), 固定数据!D71, 固定数据!E71, 1, 0,-10, 0)</f>
        <v>0</v>
      </c>
      <c r="D74" s="2" cm="1">
        <f t="array" ref="D74">计算得分(INDEX([1]Sheet1!$Y:$Y, MATCH(A74, [1]Sheet1!$B:$B,0)), 固定数据!F71, 固定数据!G71, 2, 0,-10, 0)</f>
        <v>0</v>
      </c>
      <c r="E74" s="6" t="str" cm="1">
        <f t="array" ref="E74">计算得分(INDEX([1]Sheet1!$C:$C, MATCH(A74, [1]Sheet1!$B:$B,0)), 固定数据!H71, 固定数据!I71, 0.02, 10,0, 1)</f>
        <v>--</v>
      </c>
      <c r="F74" s="2" t="str" cm="1">
        <f t="array" ref="F74">计算得分(INDEX([1]Sheet1!$D:$D, MATCH(A74, [1]Sheet1!$B:$B,0)), 固定数据!J71, 固定数据!K71, 0, 0,0, 0)</f>
        <v>--</v>
      </c>
      <c r="G74" s="2" cm="1">
        <f t="array" ref="G74">计算得分(INDEX([1]Sheet1!$E:$E, MATCH(A74, [1]Sheet1!$B:$B,0)), 固定数据!L71, 固定数据!M71,  0.3, 3,0, 5)</f>
        <v>36941.17</v>
      </c>
      <c r="H74" s="2" cm="1">
        <f t="array" ref="H74">计算得分(INDEX([1]Sheet1!$AG:$AG, MATCH(A74, [1]Sheet1!$B:$B,0)), 固定数据!N71, 固定数据!O71, 0.03, 3,0, 3)</f>
        <v>85</v>
      </c>
      <c r="I74" s="2" cm="1">
        <f t="array" ref="I74">计算得分(INDEX([1]Sheet1!$V:$V, MATCH(A74, [1]Sheet1!$B:$B,0)), 固定数据!P71, 固定数据!Q71, 1, 0,-100, 0)</f>
        <v>0</v>
      </c>
      <c r="J74" s="2" t="str" cm="1">
        <f t="array" ref="J74">计算得分(INDEX([1]Sheet1!$AI:$AI, MATCH(A74, [1]Sheet1!$B:$B,0)), 固定数据!R71, 固定数据!S71, 0.04, 12,0, 3)</f>
        <v>--</v>
      </c>
      <c r="K74" s="2" cm="1">
        <f t="array" ref="K74">计算得分(INDEX([1]Sheet1!$F:$F, MATCH(A74, [1]Sheet1!$B:$B,0)), 固定数据!T71, 固定数据!U71, 0.02, 3,0, 1)</f>
        <v>61.72</v>
      </c>
      <c r="L74" s="2" t="str" cm="1">
        <f t="array" ref="L74">计算得分(INDEX([1]Sheet1!$U:$U, MATCH(A74, [1]Sheet1!$B:$B,0)), 固定数据!V71, 固定数据!W71, 0.2, 20,0, 0)</f>
        <v>--</v>
      </c>
      <c r="M74" s="2" t="str" cm="1">
        <f t="array" ref="M74">计算得分(100, 固定数据!X71, 固定数据!Y71, 0, 5,0, 0)</f>
        <v>--</v>
      </c>
      <c r="N74" s="2" t="str" cm="1">
        <f t="array" ref="N74">计算得分(100, 固定数据!Z71, 固定数据!AA71, 0, 5,0, 0)</f>
        <v>--</v>
      </c>
      <c r="O74" s="2" t="str" cm="1">
        <f t="array" ref="O74">计算得分(100, 固定数据!AB71, 固定数据!AC71, 0, 7,0, 0)</f>
        <v>--</v>
      </c>
      <c r="P74" s="2" t="str" cm="1">
        <f t="array" ref="P74">计算得分(INDEX([1]Sheet1!$P:$P, MATCH(A74, [1]Sheet1!$B:$B,0)), 固定数据!AD71, 固定数据!AE71, 0.2, 7,0, 0)</f>
        <v>--</v>
      </c>
      <c r="Q74" s="2" cm="1">
        <f t="array" ref="Q74">计算得分(INDEX([1]Sheet1!$I:$I, MATCH(A74, [1]Sheet1!$B:$B,0)), 固定数据!AF71, 固定数据!AG71,0.2, IF(固定数据!AF71&lt;&gt;"--",固定数据!AF71,0),0, 5)</f>
        <v>206.77</v>
      </c>
      <c r="R74" s="2" cm="1">
        <f t="array" ref="R74">计算得分(INDEX([2]Sheet1!$AL:$AL, MATCH(A74, [2]Sheet1!$A:$A,0)), 固定数据!AH71, 固定数据!AI71, 0.02, 6,0, 1)</f>
        <v>237</v>
      </c>
      <c r="S74" s="2" cm="1">
        <f t="array" ref="S74">计算得分(INDEX([2]Sheet1!$I:$I, MATCH(A74, [2]Sheet1!$A:$A,0)), 固定数据!AJ71, 固定数据!AK71, 0.005, 6,0, 1)</f>
        <v>474</v>
      </c>
      <c r="T74" s="2" cm="1">
        <f t="array" ref="T74">计算得分(98, 固定数据!AL71, 固定数据!AM71, 0.03, IF(固定数据!AL71&lt;&gt;"--",固定数据!AL71,0),0, 3)</f>
        <v>98</v>
      </c>
      <c r="U74" s="2" cm="1">
        <f t="array" ref="U74">计算得分(INDEX([1]Sheet1!$G:$G, MATCH(A74, [1]Sheet1!$B:$B,0)), 固定数据!AN71, 固定数据!AO71, 0.5, 3,0, 0)</f>
        <v>4.6900000000000004</v>
      </c>
      <c r="V74" s="2" cm="1">
        <f t="array" ref="V74">计算得分(INDEX([1]Sheet1!$H:$H, MATCH(A74, [1]Sheet1!$B:$B,0)), 固定数据!AP71, 固定数据!AQ71, 0.4, 5,0, 1)</f>
        <v>5.15</v>
      </c>
      <c r="W74" s="2" cm="1">
        <f t="array" ref="W74">计算得分(INDEX([1]Sheet1!$J:$J, MATCH(A74, [1]Sheet1!$B:$B,0)), 固定数据!AR71, 固定数据!AS71, 0.2, 2,0, 4)</f>
        <v>206.77</v>
      </c>
      <c r="X74" s="2" cm="1">
        <f t="array" ref="X74">计算得分(INDEX([1]Sheet1!$K:$K, MATCH(A74, [1]Sheet1!$B:$B,0)), 固定数据!AT71, 固定数据!AU71, 0.2, 1.5,0, 4)</f>
        <v>5574.43</v>
      </c>
      <c r="Y74" s="2" cm="1">
        <f t="array" ref="Y74">计算得分(INDEX([1]Sheet1!$AA:$AA, MATCH(A74, [1]Sheet1!$B:$B,0)), 固定数据!AV71, 固定数据!AW71, 0.05, IF(固定数据!AV71&lt;&gt;"--",固定数据!AV71,0),0, 3)</f>
        <v>85</v>
      </c>
      <c r="Z74" s="2" cm="1">
        <f t="array" ref="Z74">计算得分(INDEX([1]Sheet1!$AB:$AB, MATCH(A74, [1]Sheet1!$B:$B,0)), 固定数据!AX71, 固定数据!AY71, 0.05, IF(固定数据!AX71&lt;&gt;"--",固定数据!AX71,0),0, 3)</f>
        <v>95</v>
      </c>
      <c r="AA74" s="2" cm="1">
        <f t="array" ref="AA74">计算得分(INDEX([1]Sheet1!$AC:$AC, MATCH(A74, [1]Sheet1!$B:$B,0)), 固定数据!AZ71, 固定数据!BA71, 0.04, IF(固定数据!AZ71&lt;&gt;"--",固定数据!AZ71,0),0, 3)</f>
        <v>93</v>
      </c>
      <c r="AB74" s="2" cm="1">
        <f t="array" ref="AB74">计算得分(INDEX([1]Sheet1!$AD:$AD, MATCH(A74, [1]Sheet1!$B:$B,0)), 固定数据!BB71, 固定数据!BC71, 0.03, IF(固定数据!BB71&lt;&gt;"--",固定数据!BB71,0),0, 3)</f>
        <v>98.4</v>
      </c>
      <c r="AC74" s="2" cm="1">
        <f t="array" ref="AC74">计算得分(INDEX([1]Sheet1!$AE:$AE, MATCH(A74, [1]Sheet1!$B:$B,0)), 固定数据!BD71, 固定数据!BE71, 0.04, IF(固定数据!BD71&lt;&gt;"--",固定数据!BD71,0),0, 3)</f>
        <v>95.83</v>
      </c>
      <c r="AD74" s="2" cm="1">
        <f t="array" ref="AD74">计算得分(INDEX([1]Sheet1!$L:$L, MATCH(A74, [1]Sheet1!$B:$B,0)), 固定数据!BF71, 固定数据!BG71, 0.1, 12.5,0, 3)</f>
        <v>3511.52</v>
      </c>
      <c r="AE74" s="2" cm="1">
        <f t="array" ref="AE74">计算得分(INDEX([1]Sheet1!$N:$N, MATCH(A74, [1]Sheet1!$B:$B,0)), 固定数据!BH71, 固定数据!BI71, 0.2, 7,0, 0)</f>
        <v>3.71</v>
      </c>
      <c r="AF74" s="2" cm="1">
        <f t="array" ref="AF74">计算得分(INDEX([1]Sheet1!$Q:$Q, MATCH(A74, [1]Sheet1!$B:$B,0)), 固定数据!BJ71, 固定数据!BK71, 0.2, 7,0, 0)</f>
        <v>24.23</v>
      </c>
      <c r="AG74" s="2" cm="1">
        <f t="array" ref="AG74">计算得分(INDEX([1]Sheet1!$S:$S, MATCH(A74, [1]Sheet1!$B:$B,0)), 固定数据!BL71, 固定数据!BM71, 0.2, 20,0, 0)</f>
        <v>82</v>
      </c>
      <c r="AH74" s="6" t="str" cm="1">
        <f t="array" ref="AH74">计算得分(INDEX([1]Sheet1!$AF:$AF, MATCH(A74, [1]Sheet1!$B:$B,0)), 固定数据!BN71, 固定数据!BO71, 0.1, 10,0, 3)</f>
        <v>--</v>
      </c>
      <c r="AI74" s="2" t="str" cm="1">
        <f t="array" ref="AI74">计算得分(INDEX([1]Sheet1!$M:$M, MATCH(A74, [1]Sheet1!$B:$B,0)), 固定数据!BP71, 固定数据!BQ71, 0.2, 20,0, 3)</f>
        <v>--</v>
      </c>
      <c r="AJ74" s="2" cm="1">
        <f t="array" ref="AJ74">计算得分(INDEX([1]Sheet1!$Z:$Z, MATCH(A74, [1]Sheet1!$B:$B,0)), 固定数据!BR71, 固定数据!BS71, 10, 50,0, 0)</f>
        <v>0</v>
      </c>
      <c r="AK74" s="2" t="str" cm="1">
        <f t="array" ref="AK74">计算得分(INDEX([1]Sheet1!$O:$O, MATCH(A74, [1]Sheet1!$B:$B,0)), 固定数据!BT71, 固定数据!BU71, 0.2, 15,0, 0)</f>
        <v>--</v>
      </c>
      <c r="AL74" s="2" t="str" cm="1">
        <f t="array" ref="AL74">计算得分(INDEX([1]Sheet1!$R:$R, MATCH(A74, [1]Sheet1!$B:$B,0)), 固定数据!BV71, 固定数据!BW71, 0.2, 10,0, 0)</f>
        <v>--</v>
      </c>
      <c r="AM74" s="2" t="str" cm="1">
        <f t="array" ref="AM74">计算得分(INDEX([1]Sheet1!$T:$T, MATCH(A74, [1]Sheet1!$B:$B,0)), 固定数据!BX71, 固定数据!BY71, 0.2, 20,0, 0)</f>
        <v>--</v>
      </c>
      <c r="AN74" s="2" t="str" cm="1">
        <f t="array" ref="AN74">计算得分([3]Sheet1!$F$3, 固定数据!BZ71, 固定数据!CA71, 0.5, 15,0, 0)</f>
        <v>--</v>
      </c>
      <c r="AO74" s="6" t="str" cm="1">
        <f t="array" ref="AO74">计算得分([3]Sheet1!$G$3, 固定数据!CB71, 固定数据!CC71, 0.01, 5,0, 1)</f>
        <v>--</v>
      </c>
      <c r="AP74" s="6" t="str" cm="1">
        <f t="array" ref="AP74">计算得分([3]Sheet1!$H$3, 固定数据!CD71, 固定数据!CE71, 0.001, 5,0, 1)</f>
        <v>--</v>
      </c>
      <c r="AQ74" s="6" t="str" cm="1">
        <f t="array" ref="AQ74">计算得分([3]Sheet1!$D$3,固定数据!CF71,固定数据!CG71,0.05,5,0,3)</f>
        <v>--</v>
      </c>
      <c r="AR74" s="6" t="str" cm="1">
        <f t="array" ref="AR74">计算得分([3]Sheet1!$E$3,固定数据!CH71,固定数据!CI71,0.1,10,0,3)</f>
        <v>--</v>
      </c>
      <c r="AS74" s="7" t="s">
        <v>74</v>
      </c>
      <c r="AT74" s="6" t="str" cm="1">
        <f t="array" ref="AT74">计算得分(INDEX([3]Sheet1!$J:$J, MATCH(A74, [3]Sheet1!$B:$B,0)), 固定数据!CL71, 固定数据!CM71, 2, 0,-10, 0)</f>
        <v>--</v>
      </c>
      <c r="AU74" s="2" t="str" cm="1">
        <f t="array" ref="AU74">计算得分(INDEX([3]Sheet1!$K:$K, MATCH(A74, [3]Sheet1!$B:$B,0)), 固定数据!CN71, 固定数据!CO71, 3, 0,-10, 0)</f>
        <v>--</v>
      </c>
      <c r="AV74" s="2" t="str" cm="1">
        <f t="array" ref="AV74">计算得分(INDEX([3]Sheet1!$L:$L, MATCH(A74, [3]Sheet1!$B:$B,0)), 固定数据!CP71, 固定数据!CQ71, 3, 0,-10, 0)</f>
        <v>--</v>
      </c>
      <c r="AW74" s="2" t="str" cm="1">
        <f t="array" ref="AW74">计算得分(INDEX([3]Sheet1!$M:$M, MATCH(A74, [3]Sheet1!$B:$B,0)), 固定数据!CR71, 固定数据!CS71, 100, 0,-100, 0)</f>
        <v>--</v>
      </c>
      <c r="AX74" s="2" t="str" cm="1">
        <f t="array" ref="AX74">计算得分(INDEX([3]Sheet1!$N:$N, MATCH(A74, [3]Sheet1!$B:$B,0)), 固定数据!CT71, 固定数据!CU71, 3, 0,-10, 0)</f>
        <v>--</v>
      </c>
      <c r="AY74" s="7" t="s">
        <v>74</v>
      </c>
      <c r="AZ74" s="7" t="s">
        <v>74</v>
      </c>
      <c r="BA74" s="2" t="str">
        <f>IFERROR(VLOOKUP(A74,[4]KPI评分!B:C,2,FALSE)*60%,"--")</f>
        <v>--</v>
      </c>
    </row>
    <row r="75" spans="1:53" ht="24.75" customHeight="1" x14ac:dyDescent="0.25">
      <c r="A75" s="3" t="s">
        <v>143</v>
      </c>
      <c r="B75" s="4" t="str" cm="1">
        <f t="array" ref="B75">计算得分(INDEX([1]Sheet1!$W:$W, MATCH(A75, [1]Sheet1!$B:$B,0)), 固定数据!B72, 固定数据!C72, 0.5, 0,-10, 0)</f>
        <v>--</v>
      </c>
      <c r="C75" s="4" t="str" cm="1">
        <f t="array" ref="C75">计算得分(INDEX([1]Sheet1!$X:$X, MATCH(A75, [1]Sheet1!$B:$B,0)), 固定数据!D72, 固定数据!E72, 1, 0,-10, 0)</f>
        <v>--</v>
      </c>
      <c r="D75" s="4" t="str" cm="1">
        <f t="array" ref="D75">计算得分(INDEX([1]Sheet1!$Y:$Y, MATCH(A75, [1]Sheet1!$B:$B,0)), 固定数据!F72, 固定数据!G72, 2, 0,-10, 0)</f>
        <v>--</v>
      </c>
      <c r="E75" s="4" t="str" cm="1">
        <f t="array" ref="E75">计算得分(INDEX([1]Sheet1!$C:$C, MATCH(A75, [1]Sheet1!$B:$B,0)), 固定数据!H72, 固定数据!I72, 0.02, 10,0, 1)</f>
        <v>--</v>
      </c>
      <c r="F75" s="4" t="str" cm="1">
        <f t="array" ref="F75">计算得分(INDEX([1]Sheet1!$D:$D, MATCH(A75, [1]Sheet1!$B:$B,0)), 固定数据!J72, 固定数据!K72, 0, 0,0, 0)</f>
        <v>--</v>
      </c>
      <c r="G75" s="4" t="str" cm="1">
        <f t="array" ref="G75">计算得分(INDEX([1]Sheet1!$E:$E, MATCH(A75, [1]Sheet1!$B:$B,0)), 固定数据!L72, 固定数据!M72, 0.3, 3,0, 5)</f>
        <v>--</v>
      </c>
      <c r="H75" s="4" t="str" cm="1">
        <f t="array" ref="H75">计算得分(INDEX([1]Sheet1!$AG:$AG, MATCH(A75, [1]Sheet1!$B:$B,0)), 固定数据!N72, 固定数据!O72, 0.03, 3,0, 3)</f>
        <v>--</v>
      </c>
      <c r="I75" s="4" t="str" cm="1">
        <f t="array" ref="I75">计算得分(INDEX([1]Sheet1!$V:$V, MATCH(A75, [1]Sheet1!$B:$B,0)), 固定数据!P72, 固定数据!Q72, 1, 0,-100, 0)</f>
        <v>--</v>
      </c>
      <c r="J75" s="4" t="str" cm="1">
        <f t="array" ref="J75">计算得分(INDEX([1]Sheet1!$AI:$AI, MATCH(A75, [1]Sheet1!$B:$B,0)), 固定数据!R72, 固定数据!S72, 0.04, 12,0, 3)</f>
        <v>--</v>
      </c>
      <c r="K75" s="4" t="str" cm="1">
        <f t="array" ref="K75">计算得分(INDEX([1]Sheet1!$F:$F, MATCH(A75, [1]Sheet1!$B:$B,0)), 固定数据!T72, 固定数据!U72, 0.02, 3,0, 1)</f>
        <v>--</v>
      </c>
      <c r="L75" s="4" t="str" cm="1">
        <f t="array" ref="L75">计算得分(INDEX([1]Sheet1!$U:$U, MATCH(A75, [1]Sheet1!$B:$B,0)), 固定数据!V72, 固定数据!W72, 0.2, 20,0, 0)</f>
        <v>--</v>
      </c>
      <c r="M75" s="4" t="str" cm="1">
        <f t="array" ref="M75">计算得分(100, 固定数据!X72, 固定数据!Y72, 0, 5,0, 0)</f>
        <v>--</v>
      </c>
      <c r="N75" s="4" t="str" cm="1">
        <f t="array" ref="N75">计算得分(100, 固定数据!Z72, 固定数据!AA72, 0, 5,0, 0)</f>
        <v>--</v>
      </c>
      <c r="O75" s="4" t="str" cm="1">
        <f t="array" ref="O75">计算得分(100, 固定数据!AB72, 固定数据!AC72, 0, 7,0, 0)</f>
        <v>--</v>
      </c>
      <c r="P75" s="4" t="str" cm="1">
        <f t="array" ref="P75">计算得分(INDEX([1]Sheet1!$P:$P, MATCH(A75, [1]Sheet1!$B:$B,0)), 固定数据!AD72, 固定数据!AE72, 0.2, 7,0, 0)</f>
        <v>--</v>
      </c>
      <c r="Q75" s="4" t="str" cm="1">
        <f t="array" ref="Q75">计算得分(INDEX([1]Sheet1!$I:$I, MATCH(A75, [1]Sheet1!$B:$B,0)), 固定数据!AF72, 固定数据!AG72,0.2, IF(固定数据!AF72&lt;&gt;"--",固定数据!AF72,0),2, 5)</f>
        <v>--</v>
      </c>
      <c r="R75" s="4" t="str" cm="1">
        <f t="array" ref="R75">计算得分(INDEX([2]Sheet1!$AL:$AL, MATCH(A75, [2]Sheet1!$A:$A,0)), 固定数据!AH72, 固定数据!AI72, 0.02, 6,6, 1)</f>
        <v>--</v>
      </c>
      <c r="S75" s="4" t="str" cm="1">
        <f t="array" ref="S75">计算得分(INDEX([2]Sheet1!$I:$I, MATCH(A75, [2]Sheet1!$A:$A,0)), 固定数据!AJ72, 固定数据!AK72, 0.005, 6,0, 1)</f>
        <v>--</v>
      </c>
      <c r="T75" s="4" t="str" cm="1">
        <f t="array" ref="T75">计算得分(98, 固定数据!AL72, 固定数据!AM72, 0.03, IF(固定数据!AL72&lt;&gt;"--",固定数据!AL72,0),0, 3)</f>
        <v>--</v>
      </c>
      <c r="U75" s="4" t="str" cm="1">
        <f t="array" ref="U75">计算得分(INDEX([1]Sheet1!$G:$G, MATCH(A75, [1]Sheet1!$B:$B,0)), 固定数据!AN72, 固定数据!AO72, 0.5, 3,0, 0)</f>
        <v>--</v>
      </c>
      <c r="V75" s="4" t="str" cm="1">
        <f t="array" ref="V75">计算得分(INDEX([1]Sheet1!$H:$H, MATCH(A75, [1]Sheet1!$B:$B,0)), 固定数据!AP72, 固定数据!AQ72, 0.4, 5,0, 1)</f>
        <v>--</v>
      </c>
      <c r="W75" s="4" t="str" cm="1">
        <f t="array" ref="W75">计算得分(INDEX([1]Sheet1!$J:$J, MATCH(A75, [1]Sheet1!$B:$B,0)), 固定数据!AR72, 固定数据!AS72, 0.2, 2,2, 4)</f>
        <v>--</v>
      </c>
      <c r="X75" s="4" t="str" cm="1">
        <f t="array" ref="X75">计算得分(INDEX([1]Sheet1!$K:$K, MATCH(A75, [1]Sheet1!$B:$B,0)), 固定数据!AT72, 固定数据!AU72, 0.2, 1.5,1.5, 4)</f>
        <v>--</v>
      </c>
      <c r="Y75" s="4" t="str" cm="1">
        <f t="array" ref="Y75">计算得分(INDEX([1]Sheet1!$AA:$AA, MATCH(A75, [1]Sheet1!$B:$B,0)), 固定数据!AV72, 固定数据!AW72, 0.05, IF(固定数据!AV72&lt;&gt;"--",固定数据!AV72,0),0, 3)</f>
        <v>--</v>
      </c>
      <c r="Z75" s="4" t="str" cm="1">
        <f t="array" ref="Z75">计算得分(INDEX([1]Sheet1!$AB:$AB, MATCH(A75, [1]Sheet1!$B:$B,0)), 固定数据!AX72, 固定数据!AY72, 0.05, IF(固定数据!AX72&lt;&gt;"--",固定数据!AX72,0),0, 3)</f>
        <v>--</v>
      </c>
      <c r="AA75" s="4" t="str" cm="1">
        <f t="array" ref="AA75">计算得分(INDEX([1]Sheet1!$AC:$AC, MATCH(A75, [1]Sheet1!$B:$B,0)), 固定数据!AZ72, 固定数据!BA72, 0.04, IF(固定数据!AZ72&lt;&gt;"--",固定数据!AZ72,0),0, 3)</f>
        <v>--</v>
      </c>
      <c r="AB75" s="4" t="str" cm="1">
        <f t="array" ref="AB75">计算得分(INDEX([1]Sheet1!$AD:$AD, MATCH(A75, [1]Sheet1!$B:$B,0)), 固定数据!BB72, 固定数据!BC72, 0.03, IF(固定数据!BB72&lt;&gt;"--",固定数据!BB72,0),0, 3)</f>
        <v>--</v>
      </c>
      <c r="AC75" s="4" t="str" cm="1">
        <f t="array" ref="AC75">计算得分(INDEX([1]Sheet1!$AE:$AE, MATCH(A75, [1]Sheet1!$B:$B,0)), 固定数据!BD72, 固定数据!BE72, 0.04, IF(固定数据!BD72&lt;&gt;"--",固定数据!BD72,0),0, 3)</f>
        <v>--</v>
      </c>
      <c r="AD75" s="4" t="str" cm="1">
        <f t="array" ref="AD75">计算得分(INDEX([1]Sheet1!$L:$L, MATCH(A75, [1]Sheet1!$B:$B,0)), 固定数据!BF72, 固定数据!BG72, 0.1, 12.5,0, 3)</f>
        <v>--</v>
      </c>
      <c r="AE75" s="4" t="str" cm="1">
        <f t="array" ref="AE75">计算得分(INDEX([1]Sheet1!$N:$N, MATCH(A75, [1]Sheet1!$B:$B,0)), 固定数据!BH72, 固定数据!BI72, 0.2, 7,0, 0)</f>
        <v>--</v>
      </c>
      <c r="AF75" s="4" t="str" cm="1">
        <f t="array" ref="AF75">计算得分(INDEX([1]Sheet1!$Q:$Q, MATCH(A75, [1]Sheet1!$B:$B,0)), 固定数据!BJ72, 固定数据!BK72, 0.2, 7,0, 0)</f>
        <v>--</v>
      </c>
      <c r="AG75" s="4" t="str" cm="1">
        <f t="array" ref="AG75">计算得分(INDEX([1]Sheet1!$S:$S, MATCH(A75, [1]Sheet1!$B:$B,0)), 固定数据!BL72, 固定数据!BM72, 0.2, 20,0, 0)</f>
        <v>--</v>
      </c>
      <c r="AH75" s="4" t="str" cm="1">
        <f t="array" ref="AH75">计算得分(INDEX([1]Sheet1!$AF:$AF, MATCH(A75, [1]Sheet1!$B:$B,0)), 固定数据!BN72, 固定数据!BO72, 0.1, 10,0, 3)</f>
        <v>--</v>
      </c>
      <c r="AI75" s="4" t="str" cm="1">
        <f t="array" ref="AI75">计算得分(INDEX([1]Sheet1!$M:$M, MATCH(A75, [1]Sheet1!$B:$B,0)), 固定数据!BP72, 固定数据!BQ72, 0.2, 20,0, 3)</f>
        <v>--</v>
      </c>
      <c r="AJ75" s="4" t="str" cm="1">
        <f t="array" ref="AJ75">计算得分(INDEX([1]Sheet1!$Z:$Z, MATCH(A75, [1]Sheet1!$B:$B,0)), 固定数据!BR72, 固定数据!BS72, 10, 50,0, 0)</f>
        <v>--</v>
      </c>
      <c r="AK75" s="4" t="str" cm="1">
        <f t="array" ref="AK75">计算得分(INDEX([1]Sheet1!$O:$O, MATCH(A75, [1]Sheet1!$B:$B,0)), 固定数据!BT72, 固定数据!BU72, 0.2, 15,0, 0)</f>
        <v>--</v>
      </c>
      <c r="AL75" s="4" t="str" cm="1">
        <f t="array" ref="AL75">计算得分(INDEX([1]Sheet1!$R:$R, MATCH(A75, [1]Sheet1!$B:$B,0)), 固定数据!BV72, 固定数据!BW72, 0.2, 10,0, 0)</f>
        <v>--</v>
      </c>
      <c r="AM75" s="4" t="str" cm="1">
        <f t="array" ref="AM75">计算得分(INDEX([1]Sheet1!$T:$T, MATCH(A75, [1]Sheet1!$B:$B,0)), 固定数据!BX72, 固定数据!BY72, 0.2, 20,0, 0)</f>
        <v>--</v>
      </c>
      <c r="AN75" s="4" cm="1">
        <f t="array" ref="AN75">计算得分([3]Sheet1!$F$3, 固定数据!BZ72, 固定数据!CA72, 0.5, 15,0, 0)</f>
        <v>104.4</v>
      </c>
      <c r="AO75" s="4" cm="1">
        <f t="array" ref="AO75">计算得分([3]Sheet1!$G$3, 固定数据!CB72, 固定数据!CC72, 0.01, 5,0, 1)</f>
        <v>3675</v>
      </c>
      <c r="AP75" s="4" cm="1">
        <f t="array" ref="AP75">计算得分([3]Sheet1!$H$3, 固定数据!CD72, 固定数据!CE72, 0.001, 5,0, 1)</f>
        <v>18357</v>
      </c>
      <c r="AQ75" s="4" cm="1">
        <f t="array" ref="AQ75">计算得分([3]Sheet1!$D$3,固定数据!CF72,固定数据!CG72,0.05,5,0,3)</f>
        <v>186.8</v>
      </c>
      <c r="AR75" s="4" cm="1">
        <f t="array" ref="AR75">计算得分([3]Sheet1!$E$3,固定数据!CH72,固定数据!CI72,0.1,10,0,3)</f>
        <v>7574.53</v>
      </c>
      <c r="AS75" s="8" t="s">
        <v>74</v>
      </c>
      <c r="AT75" s="4" cm="1">
        <f t="array" ref="AT75">计算得分(INDEX([3]Sheet1!$J:$J, MATCH(A75, [3]Sheet1!$B:$B,0)), 固定数据!CL72, 固定数据!CM72, 2, 0,-10, 0)</f>
        <v>100</v>
      </c>
      <c r="AU75" s="4" cm="1">
        <f t="array" ref="AU75">计算得分(INDEX([3]Sheet1!$K:$K, MATCH(A75, [3]Sheet1!$B:$B,0)), 固定数据!CN72, 固定数据!CO72, 3, 0,-10, 0)</f>
        <v>100</v>
      </c>
      <c r="AV75" s="4" cm="1">
        <f t="array" ref="AV75">计算得分(INDEX([3]Sheet1!$L:$L, MATCH(A75, [3]Sheet1!$B:$B,0)), 固定数据!CP72, 固定数据!CQ72, 3, 0,-10, 0)</f>
        <v>100</v>
      </c>
      <c r="AW75" s="4" cm="1">
        <f t="array" ref="AW75">计算得分(INDEX([3]Sheet1!$M:$M, MATCH(A75, [3]Sheet1!$B:$B,0)), 固定数据!CR72, 固定数据!CS72, 100, 0,-100, 0)</f>
        <v>100</v>
      </c>
      <c r="AX75" s="4" cm="1">
        <f t="array" ref="AX75">计算得分(INDEX([3]Sheet1!$N:$N, MATCH(A75, [3]Sheet1!$B:$B,0)), 固定数据!CT72, 固定数据!CU72, 3, 0,-10, 0)</f>
        <v>100</v>
      </c>
      <c r="AY75" s="8" t="s">
        <v>74</v>
      </c>
      <c r="AZ75" s="8" t="s">
        <v>74</v>
      </c>
      <c r="BA75" s="4">
        <f>IFERROR(VLOOKUP("纪检监察室",[4]KPI评分!B:C,2,FALSE)*60%,"--")</f>
        <v>57.84</v>
      </c>
    </row>
    <row r="76" spans="1:53" ht="24.75" customHeight="1" x14ac:dyDescent="0.25">
      <c r="A76" s="1" t="s">
        <v>144</v>
      </c>
      <c r="B76" s="2" t="str" cm="1">
        <f t="array" ref="B76">计算得分(INDEX([1]Sheet1!$W:$W, MATCH(A76, [1]Sheet1!$B:$B,0)), 固定数据!B73, 固定数据!C73, 0.5, 0,-10, 0)</f>
        <v>--</v>
      </c>
      <c r="C76" s="2" t="str" cm="1">
        <f t="array" ref="C76">计算得分(INDEX([1]Sheet1!$X:$X, MATCH(A76, [1]Sheet1!$B:$B,0)), 固定数据!D73, 固定数据!E73, 1, 0,-10, 0)</f>
        <v>--</v>
      </c>
      <c r="D76" s="2" t="str" cm="1">
        <f t="array" ref="D76">计算得分(INDEX([1]Sheet1!$Y:$Y, MATCH(A76, [1]Sheet1!$B:$B,0)), 固定数据!F73, 固定数据!G73, 2, 0,-10, 0)</f>
        <v>--</v>
      </c>
      <c r="E76" s="6" t="str" cm="1">
        <f t="array" ref="E76">计算得分(INDEX([1]Sheet1!$C:$C, MATCH(A76, [1]Sheet1!$B:$B,0)), 固定数据!H73, 固定数据!I73, 0.02, 10,0, 1)</f>
        <v>--</v>
      </c>
      <c r="F76" s="2" t="str" cm="1">
        <f t="array" ref="F76">计算得分(INDEX([1]Sheet1!$D:$D, MATCH(A76, [1]Sheet1!$B:$B,0)), 固定数据!J73, 固定数据!K73, 0, 0,0, 0)</f>
        <v>--</v>
      </c>
      <c r="G76" s="2" t="str" cm="1">
        <f t="array" ref="G76">计算得分(INDEX([1]Sheet1!$E:$E, MATCH(A76, [1]Sheet1!$B:$B,0)), 固定数据!L73, 固定数据!M73,  0.3, 3,0, 5)</f>
        <v>--</v>
      </c>
      <c r="H76" s="2" t="str" cm="1">
        <f t="array" ref="H76">计算得分(INDEX([1]Sheet1!$AG:$AG, MATCH(A76, [1]Sheet1!$B:$B,0)), 固定数据!N73, 固定数据!O73, 0.03, 3,0, 3)</f>
        <v>--</v>
      </c>
      <c r="I76" s="2" t="str" cm="1">
        <f t="array" ref="I76">计算得分(INDEX([1]Sheet1!$V:$V, MATCH(A76, [1]Sheet1!$B:$B,0)), 固定数据!P73, 固定数据!Q73, 1, 0,-100, 0)</f>
        <v>--</v>
      </c>
      <c r="J76" s="2" t="str" cm="1">
        <f t="array" ref="J76">计算得分(INDEX([1]Sheet1!$AI:$AI, MATCH(A76, [1]Sheet1!$B:$B,0)), 固定数据!R73, 固定数据!S73, 0.04, 12,0, 3)</f>
        <v>--</v>
      </c>
      <c r="K76" s="2" t="str" cm="1">
        <f t="array" ref="K76">计算得分(INDEX([1]Sheet1!$F:$F, MATCH(A76, [1]Sheet1!$B:$B,0)), 固定数据!T73, 固定数据!U73, 0.02, 3,0, 1)</f>
        <v>--</v>
      </c>
      <c r="L76" s="2" t="str" cm="1">
        <f t="array" ref="L76">计算得分(INDEX([1]Sheet1!$U:$U, MATCH(A76, [1]Sheet1!$B:$B,0)), 固定数据!V73, 固定数据!W73, 0.2, 20,0, 0)</f>
        <v>--</v>
      </c>
      <c r="M76" s="2" t="str" cm="1">
        <f t="array" ref="M76">计算得分(100, 固定数据!X73, 固定数据!Y73, 0, 5,0, 0)</f>
        <v>--</v>
      </c>
      <c r="N76" s="2" t="str" cm="1">
        <f t="array" ref="N76">计算得分(100, 固定数据!Z73, 固定数据!AA73, 0, 5,0, 0)</f>
        <v>--</v>
      </c>
      <c r="O76" s="2" t="str" cm="1">
        <f t="array" ref="O76">计算得分(100, 固定数据!AB73, 固定数据!AC73, 0, 7,0, 0)</f>
        <v>--</v>
      </c>
      <c r="P76" s="2" t="str" cm="1">
        <f t="array" ref="P76">计算得分(INDEX([1]Sheet1!$P:$P, MATCH(A76, [1]Sheet1!$B:$B,0)), 固定数据!AD73, 固定数据!AE73, 0.2, 7,0, 0)</f>
        <v>--</v>
      </c>
      <c r="Q76" s="2" t="str" cm="1">
        <f t="array" ref="Q76">计算得分(INDEX([1]Sheet1!$I:$I, MATCH(A76, [1]Sheet1!$B:$B,0)), 固定数据!AF73, 固定数据!AG73,0.2, IF(固定数据!AF73&lt;&gt;"--",固定数据!AF73,0),2, 5)</f>
        <v>--</v>
      </c>
      <c r="R76" s="2" t="str" cm="1">
        <f t="array" ref="R76">计算得分(INDEX([2]Sheet1!$AL:$AL, MATCH(A76, [2]Sheet1!$A:$A,0)), 固定数据!AH73, 固定数据!AI73, 0.02, 6,6, 1)</f>
        <v>--</v>
      </c>
      <c r="S76" s="2" t="str" cm="1">
        <f t="array" ref="S76">计算得分(INDEX([2]Sheet1!$I:$I, MATCH(A76, [2]Sheet1!$A:$A,0)), 固定数据!AJ73, 固定数据!AK73, 0.005, 6,0, 1)</f>
        <v>--</v>
      </c>
      <c r="T76" s="2" t="str" cm="1">
        <f t="array" ref="T76">计算得分(98, 固定数据!AL73, 固定数据!AM73, 0.03, IF(固定数据!AL73&lt;&gt;"--",固定数据!AL73,0),0, 3)</f>
        <v>--</v>
      </c>
      <c r="U76" s="2" t="str" cm="1">
        <f t="array" ref="U76">计算得分(INDEX([1]Sheet1!$G:$G, MATCH(A76, [1]Sheet1!$B:$B,0)), 固定数据!AN73, 固定数据!AO73, 0.5, 3,0, 0)</f>
        <v>--</v>
      </c>
      <c r="V76" s="2" t="str" cm="1">
        <f t="array" ref="V76">计算得分(INDEX([1]Sheet1!$H:$H, MATCH(A76, [1]Sheet1!$B:$B,0)), 固定数据!AP73, 固定数据!AQ73, 0.4, 5,0, 1)</f>
        <v>--</v>
      </c>
      <c r="W76" s="2" t="str" cm="1">
        <f t="array" ref="W76">计算得分(INDEX([1]Sheet1!$J:$J, MATCH(A76, [1]Sheet1!$B:$B,0)), 固定数据!AR73, 固定数据!AS73, 0.2, 2,2, 4)</f>
        <v>--</v>
      </c>
      <c r="X76" s="2" t="str" cm="1">
        <f t="array" ref="X76">计算得分(INDEX([1]Sheet1!$K:$K, MATCH(A76, [1]Sheet1!$B:$B,0)), 固定数据!AT73, 固定数据!AU73, 0.2, 1.5,1.5, 4)</f>
        <v>--</v>
      </c>
      <c r="Y76" s="2" t="str" cm="1">
        <f t="array" ref="Y76">计算得分(INDEX([1]Sheet1!$AA:$AA, MATCH(A76, [1]Sheet1!$B:$B,0)), 固定数据!AV73, 固定数据!AW73, 0.05, IF(固定数据!AV73&lt;&gt;"--",固定数据!AV73,0),0, 3)</f>
        <v>--</v>
      </c>
      <c r="Z76" s="2" t="str" cm="1">
        <f t="array" ref="Z76">计算得分(INDEX([1]Sheet1!$AB:$AB, MATCH(A76, [1]Sheet1!$B:$B,0)), 固定数据!AX73, 固定数据!AY73, 0.05, IF(固定数据!AX73&lt;&gt;"--",固定数据!AX73,0),0, 3)</f>
        <v>--</v>
      </c>
      <c r="AA76" s="2" t="str" cm="1">
        <f t="array" ref="AA76">计算得分(INDEX([1]Sheet1!$AC:$AC, MATCH(A76, [1]Sheet1!$B:$B,0)), 固定数据!AZ73, 固定数据!BA73, 0.04, IF(固定数据!AZ73&lt;&gt;"--",固定数据!AZ73,0),0, 3)</f>
        <v>--</v>
      </c>
      <c r="AB76" s="2" t="str" cm="1">
        <f t="array" ref="AB76">计算得分(INDEX([1]Sheet1!$AD:$AD, MATCH(A76, [1]Sheet1!$B:$B,0)), 固定数据!BB73, 固定数据!BC73, 0.03, IF(固定数据!BB73&lt;&gt;"--",固定数据!BB73,0),0, 3)</f>
        <v>--</v>
      </c>
      <c r="AC76" s="2" t="str" cm="1">
        <f t="array" ref="AC76">计算得分(INDEX([1]Sheet1!$AE:$AE, MATCH(A76, [1]Sheet1!$B:$B,0)), 固定数据!BD73, 固定数据!BE73, 0.04, IF(固定数据!BD73&lt;&gt;"--",固定数据!BD73,0),0, 3)</f>
        <v>--</v>
      </c>
      <c r="AD76" s="2" t="str" cm="1">
        <f t="array" ref="AD76">计算得分(INDEX([1]Sheet1!$L:$L, MATCH(A76, [1]Sheet1!$B:$B,0)), 固定数据!BF73, 固定数据!BG73, 0.1, 12.5,0, 3)</f>
        <v>--</v>
      </c>
      <c r="AE76" s="2" t="str" cm="1">
        <f t="array" ref="AE76">计算得分(INDEX([1]Sheet1!$N:$N, MATCH(A76, [1]Sheet1!$B:$B,0)), 固定数据!BH73, 固定数据!BI73, 0.2, 7,0, 0)</f>
        <v>--</v>
      </c>
      <c r="AF76" s="2" t="str" cm="1">
        <f t="array" ref="AF76">计算得分(INDEX([1]Sheet1!$Q:$Q, MATCH(A76, [1]Sheet1!$B:$B,0)), 固定数据!BJ73, 固定数据!BK73, 0.2, 7,0, 0)</f>
        <v>--</v>
      </c>
      <c r="AG76" s="2" t="str" cm="1">
        <f t="array" ref="AG76">计算得分(INDEX([1]Sheet1!$S:$S, MATCH(A76, [1]Sheet1!$B:$B,0)), 固定数据!BL73, 固定数据!BM73, 0.2, 20,0, 0)</f>
        <v>--</v>
      </c>
      <c r="AH76" s="6" t="str" cm="1">
        <f t="array" ref="AH76">计算得分(INDEX([1]Sheet1!$AF:$AF, MATCH(A76, [1]Sheet1!$B:$B,0)), 固定数据!BN73, 固定数据!BO73, 0.1, 10,0, 3)</f>
        <v>--</v>
      </c>
      <c r="AI76" s="2" t="str" cm="1">
        <f t="array" ref="AI76">计算得分(INDEX([1]Sheet1!$M:$M, MATCH(A76, [1]Sheet1!$B:$B,0)), 固定数据!BP73, 固定数据!BQ73, 0.2, 20,0, 3)</f>
        <v>--</v>
      </c>
      <c r="AJ76" s="2" t="str" cm="1">
        <f t="array" ref="AJ76">计算得分(INDEX([1]Sheet1!$Z:$Z, MATCH(A76, [1]Sheet1!$B:$B,0)), 固定数据!BR73, 固定数据!BS73, 10, 50,0, 0)</f>
        <v>--</v>
      </c>
      <c r="AK76" s="2" t="str" cm="1">
        <f t="array" ref="AK76">计算得分(INDEX([1]Sheet1!$O:$O, MATCH(A76, [1]Sheet1!$B:$B,0)), 固定数据!BT73, 固定数据!BU73, 0.2, 15,0, 0)</f>
        <v>--</v>
      </c>
      <c r="AL76" s="2" t="str" cm="1">
        <f t="array" ref="AL76">计算得分(INDEX([1]Sheet1!$R:$R, MATCH(A76, [1]Sheet1!$B:$B,0)), 固定数据!BV73, 固定数据!BW73, 0.2, 10,0, 0)</f>
        <v>--</v>
      </c>
      <c r="AM76" s="2" t="str" cm="1">
        <f t="array" ref="AM76">计算得分(INDEX([1]Sheet1!$T:$T, MATCH(A76, [1]Sheet1!$B:$B,0)), 固定数据!BX73, 固定数据!BY73, 0.2, 20,0, 0)</f>
        <v>--</v>
      </c>
      <c r="AN76" s="2" cm="1">
        <f t="array" ref="AN76">计算得分([3]Sheet1!$F$3, 固定数据!BZ73, 固定数据!CA73, 0.5, 15,0, 0)</f>
        <v>104.4</v>
      </c>
      <c r="AO76" s="6" cm="1">
        <f t="array" ref="AO76">计算得分([3]Sheet1!$G$3, 固定数据!CB73, 固定数据!CC73, 0.01, 5,0, 1)</f>
        <v>3675</v>
      </c>
      <c r="AP76" s="6" cm="1">
        <f t="array" ref="AP76">计算得分([3]Sheet1!$H$3, 固定数据!CD73, 固定数据!CE73, 0.001, 5,0, 1)</f>
        <v>18357</v>
      </c>
      <c r="AQ76" s="6" cm="1">
        <f t="array" ref="AQ76">计算得分([3]Sheet1!$D$3,固定数据!CF73,固定数据!CG73,0.05,5,0,3)</f>
        <v>186.8</v>
      </c>
      <c r="AR76" s="6" cm="1">
        <f t="array" ref="AR76">计算得分([3]Sheet1!$E$3,固定数据!CH73,固定数据!CI73,0.1,10,0,3)</f>
        <v>7574.53</v>
      </c>
      <c r="AS76" s="7" t="s">
        <v>74</v>
      </c>
      <c r="AT76" s="6" cm="1">
        <f t="array" ref="AT76">计算得分(INDEX([3]Sheet1!$J:$J, MATCH(A76, [3]Sheet1!$B:$B,0)), 固定数据!CL73, 固定数据!CM73, 2, 0,-10, 0)</f>
        <v>100</v>
      </c>
      <c r="AU76" s="2" cm="1">
        <f t="array" ref="AU76">计算得分(INDEX([3]Sheet1!$K:$K, MATCH(A76, [3]Sheet1!$B:$B,0)), 固定数据!CN73, 固定数据!CO73, 3, 0,-10, 0)</f>
        <v>100</v>
      </c>
      <c r="AV76" s="2" cm="1">
        <f t="array" ref="AV76">计算得分(INDEX([3]Sheet1!$L:$L, MATCH(A76, [3]Sheet1!$B:$B,0)), 固定数据!CP73, 固定数据!CQ73, 3, 0,-10, 0)</f>
        <v>100</v>
      </c>
      <c r="AW76" s="2" cm="1">
        <f t="array" ref="AW76">计算得分(INDEX([3]Sheet1!$M:$M, MATCH(A76, [3]Sheet1!$B:$B,0)), 固定数据!CR73, 固定数据!CS73, 100, 0,-100, 0)</f>
        <v>100</v>
      </c>
      <c r="AX76" s="2" cm="1">
        <f t="array" ref="AX76">计算得分(INDEX([3]Sheet1!$N:$N, MATCH(A76, [3]Sheet1!$B:$B,0)), 固定数据!CT73, 固定数据!CU73, 3, 0,-10, 0)</f>
        <v>100</v>
      </c>
      <c r="AY76" s="7" t="s">
        <v>74</v>
      </c>
      <c r="AZ76" s="7" t="s">
        <v>74</v>
      </c>
      <c r="BA76" s="2">
        <f>IFERROR(VLOOKUP(A76,[4]KPI评分!B:C,2,FALSE)*60%,"--")</f>
        <v>57.359999999999992</v>
      </c>
    </row>
    <row r="77" spans="1:53" ht="24.75" customHeight="1" x14ac:dyDescent="0.25">
      <c r="A77" s="3" t="s">
        <v>145</v>
      </c>
      <c r="B77" s="4" cm="1">
        <f t="array" ref="B77">计算得分(INDEX([1]Sheet1!$W:$W, MATCH(A77, [1]Sheet1!$B:$B,0)), 固定数据!B74, 固定数据!C74, 0.5, 0,-10, 0)</f>
        <v>0</v>
      </c>
      <c r="C77" s="4" cm="1">
        <f t="array" ref="C77">计算得分(INDEX([1]Sheet1!$X:$X, MATCH(A77, [1]Sheet1!$B:$B,0)), 固定数据!D74, 固定数据!E74, 1, 0,-10, 0)</f>
        <v>0</v>
      </c>
      <c r="D77" s="4" cm="1">
        <f t="array" ref="D77">计算得分(INDEX([1]Sheet1!$Y:$Y, MATCH(A77, [1]Sheet1!$B:$B,0)), 固定数据!F74, 固定数据!G74, 2, 0,-10, 0)</f>
        <v>0</v>
      </c>
      <c r="E77" s="4" t="str" cm="1">
        <f t="array" ref="E77">计算得分(INDEX([1]Sheet1!$C:$C, MATCH(A77, [1]Sheet1!$B:$B,0)), 固定数据!H74, 固定数据!I74, 0.02, 10,0, 1)</f>
        <v>--</v>
      </c>
      <c r="F77" s="4" t="str" cm="1">
        <f t="array" ref="F77">计算得分(INDEX([1]Sheet1!$D:$D, MATCH(A77, [1]Sheet1!$B:$B,0)), 固定数据!J74, 固定数据!K74, 0, 0,0, 0)</f>
        <v>--</v>
      </c>
      <c r="G77" s="4" t="str" cm="1">
        <f t="array" ref="G77">计算得分(INDEX([1]Sheet1!$E:$E, MATCH(A77, [1]Sheet1!$B:$B,0)), 固定数据!L74, 固定数据!M74, 0.3, 3,0, 5)</f>
        <v>--</v>
      </c>
      <c r="H77" s="4" cm="1">
        <f t="array" ref="H77">计算得分(INDEX([1]Sheet1!$AG:$AG, MATCH(A77, [1]Sheet1!$B:$B,0)), 固定数据!N74, 固定数据!O74, 0.03, 3,0, 3)</f>
        <v>100</v>
      </c>
      <c r="I77" s="4" cm="1">
        <f t="array" ref="I77">计算得分(INDEX([1]Sheet1!$V:$V, MATCH(A77, [1]Sheet1!$B:$B,0)), 固定数据!P74, 固定数据!Q74, 1, 0,-100, 0)</f>
        <v>0</v>
      </c>
      <c r="J77" s="4" t="str" cm="1">
        <f t="array" ref="J77">计算得分(INDEX([1]Sheet1!$AI:$AI, MATCH(A77, [1]Sheet1!$B:$B,0)), 固定数据!R74, 固定数据!S74, 0.04, 12,0, 3)</f>
        <v>--</v>
      </c>
      <c r="K77" s="4" t="str" cm="1">
        <f t="array" ref="K77">计算得分(INDEX([1]Sheet1!$F:$F, MATCH(A77, [1]Sheet1!$B:$B,0)), 固定数据!T74, 固定数据!U74, 0.02, 3,0, 1)</f>
        <v>--</v>
      </c>
      <c r="L77" s="4" t="str" cm="1">
        <f t="array" ref="L77">计算得分(INDEX([1]Sheet1!$U:$U, MATCH(A77, [1]Sheet1!$B:$B,0)), 固定数据!V74, 固定数据!W74, 0.2, 20,0, 0)</f>
        <v>--</v>
      </c>
      <c r="M77" s="4" t="str" cm="1">
        <f t="array" ref="M77">计算得分(100, 固定数据!X74, 固定数据!Y74, 0, 5,0, 0)</f>
        <v>--</v>
      </c>
      <c r="N77" s="4" t="str" cm="1">
        <f t="array" ref="N77">计算得分(100, 固定数据!Z74, 固定数据!AA74, 0, 5,0, 0)</f>
        <v>--</v>
      </c>
      <c r="O77" s="4" t="str" cm="1">
        <f t="array" ref="O77">计算得分(100, 固定数据!AB74, 固定数据!AC74, 0, 7,0, 0)</f>
        <v>--</v>
      </c>
      <c r="P77" s="4" t="str" cm="1">
        <f t="array" ref="P77">计算得分(INDEX([1]Sheet1!$P:$P, MATCH(A77, [1]Sheet1!$B:$B,0)), 固定数据!AD74, 固定数据!AE74, 0.2, 7,0, 0)</f>
        <v>--</v>
      </c>
      <c r="Q77" s="4" cm="1">
        <f t="array" ref="Q77">计算得分(INDEX([1]Sheet1!$I:$I, MATCH(A77, [1]Sheet1!$B:$B,0)), 固定数据!AF74, 固定数据!AG74,0.2, 0,0, 5)</f>
        <v>309.97000000000003</v>
      </c>
      <c r="R77" s="4" t="str" cm="1">
        <f t="array" ref="R77">计算得分(INDEX([2]Sheet1!$AL:$AL, MATCH(A77, [2]Sheet1!$A:$A,0)), 固定数据!AH74, 固定数据!AI74, 0.02, 6,6, 1)</f>
        <v>--</v>
      </c>
      <c r="S77" s="4" cm="1">
        <f t="array" ref="S77">计算得分(INDEX([2]Sheet1!$I:$I, MATCH(A77, [2]Sheet1!$A:$A,0)), 固定数据!AJ74, 固定数据!AK74, 0.005, 10,0, 1)</f>
        <v>18357</v>
      </c>
      <c r="T77" s="4" cm="1">
        <f t="array" ref="T77">计算得分(98, 固定数据!AL74, 固定数据!AM74, 0.03, IF(固定数据!AL74&lt;&gt;"--",固定数据!AL74,0),0, 3)</f>
        <v>98</v>
      </c>
      <c r="U77" s="4" t="str" cm="1">
        <f t="array" ref="U77">计算得分(INDEX([1]Sheet1!$G:$G, MATCH(A77, [1]Sheet1!$B:$B,0)), 固定数据!AN74, 固定数据!AO74, 0.5, 3,0, 0)</f>
        <v>--</v>
      </c>
      <c r="V77" s="4" t="str" cm="1">
        <f t="array" ref="V77">计算得分(INDEX([1]Sheet1!$H:$H, MATCH(A77, [1]Sheet1!$B:$B,0)), 固定数据!AP74, 固定数据!AQ74, 0.4, 5,0, 1)</f>
        <v>--</v>
      </c>
      <c r="W77" s="4" cm="1">
        <f t="array" ref="W77">计算得分(INDEX([1]Sheet1!$J:$J, MATCH(A77, [1]Sheet1!$B:$B,0)), 固定数据!AR74, 固定数据!AS74, 0.2, 0,0, 4)</f>
        <v>309.97000000000003</v>
      </c>
      <c r="X77" s="4" t="str" cm="1">
        <f t="array" ref="X77">计算得分(INDEX([1]Sheet1!$K:$K, MATCH(A77, [1]Sheet1!$B:$B,0)), 固定数据!AT74, 固定数据!AU74, 0.2, 1.5,1.5, 4)</f>
        <v>--</v>
      </c>
      <c r="Y77" s="4" cm="1">
        <f t="array" ref="Y77">计算得分(INDEX([1]Sheet1!$AA:$AA, MATCH(A77, [1]Sheet1!$B:$B,0)), 固定数据!AV74, 固定数据!AW74, 0.05, IF(固定数据!AV74&lt;&gt;"--",固定数据!AV74,0),0, 3)</f>
        <v>97</v>
      </c>
      <c r="Z77" s="4" t="str" cm="1">
        <f t="array" ref="Z77">计算得分(INDEX([1]Sheet1!$AB:$AB, MATCH(A77, [1]Sheet1!$B:$B,0)), 固定数据!AX74, 固定数据!AY74, 0.05, IF(固定数据!AX74&lt;&gt;"--",固定数据!AX74,0),0, 3)</f>
        <v>--</v>
      </c>
      <c r="AA77" s="4" cm="1">
        <f t="array" ref="AA77">计算得分(INDEX([1]Sheet1!$AC:$AC, MATCH(A77, [1]Sheet1!$B:$B,0)), 固定数据!AZ74, 固定数据!BA74, 0.04, IF(固定数据!AZ74&lt;&gt;"--",固定数据!AZ74,0),0, 3)</f>
        <v>100</v>
      </c>
      <c r="AB77" s="4" cm="1">
        <f t="array" ref="AB77">计算得分(INDEX([1]Sheet1!$AD:$AD, MATCH(A77, [1]Sheet1!$B:$B,0)), 固定数据!BB74, 固定数据!BC74, 0.03, IF(固定数据!BB74&lt;&gt;"--",固定数据!BB74,0),0, 3)</f>
        <v>99.52</v>
      </c>
      <c r="AC77" s="4" cm="1">
        <f t="array" ref="AC77">计算得分(INDEX([1]Sheet1!$AE:$AE, MATCH(A77, [1]Sheet1!$B:$B,0)), 固定数据!BD74, 固定数据!BE74, 0.04, IF(固定数据!BD74&lt;&gt;"--",固定数据!BD74,0),0, 3)</f>
        <v>96.55</v>
      </c>
      <c r="AD77" s="4" t="str" cm="1">
        <f t="array" ref="AD77">计算得分(INDEX([1]Sheet1!$L:$L, MATCH(A77, [1]Sheet1!$B:$B,0)), 固定数据!BF74, 固定数据!BG74, 0.1, 12.5,0, 3)</f>
        <v>--</v>
      </c>
      <c r="AE77" s="4" t="str" cm="1">
        <f t="array" ref="AE77">计算得分(INDEX([1]Sheet1!$N:$N, MATCH(A77, [1]Sheet1!$B:$B,0)), 固定数据!BH74, 固定数据!BI74, 0.2, 7,0, 0)</f>
        <v>--</v>
      </c>
      <c r="AF77" s="4" t="str" cm="1">
        <f t="array" ref="AF77">计算得分(INDEX([1]Sheet1!$Q:$Q, MATCH(A77, [1]Sheet1!$B:$B,0)), 固定数据!BJ74, 固定数据!BK74, 0.2, 7,0, 0)</f>
        <v>--</v>
      </c>
      <c r="AG77" s="4" t="str" cm="1">
        <f t="array" ref="AG77">计算得分(INDEX([1]Sheet1!$S:$S, MATCH(A77, [1]Sheet1!$B:$B,0)), 固定数据!BL74, 固定数据!BM74, 0.2, 20,0, 0)</f>
        <v>--</v>
      </c>
      <c r="AH77" s="4" t="str" cm="1">
        <f t="array" ref="AH77">计算得分(INDEX([1]Sheet1!$AF:$AF, MATCH(A77, [1]Sheet1!$B:$B,0)), 固定数据!BN74, 固定数据!BO74, 0.1, 10,0, 3)</f>
        <v>--</v>
      </c>
      <c r="AI77" s="4" cm="1">
        <f t="array" ref="AI77">计算得分(INDEX([1]Sheet1!$M:$M, MATCH(A77, [1]Sheet1!$B:$B,0)), 固定数据!BP74, 固定数据!BQ74, 0.2, 20,0, 3)</f>
        <v>186.8</v>
      </c>
      <c r="AJ77" s="4" cm="1">
        <f t="array" ref="AJ77">计算得分(INDEX([1]Sheet1!$Z:$Z, MATCH(A77, [1]Sheet1!$B:$B,0)), 固定数据!BR74, 固定数据!BS74, 10, 50,0, 0)</f>
        <v>0</v>
      </c>
      <c r="AK77" s="4" cm="1">
        <f t="array" ref="AK77">计算得分(INDEX([1]Sheet1!$O:$O, MATCH(A77, [1]Sheet1!$B:$B,0)), 固定数据!BT74, 固定数据!BU74, 0.2, 15,0, 0)</f>
        <v>0.75</v>
      </c>
      <c r="AL77" s="4" t="str" cm="1">
        <f t="array" ref="AL77">计算得分(INDEX([1]Sheet1!$R:$R, MATCH(A77, [1]Sheet1!$B:$B,0)), 固定数据!BV74, 固定数据!BW74, 0.2, 10,0, 0)</f>
        <v>--</v>
      </c>
      <c r="AM77" s="4" cm="1">
        <f t="array" ref="AM77">计算得分(INDEX([1]Sheet1!$T:$T, MATCH(A77, [1]Sheet1!$B:$B,0)), 固定数据!BX74, 固定数据!BY74, 0.2, 40,0, 0)</f>
        <v>71.45</v>
      </c>
      <c r="AN77" s="4" t="str" cm="1">
        <f t="array" ref="AN77">计算得分([3]Sheet1!$F$3, 固定数据!BZ74, 固定数据!CA74, 0.5, 15,0, 0)</f>
        <v>--</v>
      </c>
      <c r="AO77" s="4" t="str" cm="1">
        <f t="array" ref="AO77">计算得分([3]Sheet1!$G$3, 固定数据!CB74, 固定数据!CC74, 0.01, 5,0, 1)</f>
        <v>--</v>
      </c>
      <c r="AP77" s="4" t="str" cm="1">
        <f t="array" ref="AP77">计算得分([3]Sheet1!$H$3, 固定数据!CD74, 固定数据!CE74, 0.001, 5,0, 1)</f>
        <v>--</v>
      </c>
      <c r="AQ77" s="4" t="str" cm="1">
        <f t="array" ref="AQ77">计算得分([3]Sheet1!$D$3,固定数据!CF74,固定数据!CG74,0.05,5,0,3)</f>
        <v>--</v>
      </c>
      <c r="AR77" s="4" t="str" cm="1">
        <f t="array" ref="AR77">计算得分([3]Sheet1!$E$3,固定数据!CH74,固定数据!CI74,0.1,10,0,3)</f>
        <v>--</v>
      </c>
      <c r="AS77" s="8" t="s">
        <v>74</v>
      </c>
      <c r="AT77" s="4" t="str" cm="1">
        <f t="array" ref="AT77">计算得分(INDEX([3]Sheet1!$J:$J, MATCH(A77, [3]Sheet1!$B:$B,0)), 固定数据!CL74, 固定数据!CM74, 2, 0,-10, 0)</f>
        <v>--</v>
      </c>
      <c r="AU77" s="4" t="str" cm="1">
        <f t="array" ref="AU77">计算得分(INDEX([3]Sheet1!$K:$K, MATCH(A77, [3]Sheet1!$B:$B,0)), 固定数据!CN74, 固定数据!CO74, 3, 0,-10, 0)</f>
        <v>--</v>
      </c>
      <c r="AV77" s="4" t="str" cm="1">
        <f t="array" ref="AV77">计算得分(INDEX([3]Sheet1!$L:$L, MATCH(A77, [3]Sheet1!$B:$B,0)), 固定数据!CP74, 固定数据!CQ74, 3, 0,-10, 0)</f>
        <v>--</v>
      </c>
      <c r="AW77" s="4" t="str" cm="1">
        <f t="array" ref="AW77">计算得分(INDEX([3]Sheet1!$M:$M, MATCH(A77, [3]Sheet1!$B:$B,0)), 固定数据!CR74, 固定数据!CS74, 100, 0,-100, 0)</f>
        <v>--</v>
      </c>
      <c r="AX77" s="4" t="str" cm="1">
        <f t="array" ref="AX77">计算得分(INDEX([3]Sheet1!$N:$N, MATCH(A77, [3]Sheet1!$B:$B,0)), 固定数据!CT74, 固定数据!CU74, 3, 0,-10, 0)</f>
        <v>--</v>
      </c>
      <c r="AY77" s="8" t="s">
        <v>74</v>
      </c>
      <c r="AZ77" s="8" t="s">
        <v>74</v>
      </c>
      <c r="BA77" s="4" t="str">
        <f>IFERROR(VLOOKUP(A77,[4]KPI评分!B:C,2,FALSE)*60%,"--")</f>
        <v>--</v>
      </c>
    </row>
    <row r="78" spans="1:53" ht="34.5" customHeight="1" x14ac:dyDescent="0.25">
      <c r="A78" s="1" t="s">
        <v>146</v>
      </c>
      <c r="B78" s="2" t="str" cm="1">
        <f t="array" ref="B78">计算得分(INDEX([1]Sheet1!$W:$W, MATCH(A78, [1]Sheet1!$B:$B,0)), 固定数据!B75, 固定数据!C75, 0.5, 0,-10, 0)</f>
        <v>--</v>
      </c>
      <c r="C78" s="2" t="str" cm="1">
        <f t="array" ref="C78">计算得分(INDEX([1]Sheet1!$X:$X, MATCH(A78, [1]Sheet1!$B:$B,0)), 固定数据!D75, 固定数据!E75, 1, 0,-10, 0)</f>
        <v>--</v>
      </c>
      <c r="D78" s="2" t="str" cm="1">
        <f t="array" ref="D78">计算得分(INDEX([1]Sheet1!$Y:$Y, MATCH(A78, [1]Sheet1!$B:$B,0)), 固定数据!F75, 固定数据!G75, 2, 0,-10, 0)</f>
        <v>--</v>
      </c>
      <c r="E78" s="6" t="str" cm="1">
        <f t="array" ref="E78">计算得分(INDEX([1]Sheet1!$C:$C, MATCH(A78, [1]Sheet1!$B:$B,0)), 固定数据!H75, 固定数据!I75, 0.02, 10,0, 1)</f>
        <v>--</v>
      </c>
      <c r="F78" s="2" t="str" cm="1">
        <f t="array" ref="F78">计算得分(INDEX([1]Sheet1!$D:$D, MATCH(A78, [1]Sheet1!$B:$B,0)), 固定数据!J75, 固定数据!K75, 0, 0,0, 0)</f>
        <v>--</v>
      </c>
      <c r="G78" s="2" t="str" cm="1">
        <f t="array" ref="G78">计算得分(INDEX([1]Sheet1!$E:$E, MATCH(A78, [1]Sheet1!$B:$B,0)), 固定数据!L75, 固定数据!M75,  0.3, 3,0, 5)</f>
        <v>--</v>
      </c>
      <c r="H78" s="2" t="str" cm="1">
        <f t="array" ref="H78">计算得分(INDEX([1]Sheet1!$AG:$AG, MATCH(A78, [1]Sheet1!$B:$B,0)), 固定数据!N75, 固定数据!O75, 0.03, 3,0, 3)</f>
        <v>--</v>
      </c>
      <c r="I78" s="2" t="str" cm="1">
        <f t="array" ref="I78">计算得分(INDEX([1]Sheet1!$V:$V, MATCH(A78, [1]Sheet1!$B:$B,0)), 固定数据!P75, 固定数据!Q75, 1, 0,-100, 0)</f>
        <v>--</v>
      </c>
      <c r="J78" s="2" t="str" cm="1">
        <f t="array" ref="J78">计算得分(INDEX([1]Sheet1!$AI:$AI, MATCH(A78, [1]Sheet1!$B:$B,0)), 固定数据!R75, 固定数据!S75, 0.04, 12,0, 3)</f>
        <v>--</v>
      </c>
      <c r="K78" s="2" t="str" cm="1">
        <f t="array" ref="K78">计算得分(INDEX([1]Sheet1!$F:$F, MATCH(A78, [1]Sheet1!$B:$B,0)), 固定数据!T75, 固定数据!U75, 0.02, 3,0, 1)</f>
        <v>--</v>
      </c>
      <c r="L78" s="2" t="str" cm="1">
        <f t="array" ref="L78">计算得分(INDEX([1]Sheet1!$U:$U, MATCH(A78, [1]Sheet1!$B:$B,0)), 固定数据!V75, 固定数据!W75, 0.2, 20,0, 0)</f>
        <v>--</v>
      </c>
      <c r="M78" s="2" t="str" cm="1">
        <f t="array" ref="M78">计算得分(100, 固定数据!X75, 固定数据!Y75, 0, 5,0, 0)</f>
        <v>--</v>
      </c>
      <c r="N78" s="2" t="str" cm="1">
        <f t="array" ref="N78">计算得分(100, 固定数据!Z75, 固定数据!AA75, 0, 5,0, 0)</f>
        <v>--</v>
      </c>
      <c r="O78" s="2" t="str" cm="1">
        <f t="array" ref="O78">计算得分(100, 固定数据!AB75, 固定数据!AC75, 0, 7,0, 0)</f>
        <v>--</v>
      </c>
      <c r="P78" s="2" t="str" cm="1">
        <f t="array" ref="P78">计算得分(INDEX([1]Sheet1!$P:$P, MATCH(A78, [1]Sheet1!$B:$B,0)), 固定数据!AD75, 固定数据!AE75, 0.2, 7,0, 0)</f>
        <v>--</v>
      </c>
      <c r="Q78" s="2" t="str" cm="1">
        <f t="array" ref="Q78">计算得分(INDEX([1]Sheet1!$I:$I, MATCH(A78, [1]Sheet1!$B:$B,0)), 固定数据!AF75, 固定数据!AG75,0.2, IF(固定数据!AF75&lt;&gt;"--",固定数据!AF75,0),2, 5)</f>
        <v>--</v>
      </c>
      <c r="R78" s="2" t="str" cm="1">
        <f t="array" ref="R78">计算得分(INDEX([2]Sheet1!$AL:$AL, MATCH(A78, [2]Sheet1!$A:$A,0)), 固定数据!AH75, 固定数据!AI75, 0.02, 6,6, 1)</f>
        <v>--</v>
      </c>
      <c r="S78" s="2" t="str" cm="1">
        <f t="array" ref="S78">计算得分(INDEX([2]Sheet1!$I:$I, MATCH(A78, [2]Sheet1!$A:$A,0)), 固定数据!AJ75, 固定数据!AK75, 0.005, 6,0, 1)</f>
        <v>--</v>
      </c>
      <c r="T78" s="2" t="str" cm="1">
        <f t="array" ref="T78">计算得分(98, 固定数据!AL75, 固定数据!AM75, 0.03, IF(固定数据!AL75&lt;&gt;"--",固定数据!AL75,0),0, 3)</f>
        <v>--</v>
      </c>
      <c r="U78" s="2" t="str" cm="1">
        <f t="array" ref="U78">计算得分(INDEX([1]Sheet1!$G:$G, MATCH(A78, [1]Sheet1!$B:$B,0)), 固定数据!AN75, 固定数据!AO75, 0.5, 3,0, 0)</f>
        <v>--</v>
      </c>
      <c r="V78" s="2" t="str" cm="1">
        <f t="array" ref="V78">计算得分(INDEX([1]Sheet1!$H:$H, MATCH(A78, [1]Sheet1!$B:$B,0)), 固定数据!AP75, 固定数据!AQ75, 0.4, 5,0, 1)</f>
        <v>--</v>
      </c>
      <c r="W78" s="2" t="str" cm="1">
        <f t="array" ref="W78">计算得分(INDEX([1]Sheet1!$J:$J, MATCH(A78, [1]Sheet1!$B:$B,0)), 固定数据!AR75, 固定数据!AS75, 0.2, 2,2, 4)</f>
        <v>--</v>
      </c>
      <c r="X78" s="2" t="str" cm="1">
        <f t="array" ref="X78">计算得分(INDEX([1]Sheet1!$K:$K, MATCH(A78, [1]Sheet1!$B:$B,0)), 固定数据!AT75, 固定数据!AU75, 0.2, 1.5,1.5, 4)</f>
        <v>--</v>
      </c>
      <c r="Y78" s="2" t="str" cm="1">
        <f t="array" ref="Y78">计算得分(INDEX([1]Sheet1!$AA:$AA, MATCH(A78, [1]Sheet1!$B:$B,0)), 固定数据!AV75, 固定数据!AW75, 0.05, IF(固定数据!AV75&lt;&gt;"--",固定数据!AV75,0),0, 3)</f>
        <v>--</v>
      </c>
      <c r="Z78" s="2" t="str" cm="1">
        <f t="array" ref="Z78">计算得分(INDEX([1]Sheet1!$AB:$AB, MATCH(A78, [1]Sheet1!$B:$B,0)), 固定数据!AX75, 固定数据!AY75, 0.05, IF(固定数据!AX75&lt;&gt;"--",固定数据!AX75,0),0, 3)</f>
        <v>--</v>
      </c>
      <c r="AA78" s="2" t="str" cm="1">
        <f t="array" ref="AA78">计算得分(INDEX([1]Sheet1!$AC:$AC, MATCH(A78, [1]Sheet1!$B:$B,0)), 固定数据!AZ75, 固定数据!BA75, 0.04, IF(固定数据!AZ75&lt;&gt;"--",固定数据!AZ75,0),0, 3)</f>
        <v>--</v>
      </c>
      <c r="AB78" s="2" t="str" cm="1">
        <f t="array" ref="AB78">计算得分(INDEX([1]Sheet1!$AD:$AD, MATCH(A78, [1]Sheet1!$B:$B,0)), 固定数据!BB75, 固定数据!BC75, 0.03, IF(固定数据!BB75&lt;&gt;"--",固定数据!BB75,0),0, 3)</f>
        <v>--</v>
      </c>
      <c r="AC78" s="2" t="str" cm="1">
        <f t="array" ref="AC78">计算得分(INDEX([1]Sheet1!$AE:$AE, MATCH(A78, [1]Sheet1!$B:$B,0)), 固定数据!BD75, 固定数据!BE75, 0.04, IF(固定数据!BD75&lt;&gt;"--",固定数据!BD75,0),0, 3)</f>
        <v>--</v>
      </c>
      <c r="AD78" s="2" t="str" cm="1">
        <f t="array" ref="AD78">计算得分(INDEX([1]Sheet1!$L:$L, MATCH(A78, [1]Sheet1!$B:$B,0)), 固定数据!BF75, 固定数据!BG75, 0.1, 12.5,0, 3)</f>
        <v>--</v>
      </c>
      <c r="AE78" s="2" t="str" cm="1">
        <f t="array" ref="AE78">计算得分(INDEX([1]Sheet1!$N:$N, MATCH(A78, [1]Sheet1!$B:$B,0)), 固定数据!BH75, 固定数据!BI75, 0.2, 7,0, 0)</f>
        <v>--</v>
      </c>
      <c r="AF78" s="2" t="str" cm="1">
        <f t="array" ref="AF78">计算得分(INDEX([1]Sheet1!$Q:$Q, MATCH(A78, [1]Sheet1!$B:$B,0)), 固定数据!BJ75, 固定数据!BK75, 0.2, 7,0, 0)</f>
        <v>--</v>
      </c>
      <c r="AG78" s="2" t="str" cm="1">
        <f t="array" ref="AG78">计算得分(INDEX([1]Sheet1!$S:$S, MATCH(A78, [1]Sheet1!$B:$B,0)), 固定数据!BL75, 固定数据!BM75, 0.2, 20,0, 0)</f>
        <v>--</v>
      </c>
      <c r="AH78" s="6" t="str" cm="1">
        <f t="array" ref="AH78">计算得分(INDEX([1]Sheet1!$AF:$AF, MATCH(A78, [1]Sheet1!$B:$B,0)), 固定数据!BN75, 固定数据!BO75, 0.1, 10,0, 3)</f>
        <v>--</v>
      </c>
      <c r="AI78" s="2" t="str" cm="1">
        <f t="array" ref="AI78">计算得分(INDEX([1]Sheet1!$M:$M, MATCH(A78, [1]Sheet1!$B:$B,0)), 固定数据!BP75, 固定数据!BQ75, 0.2, 20,0, 3)</f>
        <v>--</v>
      </c>
      <c r="AJ78" s="2" t="str" cm="1">
        <f t="array" ref="AJ78">计算得分(INDEX([1]Sheet1!$Z:$Z, MATCH(A78, [1]Sheet1!$B:$B,0)), 固定数据!BR75, 固定数据!BS75, 10, 50,0, 0)</f>
        <v>--</v>
      </c>
      <c r="AK78" s="2" t="str" cm="1">
        <f t="array" ref="AK78">计算得分(INDEX([1]Sheet1!$O:$O, MATCH(A78, [1]Sheet1!$B:$B,0)), 固定数据!BT75, 固定数据!BU75, 0.2, 15,0, 0)</f>
        <v>--</v>
      </c>
      <c r="AL78" s="2" t="str" cm="1">
        <f t="array" ref="AL78">计算得分(INDEX([1]Sheet1!$R:$R, MATCH(A78, [1]Sheet1!$B:$B,0)), 固定数据!BV75, 固定数据!BW75, 0.2, 10,0, 0)</f>
        <v>--</v>
      </c>
      <c r="AM78" s="2" t="str" cm="1">
        <f t="array" ref="AM78">计算得分(INDEX([1]Sheet1!$T:$T, MATCH(A78, [1]Sheet1!$B:$B,0)), 固定数据!BX75, 固定数据!BY75, 0.2, 20,0, 0)</f>
        <v>--</v>
      </c>
      <c r="AN78" s="2" cm="1">
        <f t="array" ref="AN78">计算得分([3]Sheet1!$F$3, 固定数据!BZ75, 固定数据!CA75, 0.5, 15,0, 0)</f>
        <v>104.4</v>
      </c>
      <c r="AO78" s="6" cm="1">
        <f t="array" ref="AO78">计算得分([3]Sheet1!$G$3, 固定数据!CB75, 固定数据!CC75, 0.01, 5,0, 1)</f>
        <v>3675</v>
      </c>
      <c r="AP78" s="6" cm="1">
        <f t="array" ref="AP78">计算得分([3]Sheet1!$H$3, 固定数据!CD75, 固定数据!CE75, 0.001, 5,0, 1)</f>
        <v>18357</v>
      </c>
      <c r="AQ78" s="6" cm="1">
        <f t="array" ref="AQ78">计算得分([3]Sheet1!$D$3,固定数据!CF75,固定数据!CG75,0.05,5,0,3)</f>
        <v>186.8</v>
      </c>
      <c r="AR78" s="6" cm="1">
        <f t="array" ref="AR78">计算得分([3]Sheet1!$E$3,固定数据!CH75,固定数据!CI75,0.1,10,0,3)</f>
        <v>7574.53</v>
      </c>
      <c r="AS78" s="7" t="s">
        <v>74</v>
      </c>
      <c r="AT78" s="6" cm="1">
        <f t="array" ref="AT78">计算得分(INDEX([3]Sheet1!$J:$J, MATCH(A78, [3]Sheet1!$B:$B,0)), 固定数据!CL75, 固定数据!CM75, 2, 0,-10, 0)</f>
        <v>100</v>
      </c>
      <c r="AU78" s="2" cm="1">
        <f t="array" ref="AU78">计算得分(INDEX([3]Sheet1!$K:$K, MATCH(A78, [3]Sheet1!$B:$B,0)), 固定数据!CN75, 固定数据!CO75, 3, 0,-10, 0)</f>
        <v>100</v>
      </c>
      <c r="AV78" s="2" cm="1">
        <f t="array" ref="AV78">计算得分(INDEX([3]Sheet1!$L:$L, MATCH(A78, [3]Sheet1!$B:$B,0)), 固定数据!CP75, 固定数据!CQ75, 3, 0,-10, 0)</f>
        <v>100</v>
      </c>
      <c r="AW78" s="2" cm="1">
        <f t="array" ref="AW78">计算得分(INDEX([3]Sheet1!$M:$M, MATCH(A78, [3]Sheet1!$B:$B,0)), 固定数据!CR75, 固定数据!CS75, 100, 0,-100, 0)</f>
        <v>100</v>
      </c>
      <c r="AX78" s="2" cm="1">
        <f t="array" ref="AX78">计算得分(INDEX([3]Sheet1!$N:$N, MATCH(A78, [3]Sheet1!$B:$B,0)), 固定数据!CT75, 固定数据!CU75, 3, 0,-10, 0)</f>
        <v>100</v>
      </c>
      <c r="AY78" s="7" t="s">
        <v>74</v>
      </c>
      <c r="AZ78" s="7" t="s">
        <v>74</v>
      </c>
      <c r="BA78" s="2">
        <f>IFERROR(VLOOKUP(A78,[4]KPI评分!B:C,2,FALSE)*60%,"--")</f>
        <v>57.359999999999992</v>
      </c>
    </row>
    <row r="79" spans="1:53" ht="24.75" customHeight="1" x14ac:dyDescent="0.25">
      <c r="A79" s="3" t="s">
        <v>147</v>
      </c>
      <c r="B79" s="4" cm="1">
        <f t="array" ref="B79">计算得分(INDEX([1]Sheet1!$W:$W, MATCH(A79, [1]Sheet1!$B:$B,0)), 固定数据!B76, 固定数据!C76, 0.5, 0,-10, 0)</f>
        <v>0</v>
      </c>
      <c r="C79" s="4" cm="1">
        <f t="array" ref="C79">计算得分(INDEX([1]Sheet1!$X:$X, MATCH(A79, [1]Sheet1!$B:$B,0)), 固定数据!D76, 固定数据!E76, 1, 0,-10, 0)</f>
        <v>0</v>
      </c>
      <c r="D79" s="4" cm="1">
        <f t="array" ref="D79">计算得分(INDEX([1]Sheet1!$Y:$Y, MATCH(A79, [1]Sheet1!$B:$B,0)), 固定数据!F76, 固定数据!G76, 2, 0,-10, 0)</f>
        <v>0</v>
      </c>
      <c r="E79" s="4" t="str" cm="1">
        <f t="array" ref="E79">计算得分(INDEX([1]Sheet1!$C:$C, MATCH(A79, [1]Sheet1!$B:$B,0)), 固定数据!H76, 固定数据!I76, 0.02, 10,0, 1)</f>
        <v>--</v>
      </c>
      <c r="F79" s="4" t="str" cm="1">
        <f t="array" ref="F79">计算得分(INDEX([1]Sheet1!$D:$D, MATCH(A79, [1]Sheet1!$B:$B,0)), 固定数据!J76, 固定数据!K76, 0, 0,0, 0)</f>
        <v>--</v>
      </c>
      <c r="G79" s="4" cm="1">
        <f t="array" ref="G79">计算得分(INDEX([1]Sheet1!$E:$E, MATCH(A79, [1]Sheet1!$B:$B,0)), 固定数据!L76, 固定数据!M76, 0.3, 3,0, 5)</f>
        <v>57352.959999999999</v>
      </c>
      <c r="H79" s="4" cm="1">
        <f t="array" ref="H79">计算得分(INDEX([1]Sheet1!$AG:$AG, MATCH(A79, [1]Sheet1!$B:$B,0)), 固定数据!N76, 固定数据!O76, 0.03, 3,0, 3)</f>
        <v>87</v>
      </c>
      <c r="I79" s="4" cm="1">
        <f t="array" ref="I79">计算得分(INDEX([1]Sheet1!$V:$V, MATCH(A79, [1]Sheet1!$B:$B,0)), 固定数据!P76, 固定数据!Q76, 1, 0,-100, 0)</f>
        <v>0</v>
      </c>
      <c r="J79" s="4" t="str" cm="1">
        <f t="array" ref="J79">计算得分(INDEX([1]Sheet1!$AI:$AI, MATCH(A79, [1]Sheet1!$B:$B,0)), 固定数据!R76, 固定数据!S76, 0.04, 12,0, 3)</f>
        <v>--</v>
      </c>
      <c r="K79" s="4" cm="1">
        <f t="array" ref="K79">计算得分(INDEX([1]Sheet1!$F:$F, MATCH(A79, [1]Sheet1!$B:$B,0)), 固定数据!T76, 固定数据!U76, 0.02, 3,0, 1)</f>
        <v>52.91</v>
      </c>
      <c r="L79" s="4" t="str" cm="1">
        <f t="array" ref="L79">计算得分(INDEX([1]Sheet1!$U:$U, MATCH(A79, [1]Sheet1!$B:$B,0)), 固定数据!V76, 固定数据!W76, 0.2, 20,0, 0)</f>
        <v>--</v>
      </c>
      <c r="M79" s="4" t="str" cm="1">
        <f t="array" ref="M79">计算得分(100, 固定数据!X76, 固定数据!Y76, 0, 5,0, 0)</f>
        <v>--</v>
      </c>
      <c r="N79" s="4" t="str" cm="1">
        <f t="array" ref="N79">计算得分(100, 固定数据!Z76, 固定数据!AA76, 0, 5,0, 0)</f>
        <v>--</v>
      </c>
      <c r="O79" s="4" t="str" cm="1">
        <f t="array" ref="O79">计算得分(100, 固定数据!AB76, 固定数据!AC76, 0, 7,0, 0)</f>
        <v>--</v>
      </c>
      <c r="P79" s="4" t="str" cm="1">
        <f t="array" ref="P79">计算得分(INDEX([1]Sheet1!$P:$P, MATCH(A79, [1]Sheet1!$B:$B,0)), 固定数据!AD76, 固定数据!AE76, 0.2, 7,0, 0)</f>
        <v>--</v>
      </c>
      <c r="Q79" s="4" cm="1">
        <f t="array" ref="Q79">计算得分(INDEX([1]Sheet1!$I:$I, MATCH(A79, [1]Sheet1!$B:$B,0)), 固定数据!AF76, 固定数据!AG76,0.2, IF(固定数据!AF76&lt;&gt;"--",固定数据!AF76,0),2, 5)</f>
        <v>256.57</v>
      </c>
      <c r="R79" s="4" cm="1">
        <f t="array" ref="R79">计算得分(INDEX([2]Sheet1!$AL:$AL, MATCH(A79, [2]Sheet1!$A:$A,0)), 固定数据!AH76, 固定数据!AI76, 0.02, 6,6, 1)</f>
        <v>123</v>
      </c>
      <c r="S79" s="4" cm="1">
        <f t="array" ref="S79">计算得分(INDEX([2]Sheet1!$I:$I, MATCH(A79, [2]Sheet1!$A:$A,0)), 固定数据!AJ76, 固定数据!AK76, 0.005, 6,0, 1)</f>
        <v>367</v>
      </c>
      <c r="T79" s="4" cm="1">
        <f t="array" ref="T79">计算得分(98, 固定数据!AL76, 固定数据!AM76, 0.03, IF(固定数据!AL76&lt;&gt;"--",固定数据!AL76,0),0, 3)</f>
        <v>98</v>
      </c>
      <c r="U79" s="4" cm="1">
        <f t="array" ref="U79">计算得分(INDEX([1]Sheet1!$G:$G, MATCH(A79, [1]Sheet1!$B:$B,0)), 固定数据!AN76, 固定数据!AO76, 0.5, 3,0, 0)</f>
        <v>9.89</v>
      </c>
      <c r="V79" s="4" cm="1">
        <f t="array" ref="V79">计算得分(INDEX([1]Sheet1!$H:$H, MATCH(A79, [1]Sheet1!$B:$B,0)), 固定数据!AP76, 固定数据!AQ76, 0.4, 5,0, 1)</f>
        <v>3.32</v>
      </c>
      <c r="W79" s="4" cm="1">
        <f t="array" ref="W79">计算得分(INDEX([1]Sheet1!$J:$J, MATCH(A79, [1]Sheet1!$B:$B,0)), 固定数据!AR76, 固定数据!AS76, 0.2, 2,2, 4)</f>
        <v>256.57</v>
      </c>
      <c r="X79" s="4" cm="1">
        <f t="array" ref="X79">计算得分(INDEX([1]Sheet1!$K:$K, MATCH(A79, [1]Sheet1!$B:$B,0)), 固定数据!AT76, 固定数据!AU76, 0.2, 1.5,1.5, 4)</f>
        <v>14263.2</v>
      </c>
      <c r="Y79" s="4" cm="1">
        <f t="array" ref="Y79">计算得分(INDEX([1]Sheet1!$AA:$AA, MATCH(A79, [1]Sheet1!$B:$B,0)), 固定数据!AV76, 固定数据!AW76, 0.05, IF(固定数据!AV76&lt;&gt;"--",固定数据!AV76,0),0, 3)</f>
        <v>89</v>
      </c>
      <c r="Z79" s="4" cm="1">
        <f t="array" ref="Z79">计算得分(INDEX([1]Sheet1!$AB:$AB, MATCH(A79, [1]Sheet1!$B:$B,0)), 固定数据!AX76, 固定数据!AY76, 0.05, IF(固定数据!AX76&lt;&gt;"--",固定数据!AX76,0),0, 3)</f>
        <v>96.5</v>
      </c>
      <c r="AA79" s="4" cm="1">
        <f t="array" ref="AA79">计算得分(INDEX([1]Sheet1!$AC:$AC, MATCH(A79, [1]Sheet1!$B:$B,0)), 固定数据!AZ76, 固定数据!BA76, 0.04, IF(固定数据!AZ76&lt;&gt;"--",固定数据!AZ76,0),0, 3)</f>
        <v>97</v>
      </c>
      <c r="AB79" s="4" cm="1">
        <f t="array" ref="AB79">计算得分(INDEX([1]Sheet1!$AD:$AD, MATCH(A79, [1]Sheet1!$B:$B,0)), 固定数据!BB76, 固定数据!BC76, 0.03, IF(固定数据!BB76&lt;&gt;"--",固定数据!BB76,0),0, 3)</f>
        <v>93</v>
      </c>
      <c r="AC79" s="4" cm="1">
        <f t="array" ref="AC79">计算得分(INDEX([1]Sheet1!$AE:$AE, MATCH(A79, [1]Sheet1!$B:$B,0)), 固定数据!BD76, 固定数据!BE76, 0.04, IF(固定数据!BD76&lt;&gt;"--",固定数据!BD76,0),0, 3)</f>
        <v>97.88</v>
      </c>
      <c r="AD79" s="4" cm="1">
        <f t="array" ref="AD79">计算得分(INDEX([1]Sheet1!$L:$L, MATCH(A79, [1]Sheet1!$B:$B,0)), 固定数据!BF76, 固定数据!BG76, 0.1, 12.5,0, 3)</f>
        <v>8652.1</v>
      </c>
      <c r="AE79" s="4" cm="1">
        <f t="array" ref="AE79">计算得分(INDEX([1]Sheet1!$N:$N, MATCH(A79, [1]Sheet1!$B:$B,0)), 固定数据!BH76, 固定数据!BI76, 0.2, 7,0, 0)</f>
        <v>18.100000000000001</v>
      </c>
      <c r="AF79" s="4" cm="1">
        <f t="array" ref="AF79">计算得分(INDEX([1]Sheet1!$Q:$Q, MATCH(A79, [1]Sheet1!$B:$B,0)), 固定数据!BJ76, 固定数据!BK76, 0.2, 7,0, 0)</f>
        <v>15.05</v>
      </c>
      <c r="AG79" s="4" cm="1">
        <f t="array" ref="AG79">计算得分(INDEX([1]Sheet1!$S:$S, MATCH(A79, [1]Sheet1!$B:$B,0)), 固定数据!BL76, 固定数据!BM76, 0.2, 20,0, 0)</f>
        <v>53.86</v>
      </c>
      <c r="AH79" s="4" t="str" cm="1">
        <f t="array" ref="AH79">计算得分(INDEX([1]Sheet1!$AF:$AF, MATCH(A79, [1]Sheet1!$B:$B,0)), 固定数据!BN76, 固定数据!BO76, 0.1, 10,0, 3)</f>
        <v>--</v>
      </c>
      <c r="AI79" s="4" t="str" cm="1">
        <f t="array" ref="AI79">计算得分(INDEX([1]Sheet1!$M:$M, MATCH(A79, [1]Sheet1!$B:$B,0)), 固定数据!BP76, 固定数据!BQ76, 0.2, 20,0, 3)</f>
        <v>--</v>
      </c>
      <c r="AJ79" s="4" cm="1">
        <f t="array" ref="AJ79">计算得分(INDEX([1]Sheet1!$Z:$Z, MATCH(A79, [1]Sheet1!$B:$B,0)), 固定数据!BR76, 固定数据!BS76, 10, 50,0, 0)</f>
        <v>0</v>
      </c>
      <c r="AK79" s="4" t="str" cm="1">
        <f t="array" ref="AK79">计算得分(INDEX([1]Sheet1!$O:$O, MATCH(A79, [1]Sheet1!$B:$B,0)), 固定数据!BT76, 固定数据!BU76, 0.2, 15,0, 0)</f>
        <v>--</v>
      </c>
      <c r="AL79" s="4" t="str" cm="1">
        <f t="array" ref="AL79">计算得分(INDEX([1]Sheet1!$R:$R, MATCH(A79, [1]Sheet1!$B:$B,0)), 固定数据!BV76, 固定数据!BW76, 0.2, 10,0, 0)</f>
        <v>--</v>
      </c>
      <c r="AM79" s="4" t="str" cm="1">
        <f t="array" ref="AM79">计算得分(INDEX([1]Sheet1!$T:$T, MATCH(A79, [1]Sheet1!$B:$B,0)), 固定数据!BX76, 固定数据!BY76, 0.2, 20,0, 0)</f>
        <v>--</v>
      </c>
      <c r="AN79" s="4" t="str" cm="1">
        <f t="array" ref="AN79">计算得分([3]Sheet1!$F$3, 固定数据!BZ76, 固定数据!CA76, 0.5, 15,0, 0)</f>
        <v>--</v>
      </c>
      <c r="AO79" s="4" t="str" cm="1">
        <f t="array" ref="AO79">计算得分([3]Sheet1!$G$3, 固定数据!CB76, 固定数据!CC76, 0.01, 5,0, 1)</f>
        <v>--</v>
      </c>
      <c r="AP79" s="4" t="str" cm="1">
        <f t="array" ref="AP79">计算得分([3]Sheet1!$H$3, 固定数据!CD76, 固定数据!CE76, 0.001, 5,0, 1)</f>
        <v>--</v>
      </c>
      <c r="AQ79" s="4" t="str" cm="1">
        <f t="array" ref="AQ79">计算得分([3]Sheet1!$D$3,固定数据!CF76,固定数据!CG76,0.05,5,0,3)</f>
        <v>--</v>
      </c>
      <c r="AR79" s="4" t="str" cm="1">
        <f t="array" ref="AR79">计算得分([3]Sheet1!$E$3,固定数据!CH76,固定数据!CI76,0.1,10,0,3)</f>
        <v>--</v>
      </c>
      <c r="AS79" s="8" t="s">
        <v>74</v>
      </c>
      <c r="AT79" s="4" t="str" cm="1">
        <f t="array" ref="AT79">计算得分(INDEX([3]Sheet1!$J:$J, MATCH(A79, [3]Sheet1!$B:$B,0)), 固定数据!CL76, 固定数据!CM76, 2, 0,-10, 0)</f>
        <v>--</v>
      </c>
      <c r="AU79" s="4" t="str" cm="1">
        <f t="array" ref="AU79">计算得分(INDEX([3]Sheet1!$K:$K, MATCH(A79, [3]Sheet1!$B:$B,0)), 固定数据!CN76, 固定数据!CO76, 3, 0,-10, 0)</f>
        <v>--</v>
      </c>
      <c r="AV79" s="4" t="str" cm="1">
        <f t="array" ref="AV79">计算得分(INDEX([3]Sheet1!$L:$L, MATCH(A79, [3]Sheet1!$B:$B,0)), 固定数据!CP76, 固定数据!CQ76, 3, 0,-10, 0)</f>
        <v>--</v>
      </c>
      <c r="AW79" s="4" t="str" cm="1">
        <f t="array" ref="AW79">计算得分(INDEX([3]Sheet1!$M:$M, MATCH(A79, [3]Sheet1!$B:$B,0)), 固定数据!CR76, 固定数据!CS76, 100, 0,-100, 0)</f>
        <v>--</v>
      </c>
      <c r="AX79" s="4" t="str" cm="1">
        <f t="array" ref="AX79">计算得分(INDEX([3]Sheet1!$N:$N, MATCH(A79, [3]Sheet1!$B:$B,0)), 固定数据!CT76, 固定数据!CU76, 3, 0,-10, 0)</f>
        <v>--</v>
      </c>
      <c r="AY79" s="8" t="s">
        <v>74</v>
      </c>
      <c r="AZ79" s="8" t="s">
        <v>74</v>
      </c>
      <c r="BA79" s="4" t="str">
        <f>IFERROR(VLOOKUP(A79,[4]KPI评分!B:C,2,FALSE)*60%,"--")</f>
        <v>--</v>
      </c>
    </row>
    <row r="80" spans="1:53" ht="24.75" customHeight="1" x14ac:dyDescent="0.25">
      <c r="A80" s="1" t="s">
        <v>148</v>
      </c>
      <c r="B80" s="2" cm="1">
        <f t="array" ref="B80">计算得分(INDEX([1]Sheet1!$W:$W, MATCH(A80, [1]Sheet1!$B:$B,0)), 固定数据!B77, 固定数据!C77, 0.5, 0,-10, 0)</f>
        <v>0</v>
      </c>
      <c r="C80" s="2" cm="1">
        <f t="array" ref="C80">计算得分(INDEX([1]Sheet1!$X:$X, MATCH(A80, [1]Sheet1!$B:$B,0)), 固定数据!D77, 固定数据!E77, 1, 0,-10, 0)</f>
        <v>0</v>
      </c>
      <c r="D80" s="2" cm="1">
        <f t="array" ref="D80">计算得分(INDEX([1]Sheet1!$Y:$Y, MATCH(A80, [1]Sheet1!$B:$B,0)), 固定数据!F77, 固定数据!G77, 2, 0,-10, 0)</f>
        <v>0</v>
      </c>
      <c r="E80" s="6" t="str" cm="1">
        <f t="array" ref="E80">计算得分(INDEX([1]Sheet1!$C:$C, MATCH(A80, [1]Sheet1!$B:$B,0)), 固定数据!H77, 固定数据!I77, 0.02, 10,0, 1)</f>
        <v>--</v>
      </c>
      <c r="F80" s="2" t="str" cm="1">
        <f t="array" ref="F80">计算得分(INDEX([1]Sheet1!$D:$D, MATCH(A80, [1]Sheet1!$B:$B,0)), 固定数据!J77, 固定数据!K77, 0, 0,0, 0)</f>
        <v>--</v>
      </c>
      <c r="G80" s="2" cm="1">
        <f t="array" ref="G80">计算得分(INDEX([1]Sheet1!$E:$E, MATCH(A80, [1]Sheet1!$B:$B,0)), 固定数据!L77, 固定数据!M77,  0.3, 3,0, 5)</f>
        <v>60129.26</v>
      </c>
      <c r="H80" s="2" cm="1">
        <f t="array" ref="H80">计算得分(INDEX([1]Sheet1!$AG:$AG, MATCH(A80, [1]Sheet1!$B:$B,0)), 固定数据!N77, 固定数据!O77, 0.03, 3,0, 3)</f>
        <v>100</v>
      </c>
      <c r="I80" s="2" cm="1">
        <f t="array" ref="I80">计算得分(INDEX([1]Sheet1!$V:$V, MATCH(A80, [1]Sheet1!$B:$B,0)), 固定数据!P77, 固定数据!Q77, 1, 0,-100, 0)</f>
        <v>0</v>
      </c>
      <c r="J80" s="2" t="str" cm="1">
        <f t="array" ref="J80">计算得分(INDEX([1]Sheet1!$AI:$AI, MATCH(A80, [1]Sheet1!$B:$B,0)), 固定数据!R77, 固定数据!S77, 0.04, 12,0, 3)</f>
        <v>--</v>
      </c>
      <c r="K80" s="2" cm="1">
        <f t="array" ref="K80">计算得分(INDEX([1]Sheet1!$F:$F, MATCH(A80, [1]Sheet1!$B:$B,0)), 固定数据!T77, 固定数据!U77, 0.02, 3,0, 1)</f>
        <v>16.3</v>
      </c>
      <c r="L80" s="2" t="str" cm="1">
        <f t="array" ref="L80">计算得分(INDEX([1]Sheet1!$U:$U, MATCH(A80, [1]Sheet1!$B:$B,0)), 固定数据!V77, 固定数据!W77, 0.2, 20,0, 0)</f>
        <v>--</v>
      </c>
      <c r="M80" s="2" t="str" cm="1">
        <f t="array" ref="M80">计算得分(100, 固定数据!X77, 固定数据!Y77, 0, 5,0, 0)</f>
        <v>--</v>
      </c>
      <c r="N80" s="2" t="str" cm="1">
        <f t="array" ref="N80">计算得分(100, 固定数据!Z77, 固定数据!AA77, 0, 5,0, 0)</f>
        <v>--</v>
      </c>
      <c r="O80" s="2" t="str" cm="1">
        <f t="array" ref="O80">计算得分(100, 固定数据!AB77, 固定数据!AC77, 0, 7,0, 0)</f>
        <v>--</v>
      </c>
      <c r="P80" s="2" t="str" cm="1">
        <f t="array" ref="P80">计算得分(INDEX([1]Sheet1!$P:$P, MATCH(A80, [1]Sheet1!$B:$B,0)), 固定数据!AD77, 固定数据!AE77, 0.2, 7,0, 0)</f>
        <v>--</v>
      </c>
      <c r="Q80" s="2" t="str" cm="1">
        <f t="array" ref="Q80">计算得分(INDEX([1]Sheet1!$I:$I, MATCH(A80, [1]Sheet1!$B:$B,0)), 固定数据!AF77, 固定数据!AG77,0.2, IF(固定数据!AF77&lt;&gt;"--",固定数据!AF77,0),2, 5)</f>
        <v>--</v>
      </c>
      <c r="R80" s="2" cm="1">
        <f t="array" ref="R80">计算得分(INDEX([2]Sheet1!$AL:$AL, MATCH(A80, [2]Sheet1!$A:$A,0)), 固定数据!AH77, 固定数据!AI77, 0.02, 10,0, 1)</f>
        <v>61</v>
      </c>
      <c r="S80" s="2" t="str" cm="1">
        <f t="array" ref="S80">计算得分(INDEX([2]Sheet1!$I:$I, MATCH(A80, [2]Sheet1!$A:$A,0)), 固定数据!AJ77, 固定数据!AK77, 0.005, 6,0, 1)</f>
        <v>--</v>
      </c>
      <c r="T80" s="2" cm="1">
        <f t="array" ref="T80">计算得分(98, 固定数据!AL77, 固定数据!AM77, 0.03, IF(固定数据!AL77&lt;&gt;"--",固定数据!AL77,0),0, 3)</f>
        <v>98</v>
      </c>
      <c r="U80" s="2" cm="1">
        <f t="array" ref="U80">计算得分(INDEX([1]Sheet1!$G:$G, MATCH(A80, [1]Sheet1!$B:$B,0)), 固定数据!AN77, 固定数据!AO77, 0.5, 3,0, 0)</f>
        <v>6.15</v>
      </c>
      <c r="V80" s="2" cm="1">
        <f t="array" ref="V80">计算得分(INDEX([1]Sheet1!$H:$H, MATCH(A80, [1]Sheet1!$B:$B,0)), 固定数据!AP77, 固定数据!AQ77, 0.4, 5,0, 1)</f>
        <v>3.59</v>
      </c>
      <c r="W80" s="2" t="str" cm="1">
        <f t="array" ref="W80">计算得分(INDEX([1]Sheet1!$J:$J, MATCH(A80, [1]Sheet1!$B:$B,0)), 固定数据!AR77, 固定数据!AS77, 0.2, 2,2, 4)</f>
        <v>--</v>
      </c>
      <c r="X80" s="2" cm="1">
        <f t="array" ref="X80">计算得分(INDEX([1]Sheet1!$K:$K, MATCH(A80, [1]Sheet1!$B:$B,0)), 固定数据!AT77, 固定数据!AU77, 0.2, 3,0, 4)</f>
        <v>15144.02</v>
      </c>
      <c r="Y80" s="2" cm="1">
        <f t="array" ref="Y80">计算得分(INDEX([1]Sheet1!$AA:$AA, MATCH(A80, [1]Sheet1!$B:$B,0)), 固定数据!AV77, 固定数据!AW77, 0.05, IF(固定数据!AV77&lt;&gt;"--",固定数据!AV77,0),0, 3)</f>
        <v>95</v>
      </c>
      <c r="Z80" s="2" cm="1">
        <f t="array" ref="Z80">计算得分(INDEX([1]Sheet1!$AB:$AB, MATCH(A80, [1]Sheet1!$B:$B,0)), 固定数据!AX77, 固定数据!AY77, 0.05, IF(固定数据!AX77&lt;&gt;"--",固定数据!AX77,0),0, 3)</f>
        <v>95</v>
      </c>
      <c r="AA80" s="2" cm="1">
        <f t="array" ref="AA80">计算得分(INDEX([1]Sheet1!$AC:$AC, MATCH(A80, [1]Sheet1!$B:$B,0)), 固定数据!AZ77, 固定数据!BA77, 0.04, IF(固定数据!AZ77&lt;&gt;"--",固定数据!AZ77,0),0, 3)</f>
        <v>98</v>
      </c>
      <c r="AB80" s="2" cm="1">
        <f t="array" ref="AB80">计算得分(INDEX([1]Sheet1!$AD:$AD, MATCH(A80, [1]Sheet1!$B:$B,0)), 固定数据!BB77, 固定数据!BC77, 0.03, IF(固定数据!BB77&lt;&gt;"--",固定数据!BB77,0),0, 3)</f>
        <v>99</v>
      </c>
      <c r="AC80" s="2" cm="1">
        <f t="array" ref="AC80">计算得分(INDEX([1]Sheet1!$AE:$AE, MATCH(A80, [1]Sheet1!$B:$B,0)), 固定数据!BD77, 固定数据!BE77, 0.04, IF(固定数据!BD77&lt;&gt;"--",固定数据!BD77,0),0, 3)</f>
        <v>97.48</v>
      </c>
      <c r="AD80" s="2" cm="1">
        <f t="array" ref="AD80">计算得分(INDEX([1]Sheet1!$L:$L, MATCH(A80, [1]Sheet1!$B:$B,0)), 固定数据!BF77, 固定数据!BG77, 0.1, 12.5,0, 3)</f>
        <v>6389.85</v>
      </c>
      <c r="AE80" s="2" t="str" cm="1">
        <f t="array" ref="AE80">计算得分(INDEX([1]Sheet1!$N:$N, MATCH(A80, [1]Sheet1!$B:$B,0)), 固定数据!BH77, 固定数据!BI77, 0.2, 7,0, 0)</f>
        <v>--</v>
      </c>
      <c r="AF80" s="2" cm="1">
        <f t="array" ref="AF80">计算得分(INDEX([1]Sheet1!$Q:$Q, MATCH(A80, [1]Sheet1!$B:$B,0)), 固定数据!BJ77, 固定数据!BK77, 0.2, 5,0, 0)</f>
        <v>19.760000000000002</v>
      </c>
      <c r="AG80" s="2" t="str" cm="1">
        <f t="array" ref="AG80">计算得分(INDEX([1]Sheet1!$S:$S, MATCH(A80, [1]Sheet1!$B:$B,0)), 固定数据!BL77, 固定数据!BM77, 0.2, 20,0, 0)</f>
        <v>--</v>
      </c>
      <c r="AH80" s="6" t="str" cm="1">
        <f t="array" ref="AH80">计算得分(INDEX([1]Sheet1!$AF:$AF, MATCH(A80, [1]Sheet1!$B:$B,0)), 固定数据!BN77, 固定数据!BO77, 0.1, 10,0, 3)</f>
        <v>--</v>
      </c>
      <c r="AI80" s="2" cm="1">
        <f t="array" ref="AI80">计算得分(INDEX([1]Sheet1!$M:$M, MATCH(A80, [1]Sheet1!$B:$B,0)), 固定数据!BP77, 固定数据!BQ77, 0.08, 8,0, 3)</f>
        <v>538.02</v>
      </c>
      <c r="AJ80" s="2" cm="1">
        <f t="array" ref="AJ80">计算得分(INDEX([1]Sheet1!$Z:$Z, MATCH(A80, [1]Sheet1!$B:$B,0)), 固定数据!BR77, 固定数据!BS77, 10, 50,0, 0)</f>
        <v>0</v>
      </c>
      <c r="AK80" s="2" cm="1">
        <f t="array" ref="AK80">计算得分(INDEX([1]Sheet1!$O:$O, MATCH(A80, [1]Sheet1!$B:$B,0)), 固定数据!BT77, 固定数据!BU77, 0.2, 15,0, 0)</f>
        <v>34.76</v>
      </c>
      <c r="AL80" s="2" t="str" cm="1">
        <f t="array" ref="AL80">计算得分(INDEX([1]Sheet1!$R:$R, MATCH(A80, [1]Sheet1!$B:$B,0)), 固定数据!BV77, 固定数据!BW77, 0.2, 10,0, 0)</f>
        <v>--</v>
      </c>
      <c r="AM80" s="2" cm="1">
        <f t="array" ref="AM80">计算得分(INDEX([1]Sheet1!$T:$T, MATCH(A80, [1]Sheet1!$B:$B,0)), 固定数据!BX77, 固定数据!BY77, 0.2, 25,0, 0)</f>
        <v>67.569999999999993</v>
      </c>
      <c r="AN80" s="2" t="str" cm="1">
        <f t="array" ref="AN80">计算得分([3]Sheet1!$F$3, 固定数据!BZ77, 固定数据!CA77, 0.5, 15,0, 0)</f>
        <v>--</v>
      </c>
      <c r="AO80" s="6" t="str" cm="1">
        <f t="array" ref="AO80">计算得分([3]Sheet1!$G$3, 固定数据!CB77, 固定数据!CC77, 0.01, 5,0, 1)</f>
        <v>--</v>
      </c>
      <c r="AP80" s="6" t="str" cm="1">
        <f t="array" ref="AP80">计算得分([3]Sheet1!$H$3, 固定数据!CD77, 固定数据!CE77, 0.001, 5,0, 1)</f>
        <v>--</v>
      </c>
      <c r="AQ80" s="6" t="str" cm="1">
        <f t="array" ref="AQ80">计算得分([3]Sheet1!$D$3,固定数据!CF77,固定数据!CG77,0.05,5,0,3)</f>
        <v>--</v>
      </c>
      <c r="AR80" s="6" t="str" cm="1">
        <f t="array" ref="AR80">计算得分([3]Sheet1!$E$3,固定数据!CH77,固定数据!CI77,0.1,10,0,3)</f>
        <v>--</v>
      </c>
      <c r="AS80" s="7" t="s">
        <v>74</v>
      </c>
      <c r="AT80" s="6" t="str" cm="1">
        <f t="array" ref="AT80">计算得分(INDEX([3]Sheet1!$J:$J, MATCH(A80, [3]Sheet1!$B:$B,0)), 固定数据!CL77, 固定数据!CM77, 2, 0,-10, 0)</f>
        <v>--</v>
      </c>
      <c r="AU80" s="2" t="str" cm="1">
        <f t="array" ref="AU80">计算得分(INDEX([3]Sheet1!$K:$K, MATCH(A80, [3]Sheet1!$B:$B,0)), 固定数据!CN77, 固定数据!CO77, 3, 0,-10, 0)</f>
        <v>--</v>
      </c>
      <c r="AV80" s="2" t="str" cm="1">
        <f t="array" ref="AV80">计算得分(INDEX([3]Sheet1!$L:$L, MATCH(A80, [3]Sheet1!$B:$B,0)), 固定数据!CP77, 固定数据!CQ77, 3, 0,-10, 0)</f>
        <v>--</v>
      </c>
      <c r="AW80" s="2" t="str" cm="1">
        <f t="array" ref="AW80">计算得分(INDEX([3]Sheet1!$M:$M, MATCH(A80, [3]Sheet1!$B:$B,0)), 固定数据!CR77, 固定数据!CS77, 100, 0,-100, 0)</f>
        <v>--</v>
      </c>
      <c r="AX80" s="2" t="str" cm="1">
        <f t="array" ref="AX80">计算得分(INDEX([3]Sheet1!$N:$N, MATCH(A80, [3]Sheet1!$B:$B,0)), 固定数据!CT77, 固定数据!CU77, 3, 0,-10, 0)</f>
        <v>--</v>
      </c>
      <c r="AY80" s="7" t="s">
        <v>74</v>
      </c>
      <c r="AZ80" s="7" t="s">
        <v>74</v>
      </c>
      <c r="BA80" s="2" t="str">
        <f>IFERROR(VLOOKUP(A80,[4]KPI评分!B:C,2,FALSE)*60%,"--")</f>
        <v>--</v>
      </c>
    </row>
    <row r="81" spans="1:53" ht="24.75" customHeight="1" x14ac:dyDescent="0.25">
      <c r="A81" s="3" t="s">
        <v>149</v>
      </c>
      <c r="B81" s="4" cm="1">
        <f t="array" ref="B81">计算得分(INDEX([1]Sheet1!$W:$W, MATCH(A81, [1]Sheet1!$B:$B,0)), 固定数据!B78, 固定数据!C78, 0.5, 0,-10, 0)</f>
        <v>0</v>
      </c>
      <c r="C81" s="4" cm="1">
        <f t="array" ref="C81">计算得分(INDEX([1]Sheet1!$X:$X, MATCH(A81, [1]Sheet1!$B:$B,0)), 固定数据!D78, 固定数据!E78, 1, 0,-10, 0)</f>
        <v>0</v>
      </c>
      <c r="D81" s="4" cm="1">
        <f t="array" ref="D81">计算得分(INDEX([1]Sheet1!$Y:$Y, MATCH(A81, [1]Sheet1!$B:$B,0)), 固定数据!F78, 固定数据!G78, 2, 0,-10, 0)</f>
        <v>0</v>
      </c>
      <c r="E81" s="4" t="str" cm="1">
        <f t="array" ref="E81">计算得分(INDEX([1]Sheet1!$C:$C, MATCH(A81, [1]Sheet1!$B:$B,0)), 固定数据!H78, 固定数据!I78, 0.02, 10,0, 1)</f>
        <v>--</v>
      </c>
      <c r="F81" s="4" t="str" cm="1">
        <f t="array" ref="F81">计算得分(INDEX([1]Sheet1!$D:$D, MATCH(A81, [1]Sheet1!$B:$B,0)), 固定数据!J78, 固定数据!K78, 0, 0,0, 0)</f>
        <v>--</v>
      </c>
      <c r="G81" s="4" cm="1">
        <f t="array" ref="G81">计算得分(INDEX([1]Sheet1!$E:$E, MATCH(A81, [1]Sheet1!$B:$B,0)), 固定数据!L78, 固定数据!M78, 0.3, 3,0, 5)</f>
        <v>33470.480000000003</v>
      </c>
      <c r="H81" s="4" cm="1">
        <f t="array" ref="H81">计算得分(INDEX([1]Sheet1!$AG:$AG, MATCH(A81, [1]Sheet1!$B:$B,0)), 固定数据!N78, 固定数据!O78, 0.03, 3,0, 3)</f>
        <v>66</v>
      </c>
      <c r="I81" s="4" cm="1">
        <f t="array" ref="I81">计算得分(INDEX([1]Sheet1!$V:$V, MATCH(A81, [1]Sheet1!$B:$B,0)), 固定数据!P78, 固定数据!Q78, 1, 0,-100, 0)</f>
        <v>0</v>
      </c>
      <c r="J81" s="4" t="str" cm="1">
        <f t="array" ref="J81">计算得分(INDEX([1]Sheet1!$AI:$AI, MATCH(A81, [1]Sheet1!$B:$B,0)), 固定数据!R78, 固定数据!S78, 0.04, 12,0, 3)</f>
        <v>--</v>
      </c>
      <c r="K81" s="4" cm="1">
        <f t="array" ref="K81">计算得分(INDEX([1]Sheet1!$F:$F, MATCH(A81, [1]Sheet1!$B:$B,0)), 固定数据!T78, 固定数据!U78, 0.02, 3,0, 1)</f>
        <v>65.53</v>
      </c>
      <c r="L81" s="4" t="str" cm="1">
        <f t="array" ref="L81">计算得分(INDEX([1]Sheet1!$U:$U, MATCH(A81, [1]Sheet1!$B:$B,0)), 固定数据!V78, 固定数据!W78, 0.2, 20,0, 0)</f>
        <v>--</v>
      </c>
      <c r="M81" s="4" t="str" cm="1">
        <f t="array" ref="M81">计算得分(100, 固定数据!X78, 固定数据!Y78, 0, 5,0, 0)</f>
        <v>--</v>
      </c>
      <c r="N81" s="4" t="str" cm="1">
        <f t="array" ref="N81">计算得分(100, 固定数据!Z78, 固定数据!AA78, 0, 5,0, 0)</f>
        <v>--</v>
      </c>
      <c r="O81" s="4" t="str" cm="1">
        <f t="array" ref="O81">计算得分(100, 固定数据!AB78, 固定数据!AC78, 0, 7,0, 0)</f>
        <v>--</v>
      </c>
      <c r="P81" s="4" t="str" cm="1">
        <f t="array" ref="P81">计算得分(INDEX([1]Sheet1!$P:$P, MATCH(A81, [1]Sheet1!$B:$B,0)), 固定数据!AD78, 固定数据!AE78, 0.2, 7,0, 0)</f>
        <v>--</v>
      </c>
      <c r="Q81" s="4" cm="1">
        <f t="array" ref="Q81">计算得分(INDEX([1]Sheet1!$I:$I, MATCH(A81, [1]Sheet1!$B:$B,0)), 固定数据!AF78, 固定数据!AG78,0.2, IF(固定数据!AF78&lt;&gt;"--",固定数据!AF78,0),0, 5)</f>
        <v>244.29</v>
      </c>
      <c r="R81" s="4" cm="1">
        <f t="array" ref="R81">计算得分(INDEX([2]Sheet1!$AL:$AL, MATCH(A81, [2]Sheet1!$A:$A,0)), 固定数据!AH78, 固定数据!AI78, 0.02, 6,0, 1)</f>
        <v>164</v>
      </c>
      <c r="S81" s="4" cm="1">
        <f t="array" ref="S81">计算得分(INDEX([2]Sheet1!$I:$I, MATCH(A81, [2]Sheet1!$A:$A,0)), 固定数据!AJ78, 固定数据!AK78, 0.005, 6,0, 1)</f>
        <v>523</v>
      </c>
      <c r="T81" s="4" cm="1">
        <f t="array" ref="T81">计算得分(98, 固定数据!AL78, 固定数据!AM78, 0.03, IF(固定数据!AL78&lt;&gt;"--",固定数据!AL78,0),0, 3)</f>
        <v>98</v>
      </c>
      <c r="U81" s="4" cm="1">
        <f t="array" ref="U81">计算得分(INDEX([1]Sheet1!$G:$G, MATCH(A81, [1]Sheet1!$B:$B,0)), 固定数据!AN78, 固定数据!AO78, 0.5, 3,0, 0)</f>
        <v>6.79</v>
      </c>
      <c r="V81" s="4" cm="1">
        <f t="array" ref="V81">计算得分(INDEX([1]Sheet1!$H:$H, MATCH(A81, [1]Sheet1!$B:$B,0)), 固定数据!AP78, 固定数据!AQ78, 0.4, 5,0, 1)</f>
        <v>3.57</v>
      </c>
      <c r="W81" s="4" cm="1">
        <f t="array" ref="W81">计算得分(INDEX([1]Sheet1!$J:$J, MATCH(A81, [1]Sheet1!$B:$B,0)), 固定数据!AR78, 固定数据!AS78, 0.2, 2,0, 4)</f>
        <v>244.29</v>
      </c>
      <c r="X81" s="4" cm="1">
        <f t="array" ref="X81">计算得分(INDEX([1]Sheet1!$K:$K, MATCH(A81, [1]Sheet1!$B:$B,0)), 固定数据!AT78, 固定数据!AU78, 0.2, 1.5,0, 4)</f>
        <v>7765.35</v>
      </c>
      <c r="Y81" s="4" cm="1">
        <f t="array" ref="Y81">计算得分(INDEX([1]Sheet1!$AA:$AA, MATCH(A81, [1]Sheet1!$B:$B,0)), 固定数据!AV78, 固定数据!AW78, 0.05, IF(固定数据!AV78&lt;&gt;"--",固定数据!AV78,0),0, 3)</f>
        <v>91</v>
      </c>
      <c r="Z81" s="4" cm="1">
        <f t="array" ref="Z81">计算得分(INDEX([1]Sheet1!$AB:$AB, MATCH(A81, [1]Sheet1!$B:$B,0)), 固定数据!AX78, 固定数据!AY78, 0.05, IF(固定数据!AX78&lt;&gt;"--",固定数据!AX78,0),0, 3)</f>
        <v>95.4</v>
      </c>
      <c r="AA81" s="4" cm="1">
        <f t="array" ref="AA81">计算得分(INDEX([1]Sheet1!$AC:$AC, MATCH(A81, [1]Sheet1!$B:$B,0)), 固定数据!AZ78, 固定数据!BA78, 0.04, IF(固定数据!AZ78&lt;&gt;"--",固定数据!AZ78,0),0, 3)</f>
        <v>98</v>
      </c>
      <c r="AB81" s="4" cm="1">
        <f t="array" ref="AB81">计算得分(INDEX([1]Sheet1!$AD:$AD, MATCH(A81, [1]Sheet1!$B:$B,0)), 固定数据!BB78, 固定数据!BC78, 0.03, IF(固定数据!BB78&lt;&gt;"--",固定数据!BB78,0),0, 3)</f>
        <v>98.3</v>
      </c>
      <c r="AC81" s="4" cm="1">
        <f t="array" ref="AC81">计算得分(INDEX([1]Sheet1!$AE:$AE, MATCH(A81, [1]Sheet1!$B:$B,0)), 固定数据!BD78, 固定数据!BE78, 0.04, IF(固定数据!BD78&lt;&gt;"--",固定数据!BD78,0),0, 3)</f>
        <v>95.38</v>
      </c>
      <c r="AD81" s="4" cm="1">
        <f t="array" ref="AD81">计算得分(INDEX([1]Sheet1!$L:$L, MATCH(A81, [1]Sheet1!$B:$B,0)), 固定数据!BF78, 固定数据!BG78, 0.1, 12.5,0, 3)</f>
        <v>5597.66</v>
      </c>
      <c r="AE81" s="4" cm="1">
        <f t="array" ref="AE81">计算得分(INDEX([1]Sheet1!$N:$N, MATCH(A81, [1]Sheet1!$B:$B,0)), 固定数据!BH78, 固定数据!BI78, 0.2, 7,0, 0)</f>
        <v>3.06</v>
      </c>
      <c r="AF81" s="4" cm="1">
        <f t="array" ref="AF81">计算得分(INDEX([1]Sheet1!$Q:$Q, MATCH(A81, [1]Sheet1!$B:$B,0)), 固定数据!BJ78, 固定数据!BK78, 0.2, 7,0, 0)</f>
        <v>13.62</v>
      </c>
      <c r="AG81" s="4" cm="1">
        <f t="array" ref="AG81">计算得分(INDEX([1]Sheet1!$S:$S, MATCH(A81, [1]Sheet1!$B:$B,0)), 固定数据!BL78, 固定数据!BM78, 0.2, 20,0, 0)</f>
        <v>46.43</v>
      </c>
      <c r="AH81" s="4" t="str" cm="1">
        <f t="array" ref="AH81">计算得分(INDEX([1]Sheet1!$AF:$AF, MATCH(A81, [1]Sheet1!$B:$B,0)), 固定数据!BN78, 固定数据!BO78, 0.1, 10,0, 3)</f>
        <v>--</v>
      </c>
      <c r="AI81" s="4" t="str" cm="1">
        <f t="array" ref="AI81">计算得分(INDEX([1]Sheet1!$M:$M, MATCH(A81, [1]Sheet1!$B:$B,0)), 固定数据!BP78, 固定数据!BQ78, 0.2, 20,0, 3)</f>
        <v>--</v>
      </c>
      <c r="AJ81" s="4" cm="1">
        <f t="array" ref="AJ81">计算得分(INDEX([1]Sheet1!$Z:$Z, MATCH(A81, [1]Sheet1!$B:$B,0)), 固定数据!BR78, 固定数据!BS78, 10, 50,0, 0)</f>
        <v>0</v>
      </c>
      <c r="AK81" s="4" t="str" cm="1">
        <f t="array" ref="AK81">计算得分(INDEX([1]Sheet1!$O:$O, MATCH(A81, [1]Sheet1!$B:$B,0)), 固定数据!BT78, 固定数据!BU78, 0.2, 15,0, 0)</f>
        <v>--</v>
      </c>
      <c r="AL81" s="4" t="str" cm="1">
        <f t="array" ref="AL81">计算得分(INDEX([1]Sheet1!$R:$R, MATCH(A81, [1]Sheet1!$B:$B,0)), 固定数据!BV78, 固定数据!BW78, 0.2, 10,0, 0)</f>
        <v>--</v>
      </c>
      <c r="AM81" s="4" t="str" cm="1">
        <f t="array" ref="AM81">计算得分(INDEX([1]Sheet1!$T:$T, MATCH(A81, [1]Sheet1!$B:$B,0)), 固定数据!BX78, 固定数据!BY78, 0.2, 20,0, 0)</f>
        <v>--</v>
      </c>
      <c r="AN81" s="4" t="str" cm="1">
        <f t="array" ref="AN81">计算得分([3]Sheet1!$F$3, 固定数据!BZ78, 固定数据!CA78, 0.5, 15,0, 0)</f>
        <v>--</v>
      </c>
      <c r="AO81" s="4" t="str" cm="1">
        <f t="array" ref="AO81">计算得分([3]Sheet1!$G$3, 固定数据!CB78, 固定数据!CC78, 0.01, 5,0, 1)</f>
        <v>--</v>
      </c>
      <c r="AP81" s="4" t="str" cm="1">
        <f t="array" ref="AP81">计算得分([3]Sheet1!$H$3, 固定数据!CD78, 固定数据!CE78, 0.001, 5,0, 1)</f>
        <v>--</v>
      </c>
      <c r="AQ81" s="4" t="str" cm="1">
        <f t="array" ref="AQ81">计算得分([3]Sheet1!$D$3,固定数据!CF78,固定数据!CG78,0.05,5,0,3)</f>
        <v>--</v>
      </c>
      <c r="AR81" s="4" t="str" cm="1">
        <f t="array" ref="AR81">计算得分([3]Sheet1!$E$3,固定数据!CH78,固定数据!CI78,0.1,10,0,3)</f>
        <v>--</v>
      </c>
      <c r="AS81" s="8" t="s">
        <v>74</v>
      </c>
      <c r="AT81" s="4" t="str" cm="1">
        <f t="array" ref="AT81">计算得分(INDEX([3]Sheet1!$J:$J, MATCH(A81, [3]Sheet1!$B:$B,0)), 固定数据!CL78, 固定数据!CM78, 2, 0,-10, 0)</f>
        <v>--</v>
      </c>
      <c r="AU81" s="4" t="str" cm="1">
        <f t="array" ref="AU81">计算得分(INDEX([3]Sheet1!$K:$K, MATCH(A81, [3]Sheet1!$B:$B,0)), 固定数据!CN78, 固定数据!CO78, 3, 0,-10, 0)</f>
        <v>--</v>
      </c>
      <c r="AV81" s="4" t="str" cm="1">
        <f t="array" ref="AV81">计算得分(INDEX([3]Sheet1!$L:$L, MATCH(A81, [3]Sheet1!$B:$B,0)), 固定数据!CP78, 固定数据!CQ78, 3, 0,-10, 0)</f>
        <v>--</v>
      </c>
      <c r="AW81" s="4" t="str" cm="1">
        <f t="array" ref="AW81">计算得分(INDEX([3]Sheet1!$M:$M, MATCH(A81, [3]Sheet1!$B:$B,0)), 固定数据!CR78, 固定数据!CS78, 100, 0,-100, 0)</f>
        <v>--</v>
      </c>
      <c r="AX81" s="4" t="str" cm="1">
        <f t="array" ref="AX81">计算得分(INDEX([3]Sheet1!$N:$N, MATCH(A81, [3]Sheet1!$B:$B,0)), 固定数据!CT78, 固定数据!CU78, 3, 0,-10, 0)</f>
        <v>--</v>
      </c>
      <c r="AY81" s="8" t="s">
        <v>74</v>
      </c>
      <c r="AZ81" s="8" t="s">
        <v>74</v>
      </c>
      <c r="BA81" s="4" t="str">
        <f>IFERROR(VLOOKUP(A81,[4]KPI评分!B:C,2,FALSE)*60%,"--")</f>
        <v>--</v>
      </c>
    </row>
    <row r="82" spans="1:53" ht="24.75" customHeight="1" x14ac:dyDescent="0.25">
      <c r="A82" s="1" t="s">
        <v>150</v>
      </c>
      <c r="B82" s="2" t="str" cm="1">
        <f t="array" ref="B82">计算得分(INDEX([1]Sheet1!$W:$W, MATCH(A82, [1]Sheet1!$B:$B,0)), 固定数据!B79, 固定数据!C79, 0.5, 0,-10, 0)</f>
        <v>--</v>
      </c>
      <c r="C82" s="2" t="str" cm="1">
        <f t="array" ref="C82">计算得分(INDEX([1]Sheet1!$X:$X, MATCH(A82, [1]Sheet1!$B:$B,0)), 固定数据!D79, 固定数据!E79, 1, 0,-10, 0)</f>
        <v>--</v>
      </c>
      <c r="D82" s="2" t="str" cm="1">
        <f t="array" ref="D82">计算得分(INDEX([1]Sheet1!$Y:$Y, MATCH(A82, [1]Sheet1!$B:$B,0)), 固定数据!F79, 固定数据!G79, 2, 0,-10, 0)</f>
        <v>--</v>
      </c>
      <c r="E82" s="6" t="str" cm="1">
        <f t="array" ref="E82">计算得分(INDEX([1]Sheet1!$C:$C, MATCH(A82, [1]Sheet1!$B:$B,0)), 固定数据!H79, 固定数据!I79, 0.02, 10,0, 1)</f>
        <v>--</v>
      </c>
      <c r="F82" s="2" t="str" cm="1">
        <f t="array" ref="F82">计算得分(INDEX([1]Sheet1!$D:$D, MATCH(A82, [1]Sheet1!$B:$B,0)), 固定数据!J79, 固定数据!K79, 0, 0,0, 0)</f>
        <v>--</v>
      </c>
      <c r="G82" s="2" t="str" cm="1">
        <f t="array" ref="G82">计算得分(INDEX([1]Sheet1!$E:$E, MATCH(A82, [1]Sheet1!$B:$B,0)), 固定数据!L79, 固定数据!M79,  0.3, 3,0, 5)</f>
        <v>--</v>
      </c>
      <c r="H82" s="2" t="str" cm="1">
        <f t="array" ref="H82">计算得分(INDEX([1]Sheet1!$AG:$AG, MATCH(A82, [1]Sheet1!$B:$B,0)), 固定数据!N79, 固定数据!O79, 0.03, 3,0, 3)</f>
        <v>--</v>
      </c>
      <c r="I82" s="2" t="str" cm="1">
        <f t="array" ref="I82">计算得分(INDEX([1]Sheet1!$V:$V, MATCH(A82, [1]Sheet1!$B:$B,0)), 固定数据!P79, 固定数据!Q79, 1, 0,-100, 0)</f>
        <v>--</v>
      </c>
      <c r="J82" s="2" t="str" cm="1">
        <f t="array" ref="J82">计算得分(INDEX([1]Sheet1!$AI:$AI, MATCH(A82, [1]Sheet1!$B:$B,0)), 固定数据!R79, 固定数据!S79, 0.04, 12,0, 3)</f>
        <v>--</v>
      </c>
      <c r="K82" s="2" t="str" cm="1">
        <f t="array" ref="K82">计算得分(INDEX([1]Sheet1!$F:$F, MATCH(A82, [1]Sheet1!$B:$B,0)), 固定数据!T79, 固定数据!U79, 0.02, 3,0, 1)</f>
        <v>--</v>
      </c>
      <c r="L82" s="2" t="str" cm="1">
        <f t="array" ref="L82">计算得分(INDEX([1]Sheet1!$U:$U, MATCH(A82, [1]Sheet1!$B:$B,0)), 固定数据!V79, 固定数据!W79, 0.2, 20,0, 0)</f>
        <v>--</v>
      </c>
      <c r="M82" s="2" t="str" cm="1">
        <f t="array" ref="M82">计算得分(100, 固定数据!X79, 固定数据!Y79, 0, 5,0, 0)</f>
        <v>--</v>
      </c>
      <c r="N82" s="2" t="str" cm="1">
        <f t="array" ref="N82">计算得分(100, 固定数据!Z79, 固定数据!AA79, 0, 5,0, 0)</f>
        <v>--</v>
      </c>
      <c r="O82" s="2" t="str" cm="1">
        <f t="array" ref="O82">计算得分(100, 固定数据!AB79, 固定数据!AC79, 0, 7,0, 0)</f>
        <v>--</v>
      </c>
      <c r="P82" s="2" t="str" cm="1">
        <f t="array" ref="P82">计算得分(INDEX([1]Sheet1!$P:$P, MATCH(A82, [1]Sheet1!$B:$B,0)), 固定数据!AD79, 固定数据!AE79, 0.2, 7,0, 0)</f>
        <v>--</v>
      </c>
      <c r="Q82" s="2" t="str" cm="1">
        <f t="array" ref="Q82">计算得分(INDEX([1]Sheet1!$I:$I, MATCH(A82, [1]Sheet1!$B:$B,0)), 固定数据!AF79, 固定数据!AG79,0.2, IF(固定数据!AF79&lt;&gt;"--",固定数据!AF79,0),2, 5)</f>
        <v>--</v>
      </c>
      <c r="R82" s="2" t="str" cm="1">
        <f t="array" ref="R82">计算得分(INDEX([2]Sheet1!$AL:$AL, MATCH(A82, [2]Sheet1!$A:$A,0)), 固定数据!AH79, 固定数据!AI79, 0.02, 6,6, 1)</f>
        <v>--</v>
      </c>
      <c r="S82" s="2" t="str" cm="1">
        <f t="array" ref="S82">计算得分(INDEX([2]Sheet1!$I:$I, MATCH(A82, [2]Sheet1!$A:$A,0)), 固定数据!AJ79, 固定数据!AK79, 0.005, 6,0, 1)</f>
        <v>--</v>
      </c>
      <c r="T82" s="2" t="str" cm="1">
        <f t="array" ref="T82">计算得分(98, 固定数据!AL79, 固定数据!AM79, 0.03, IF(固定数据!AL79&lt;&gt;"--",固定数据!AL79,0),0, 3)</f>
        <v>--</v>
      </c>
      <c r="U82" s="2" t="str" cm="1">
        <f t="array" ref="U82">计算得分(INDEX([1]Sheet1!$G:$G, MATCH(A82, [1]Sheet1!$B:$B,0)), 固定数据!AN79, 固定数据!AO79, 0.5, 3,0, 0)</f>
        <v>--</v>
      </c>
      <c r="V82" s="2" t="str" cm="1">
        <f t="array" ref="V82">计算得分(INDEX([1]Sheet1!$H:$H, MATCH(A82, [1]Sheet1!$B:$B,0)), 固定数据!AP79, 固定数据!AQ79, 0.4, 5,0, 1)</f>
        <v>--</v>
      </c>
      <c r="W82" s="2" t="str" cm="1">
        <f t="array" ref="W82">计算得分(INDEX([1]Sheet1!$J:$J, MATCH(A82, [1]Sheet1!$B:$B,0)), 固定数据!AR79, 固定数据!AS79, 0.2, 2,2, 4)</f>
        <v>--</v>
      </c>
      <c r="X82" s="2" t="str" cm="1">
        <f t="array" ref="X82">计算得分(INDEX([1]Sheet1!$K:$K, MATCH(A82, [1]Sheet1!$B:$B,0)), 固定数据!AT79, 固定数据!AU79, 0.2, 1.5,1.5, 4)</f>
        <v>--</v>
      </c>
      <c r="Y82" s="2" t="str" cm="1">
        <f t="array" ref="Y82">计算得分(INDEX([1]Sheet1!$AA:$AA, MATCH(A82, [1]Sheet1!$B:$B,0)), 固定数据!AV79, 固定数据!AW79, 0.05, IF(固定数据!AV79&lt;&gt;"--",固定数据!AV79,0),0, 3)</f>
        <v>--</v>
      </c>
      <c r="Z82" s="2" t="str" cm="1">
        <f t="array" ref="Z82">计算得分(INDEX([1]Sheet1!$AB:$AB, MATCH(A82, [1]Sheet1!$B:$B,0)), 固定数据!AX79, 固定数据!AY79, 0.05, IF(固定数据!AX79&lt;&gt;"--",固定数据!AX79,0),0, 3)</f>
        <v>--</v>
      </c>
      <c r="AA82" s="2" t="str" cm="1">
        <f t="array" ref="AA82">计算得分(INDEX([1]Sheet1!$AC:$AC, MATCH(A82, [1]Sheet1!$B:$B,0)), 固定数据!AZ79, 固定数据!BA79, 0.04, IF(固定数据!AZ79&lt;&gt;"--",固定数据!AZ79,0),0, 3)</f>
        <v>--</v>
      </c>
      <c r="AB82" s="2" t="str" cm="1">
        <f t="array" ref="AB82">计算得分(INDEX([1]Sheet1!$AD:$AD, MATCH(A82, [1]Sheet1!$B:$B,0)), 固定数据!BB79, 固定数据!BC79, 0.03, IF(固定数据!BB79&lt;&gt;"--",固定数据!BB79,0),0, 3)</f>
        <v>--</v>
      </c>
      <c r="AC82" s="2" t="str" cm="1">
        <f t="array" ref="AC82">计算得分(INDEX([1]Sheet1!$AE:$AE, MATCH(A82, [1]Sheet1!$B:$B,0)), 固定数据!BD79, 固定数据!BE79, 0.04, IF(固定数据!BD79&lt;&gt;"--",固定数据!BD79,0),0, 3)</f>
        <v>--</v>
      </c>
      <c r="AD82" s="2" t="str" cm="1">
        <f t="array" ref="AD82">计算得分(INDEX([1]Sheet1!$L:$L, MATCH(A82, [1]Sheet1!$B:$B,0)), 固定数据!BF79, 固定数据!BG79, 0.1, 12.5,0, 3)</f>
        <v>--</v>
      </c>
      <c r="AE82" s="2" t="str" cm="1">
        <f t="array" ref="AE82">计算得分(INDEX([1]Sheet1!$N:$N, MATCH(A82, [1]Sheet1!$B:$B,0)), 固定数据!BH79, 固定数据!BI79, 0.2, 7,0, 0)</f>
        <v>--</v>
      </c>
      <c r="AF82" s="2" t="str" cm="1">
        <f t="array" ref="AF82">计算得分(INDEX([1]Sheet1!$Q:$Q, MATCH(A82, [1]Sheet1!$B:$B,0)), 固定数据!BJ79, 固定数据!BK79, 0.2, 7,0, 0)</f>
        <v>--</v>
      </c>
      <c r="AG82" s="2" t="str" cm="1">
        <f t="array" ref="AG82">计算得分(INDEX([1]Sheet1!$S:$S, MATCH(A82, [1]Sheet1!$B:$B,0)), 固定数据!BL79, 固定数据!BM79, 0.2, 20,0, 0)</f>
        <v>--</v>
      </c>
      <c r="AH82" s="6" t="str" cm="1">
        <f t="array" ref="AH82">计算得分(INDEX([1]Sheet1!$AF:$AF, MATCH(A82, [1]Sheet1!$B:$B,0)), 固定数据!BN79, 固定数据!BO79, 0.1, 10,0, 3)</f>
        <v>--</v>
      </c>
      <c r="AI82" s="2" t="str" cm="1">
        <f t="array" ref="AI82">计算得分(INDEX([1]Sheet1!$M:$M, MATCH(A82, [1]Sheet1!$B:$B,0)), 固定数据!BP79, 固定数据!BQ79, 0.2, 20,0, 3)</f>
        <v>--</v>
      </c>
      <c r="AJ82" s="2" t="str" cm="1">
        <f t="array" ref="AJ82">计算得分(INDEX([1]Sheet1!$Z:$Z, MATCH(A82, [1]Sheet1!$B:$B,0)), 固定数据!BR79, 固定数据!BS79, 10, 50,0, 0)</f>
        <v>--</v>
      </c>
      <c r="AK82" s="2" t="str" cm="1">
        <f t="array" ref="AK82">计算得分(INDEX([1]Sheet1!$O:$O, MATCH(A82, [1]Sheet1!$B:$B,0)), 固定数据!BT79, 固定数据!BU79, 0.2, 15,0, 0)</f>
        <v>--</v>
      </c>
      <c r="AL82" s="2" t="str" cm="1">
        <f t="array" ref="AL82">计算得分(INDEX([1]Sheet1!$R:$R, MATCH(A82, [1]Sheet1!$B:$B,0)), 固定数据!BV79, 固定数据!BW79, 0.2, 10,0, 0)</f>
        <v>--</v>
      </c>
      <c r="AM82" s="2" t="str" cm="1">
        <f t="array" ref="AM82">计算得分(INDEX([1]Sheet1!$T:$T, MATCH(A82, [1]Sheet1!$B:$B,0)), 固定数据!BX79, 固定数据!BY79, 0.2, 20,0, 0)</f>
        <v>--</v>
      </c>
      <c r="AN82" s="2" cm="1">
        <f t="array" ref="AN82">计算得分([3]Sheet1!$F$3, 固定数据!BZ79, 固定数据!CA79, 0.5, 15,0, 0)</f>
        <v>104.4</v>
      </c>
      <c r="AO82" s="6" cm="1">
        <f t="array" ref="AO82">计算得分([3]Sheet1!$G$3, 固定数据!CB79, 固定数据!CC79, 0.01, 5,0, 1)</f>
        <v>3675</v>
      </c>
      <c r="AP82" s="6" cm="1">
        <f t="array" ref="AP82">计算得分([3]Sheet1!$H$3, 固定数据!CD79, 固定数据!CE79, 0.001, 5,0, 1)</f>
        <v>18357</v>
      </c>
      <c r="AQ82" s="6" cm="1">
        <f t="array" ref="AQ82">计算得分([3]Sheet1!$D$3,固定数据!CF79,固定数据!CG79,0.05,5,0,3)</f>
        <v>186.8</v>
      </c>
      <c r="AR82" s="6" cm="1">
        <f t="array" ref="AR82">计算得分([3]Sheet1!$E$3,固定数据!CH79,固定数据!CI79,0.1,10,0,3)</f>
        <v>7574.53</v>
      </c>
      <c r="AS82" s="7" t="s">
        <v>74</v>
      </c>
      <c r="AT82" s="6" cm="1">
        <f t="array" ref="AT82">计算得分(INDEX([3]Sheet1!$J:$J, MATCH(A82, [3]Sheet1!$B:$B,0)), 固定数据!CL79, 固定数据!CM79, 2, 0,-10, 0)</f>
        <v>100</v>
      </c>
      <c r="AU82" s="2" cm="1">
        <f t="array" ref="AU82">计算得分(INDEX([3]Sheet1!$K:$K, MATCH(A82, [3]Sheet1!$B:$B,0)), 固定数据!CN79, 固定数据!CO79, 3, 0,-10, 0)</f>
        <v>100</v>
      </c>
      <c r="AV82" s="2" cm="1">
        <f t="array" ref="AV82">计算得分(INDEX([3]Sheet1!$L:$L, MATCH(A82, [3]Sheet1!$B:$B,0)), 固定数据!CP79, 固定数据!CQ79, 3, 0,-10, 0)</f>
        <v>100</v>
      </c>
      <c r="AW82" s="2" cm="1">
        <f t="array" ref="AW82">计算得分(INDEX([3]Sheet1!$M:$M, MATCH(A82, [3]Sheet1!$B:$B,0)), 固定数据!CR79, 固定数据!CS79, 100, 0,-100, 0)</f>
        <v>100</v>
      </c>
      <c r="AX82" s="2" cm="1">
        <f t="array" ref="AX82">计算得分(INDEX([3]Sheet1!$N:$N, MATCH(A82, [3]Sheet1!$B:$B,0)), 固定数据!CT79, 固定数据!CU79, 3, 0,-10, 0)</f>
        <v>100</v>
      </c>
      <c r="AY82" s="7" t="s">
        <v>74</v>
      </c>
      <c r="AZ82" s="7" t="s">
        <v>74</v>
      </c>
      <c r="BA82" s="2">
        <f>IFERROR(VLOOKUP(A82,[4]KPI评分!B:C,2,FALSE)*60%,"--")</f>
        <v>57.359999999999992</v>
      </c>
    </row>
    <row r="83" spans="1:53" ht="24.75" customHeight="1" x14ac:dyDescent="0.25">
      <c r="A83" s="3" t="s">
        <v>151</v>
      </c>
      <c r="B83" s="4" t="str" cm="1">
        <f t="array" ref="B83">计算得分(INDEX([1]Sheet1!$W:$W, MATCH(A83, [1]Sheet1!$B:$B,0)), 固定数据!B80, 固定数据!C80, 0.5, 0,-10, 0)</f>
        <v>--</v>
      </c>
      <c r="C83" s="4" t="str" cm="1">
        <f t="array" ref="C83">计算得分(INDEX([1]Sheet1!$X:$X, MATCH(A83, [1]Sheet1!$B:$B,0)), 固定数据!D80, 固定数据!E80, 1, 0,-10, 0)</f>
        <v>--</v>
      </c>
      <c r="D83" s="4" t="str" cm="1">
        <f t="array" ref="D83">计算得分(INDEX([1]Sheet1!$Y:$Y, MATCH(A83, [1]Sheet1!$B:$B,0)), 固定数据!F80, 固定数据!G80, 2, 0,-10, 0)</f>
        <v>--</v>
      </c>
      <c r="E83" s="4" t="str" cm="1">
        <f t="array" ref="E83">计算得分(INDEX([1]Sheet1!$C:$C, MATCH(A83, [1]Sheet1!$B:$B,0)), 固定数据!H80, 固定数据!I80, 0.02, 10,0, 1)</f>
        <v>--</v>
      </c>
      <c r="F83" s="4" t="str" cm="1">
        <f t="array" ref="F83">计算得分(INDEX([1]Sheet1!$D:$D, MATCH(A83, [1]Sheet1!$B:$B,0)), 固定数据!J80, 固定数据!K80, 0, 0,0, 0)</f>
        <v>--</v>
      </c>
      <c r="G83" s="4" t="str" cm="1">
        <f t="array" ref="G83">计算得分(INDEX([1]Sheet1!$E:$E, MATCH(A83, [1]Sheet1!$B:$B,0)), 固定数据!L80, 固定数据!M80, 0.3, 3,0, 5)</f>
        <v>--</v>
      </c>
      <c r="H83" s="4" t="str" cm="1">
        <f t="array" ref="H83">计算得分(INDEX([1]Sheet1!$AG:$AG, MATCH(A83, [1]Sheet1!$B:$B,0)), 固定数据!N80, 固定数据!O80, 0.03, 3,0, 3)</f>
        <v>--</v>
      </c>
      <c r="I83" s="4" t="str" cm="1">
        <f t="array" ref="I83">计算得分(INDEX([1]Sheet1!$V:$V, MATCH(A83, [1]Sheet1!$B:$B,0)), 固定数据!P80, 固定数据!Q80, 1, 0,-100, 0)</f>
        <v>--</v>
      </c>
      <c r="J83" s="4" t="str" cm="1">
        <f t="array" ref="J83">计算得分(INDEX([1]Sheet1!$AI:$AI, MATCH(A83, [1]Sheet1!$B:$B,0)), 固定数据!R80, 固定数据!S80, 0.04, 12,0, 3)</f>
        <v>--</v>
      </c>
      <c r="K83" s="4" t="str" cm="1">
        <f t="array" ref="K83">计算得分(INDEX([1]Sheet1!$F:$F, MATCH(A83, [1]Sheet1!$B:$B,0)), 固定数据!T80, 固定数据!U80, 0.02, 3,0, 1)</f>
        <v>--</v>
      </c>
      <c r="L83" s="4" t="str" cm="1">
        <f t="array" ref="L83">计算得分(INDEX([1]Sheet1!$U:$U, MATCH(A83, [1]Sheet1!$B:$B,0)), 固定数据!V80, 固定数据!W80, 0.2, 20,0, 0)</f>
        <v>--</v>
      </c>
      <c r="M83" s="4" t="str" cm="1">
        <f t="array" ref="M83">计算得分(100, 固定数据!X80, 固定数据!Y80, 0, 5,0, 0)</f>
        <v>--</v>
      </c>
      <c r="N83" s="4" t="str" cm="1">
        <f t="array" ref="N83">计算得分(100, 固定数据!Z80, 固定数据!AA80, 0, 5,0, 0)</f>
        <v>--</v>
      </c>
      <c r="O83" s="4" t="str" cm="1">
        <f t="array" ref="O83">计算得分(100, 固定数据!AB80, 固定数据!AC80, 0, 7,0, 0)</f>
        <v>--</v>
      </c>
      <c r="P83" s="4" t="str" cm="1">
        <f t="array" ref="P83">计算得分(INDEX([1]Sheet1!$P:$P, MATCH(A83, [1]Sheet1!$B:$B,0)), 固定数据!AD80, 固定数据!AE80, 0.2, 7,0, 0)</f>
        <v>--</v>
      </c>
      <c r="Q83" s="4" t="str" cm="1">
        <f t="array" ref="Q83">计算得分(INDEX([1]Sheet1!$I:$I, MATCH(A83, [1]Sheet1!$B:$B,0)), 固定数据!AF80, 固定数据!AG80,0.2, IF(固定数据!AF80&lt;&gt;"--",固定数据!AF80,0),2, 5)</f>
        <v>--</v>
      </c>
      <c r="R83" s="4" t="str" cm="1">
        <f t="array" ref="R83">计算得分(INDEX([2]Sheet1!$AL:$AL, MATCH(A83, [2]Sheet1!$A:$A,0)), 固定数据!AH80, 固定数据!AI80, 0.02, 6,6, 1)</f>
        <v>--</v>
      </c>
      <c r="S83" s="4" t="str" cm="1">
        <f t="array" ref="S83">计算得分(INDEX([2]Sheet1!$I:$I, MATCH(A83, [2]Sheet1!$A:$A,0)), 固定数据!AJ80, 固定数据!AK80, 0.005, 6,0, 1)</f>
        <v>--</v>
      </c>
      <c r="T83" s="4" t="str" cm="1">
        <f t="array" ref="T83">计算得分(98, 固定数据!AL80, 固定数据!AM80, 0.03, IF(固定数据!AL80&lt;&gt;"--",固定数据!AL80,0),0, 3)</f>
        <v>--</v>
      </c>
      <c r="U83" s="4" t="str" cm="1">
        <f t="array" ref="U83">计算得分(INDEX([1]Sheet1!$G:$G, MATCH(A83, [1]Sheet1!$B:$B,0)), 固定数据!AN80, 固定数据!AO80, 0.5, 3,0, 0)</f>
        <v>--</v>
      </c>
      <c r="V83" s="4" t="str" cm="1">
        <f t="array" ref="V83">计算得分(INDEX([1]Sheet1!$H:$H, MATCH(A83, [1]Sheet1!$B:$B,0)), 固定数据!AP80, 固定数据!AQ80, 0.4, 5,0, 1)</f>
        <v>--</v>
      </c>
      <c r="W83" s="4" t="str" cm="1">
        <f t="array" ref="W83">计算得分(INDEX([1]Sheet1!$J:$J, MATCH(A83, [1]Sheet1!$B:$B,0)), 固定数据!AR80, 固定数据!AS80, 0.2, 2,2, 4)</f>
        <v>--</v>
      </c>
      <c r="X83" s="4" t="str" cm="1">
        <f t="array" ref="X83">计算得分(INDEX([1]Sheet1!$K:$K, MATCH(A83, [1]Sheet1!$B:$B,0)), 固定数据!AT80, 固定数据!AU80, 0.2, 1.5,1.5, 4)</f>
        <v>--</v>
      </c>
      <c r="Y83" s="4" t="str" cm="1">
        <f t="array" ref="Y83">计算得分(INDEX([1]Sheet1!$AA:$AA, MATCH(A83, [1]Sheet1!$B:$B,0)), 固定数据!AV80, 固定数据!AW80, 0.05, IF(固定数据!AV80&lt;&gt;"--",固定数据!AV80,0),0, 3)</f>
        <v>--</v>
      </c>
      <c r="Z83" s="4" t="str" cm="1">
        <f t="array" ref="Z83">计算得分(INDEX([1]Sheet1!$AB:$AB, MATCH(A83, [1]Sheet1!$B:$B,0)), 固定数据!AX80, 固定数据!AY80, 0.05, IF(固定数据!AX80&lt;&gt;"--",固定数据!AX80,0),0, 3)</f>
        <v>--</v>
      </c>
      <c r="AA83" s="4" t="str" cm="1">
        <f t="array" ref="AA83">计算得分(INDEX([1]Sheet1!$AC:$AC, MATCH(A83, [1]Sheet1!$B:$B,0)), 固定数据!AZ80, 固定数据!BA80, 0.04, IF(固定数据!AZ80&lt;&gt;"--",固定数据!AZ80,0),0, 3)</f>
        <v>--</v>
      </c>
      <c r="AB83" s="4" t="str" cm="1">
        <f t="array" ref="AB83">计算得分(INDEX([1]Sheet1!$AD:$AD, MATCH(A83, [1]Sheet1!$B:$B,0)), 固定数据!BB80, 固定数据!BC80, 0.03, IF(固定数据!BB80&lt;&gt;"--",固定数据!BB80,0),0, 3)</f>
        <v>--</v>
      </c>
      <c r="AC83" s="4" t="str" cm="1">
        <f t="array" ref="AC83">计算得分(INDEX([1]Sheet1!$AE:$AE, MATCH(A83, [1]Sheet1!$B:$B,0)), 固定数据!BD80, 固定数据!BE80, 0.04, IF(固定数据!BD80&lt;&gt;"--",固定数据!BD80,0),0, 3)</f>
        <v>--</v>
      </c>
      <c r="AD83" s="4" t="str" cm="1">
        <f t="array" ref="AD83">计算得分(INDEX([1]Sheet1!$L:$L, MATCH(A83, [1]Sheet1!$B:$B,0)), 固定数据!BF80, 固定数据!BG80, 0.1, 12.5,0, 3)</f>
        <v>--</v>
      </c>
      <c r="AE83" s="4" t="str" cm="1">
        <f t="array" ref="AE83">计算得分(INDEX([1]Sheet1!$N:$N, MATCH(A83, [1]Sheet1!$B:$B,0)), 固定数据!BH80, 固定数据!BI80, 0.2, 7,0, 0)</f>
        <v>--</v>
      </c>
      <c r="AF83" s="4" t="str" cm="1">
        <f t="array" ref="AF83">计算得分(INDEX([1]Sheet1!$Q:$Q, MATCH(A83, [1]Sheet1!$B:$B,0)), 固定数据!BJ80, 固定数据!BK80, 0.2, 7,0, 0)</f>
        <v>--</v>
      </c>
      <c r="AG83" s="4" t="str" cm="1">
        <f t="array" ref="AG83">计算得分(INDEX([1]Sheet1!$S:$S, MATCH(A83, [1]Sheet1!$B:$B,0)), 固定数据!BL80, 固定数据!BM80, 0.2, 20,0, 0)</f>
        <v>--</v>
      </c>
      <c r="AH83" s="4" t="str" cm="1">
        <f t="array" ref="AH83">计算得分(INDEX([1]Sheet1!$AF:$AF, MATCH(A83, [1]Sheet1!$B:$B,0)), 固定数据!BN80, 固定数据!BO80, 0.1, 10,0, 3)</f>
        <v>--</v>
      </c>
      <c r="AI83" s="4" t="str" cm="1">
        <f t="array" ref="AI83">计算得分(INDEX([1]Sheet1!$M:$M, MATCH(A83, [1]Sheet1!$B:$B,0)), 固定数据!BP80, 固定数据!BQ80, 0.2, 20,0, 3)</f>
        <v>--</v>
      </c>
      <c r="AJ83" s="4" t="str" cm="1">
        <f t="array" ref="AJ83">计算得分(INDEX([1]Sheet1!$Z:$Z, MATCH(A83, [1]Sheet1!$B:$B,0)), 固定数据!BR80, 固定数据!BS80, 10, 50,0, 0)</f>
        <v>--</v>
      </c>
      <c r="AK83" s="4" t="str" cm="1">
        <f t="array" ref="AK83">计算得分(INDEX([1]Sheet1!$O:$O, MATCH(A83, [1]Sheet1!$B:$B,0)), 固定数据!BT80, 固定数据!BU80, 0.2, 15,0, 0)</f>
        <v>--</v>
      </c>
      <c r="AL83" s="4" t="str" cm="1">
        <f t="array" ref="AL83">计算得分(INDEX([1]Sheet1!$R:$R, MATCH(A83, [1]Sheet1!$B:$B,0)), 固定数据!BV80, 固定数据!BW80, 0.2, 10,0, 0)</f>
        <v>--</v>
      </c>
      <c r="AM83" s="4" t="str" cm="1">
        <f t="array" ref="AM83">计算得分(INDEX([1]Sheet1!$T:$T, MATCH(A83, [1]Sheet1!$B:$B,0)), 固定数据!BX80, 固定数据!BY80, 0.2, 20,0, 0)</f>
        <v>--</v>
      </c>
      <c r="AN83" s="4" cm="1">
        <f t="array" ref="AN83">计算得分([3]Sheet1!$F$3, 固定数据!BZ80, 固定数据!CA80, 0.5, 15,0, 0)</f>
        <v>104.4</v>
      </c>
      <c r="AO83" s="4" cm="1">
        <f t="array" ref="AO83">计算得分([3]Sheet1!$G$3, 固定数据!CB80, 固定数据!CC80, 0.01, 5,0, 1)</f>
        <v>3675</v>
      </c>
      <c r="AP83" s="4" cm="1">
        <f t="array" ref="AP83">计算得分([3]Sheet1!$H$3, 固定数据!CD80, 固定数据!CE80, 0.001, 5,0, 1)</f>
        <v>18357</v>
      </c>
      <c r="AQ83" s="4" cm="1">
        <f t="array" ref="AQ83">计算得分([3]Sheet1!$D$3,固定数据!CF80,固定数据!CG80,0.05,5,0,3)</f>
        <v>186.8</v>
      </c>
      <c r="AR83" s="4" cm="1">
        <f t="array" ref="AR83">计算得分([3]Sheet1!$E$3,固定数据!CH80,固定数据!CI80,0.1,10,0,3)</f>
        <v>7574.53</v>
      </c>
      <c r="AS83" s="8" t="s">
        <v>74</v>
      </c>
      <c r="AT83" s="4" cm="1">
        <f t="array" ref="AT83">计算得分(INDEX([3]Sheet1!$J:$J, MATCH(A83, [3]Sheet1!$B:$B,0)), 固定数据!CL80, 固定数据!CM80, 2, 0,-10, 0)</f>
        <v>100</v>
      </c>
      <c r="AU83" s="4" cm="1">
        <f t="array" ref="AU83">计算得分(INDEX([3]Sheet1!$K:$K, MATCH(A83, [3]Sheet1!$B:$B,0)), 固定数据!CN80, 固定数据!CO80, 3, 0,-10, 0)</f>
        <v>100</v>
      </c>
      <c r="AV83" s="4" cm="1">
        <f t="array" ref="AV83">计算得分(INDEX([3]Sheet1!$L:$L, MATCH(A83, [3]Sheet1!$B:$B,0)), 固定数据!CP80, 固定数据!CQ80, 3, 0,-10, 0)</f>
        <v>100</v>
      </c>
      <c r="AW83" s="4" cm="1">
        <f t="array" ref="AW83">计算得分(INDEX([3]Sheet1!$M:$M, MATCH(A83, [3]Sheet1!$B:$B,0)), 固定数据!CR80, 固定数据!CS80, 100, 0,-100, 0)</f>
        <v>100</v>
      </c>
      <c r="AX83" s="4" cm="1">
        <f t="array" ref="AX83">计算得分(INDEX([3]Sheet1!$N:$N, MATCH(A83, [3]Sheet1!$B:$B,0)), 固定数据!CT80, 固定数据!CU80, 3, 0,-10, 0)</f>
        <v>100</v>
      </c>
      <c r="AY83" s="8" t="s">
        <v>74</v>
      </c>
      <c r="AZ83" s="8" t="s">
        <v>74</v>
      </c>
      <c r="BA83" s="4">
        <f>IFERROR(VLOOKUP(A83,[4]KPI评分!B:C,2,FALSE)*60%,"--")</f>
        <v>57.359999999999992</v>
      </c>
    </row>
    <row r="84" spans="1:53" ht="24.75" customHeight="1" x14ac:dyDescent="0.25">
      <c r="A84" s="1" t="s">
        <v>152</v>
      </c>
      <c r="B84" s="2" cm="1">
        <f t="array" ref="B84">计算得分(INDEX([1]Sheet1!$W:$W, MATCH(A84, [1]Sheet1!$B:$B,0)), 固定数据!B81, 固定数据!C81, 0.5, 0,-10, 0)</f>
        <v>0</v>
      </c>
      <c r="C84" s="2" cm="1">
        <f t="array" ref="C84">计算得分(INDEX([1]Sheet1!$X:$X, MATCH(A84, [1]Sheet1!$B:$B,0)), 固定数据!D81, 固定数据!E81, 1, 0,-10, 0)</f>
        <v>0</v>
      </c>
      <c r="D84" s="2" cm="1">
        <f t="array" ref="D84">计算得分(INDEX([1]Sheet1!$Y:$Y, MATCH(A84, [1]Sheet1!$B:$B,0)), 固定数据!F81, 固定数据!G81, 2, 0,-10, 0)</f>
        <v>0</v>
      </c>
      <c r="E84" s="6" t="str" cm="1">
        <f t="array" ref="E84">计算得分(INDEX([1]Sheet1!$C:$C, MATCH(A84, [1]Sheet1!$B:$B,0)), 固定数据!H81, 固定数据!I81, 0.02, 10,0, 1)</f>
        <v>--</v>
      </c>
      <c r="F84" s="2" t="str" cm="1">
        <f t="array" ref="F84">计算得分(INDEX([1]Sheet1!$D:$D, MATCH(A84, [1]Sheet1!$B:$B,0)), 固定数据!J81, 固定数据!K81, 0, 0,0, 0)</f>
        <v>--</v>
      </c>
      <c r="G84" s="2" t="str" cm="1">
        <f t="array" ref="G84">计算得分(INDEX([1]Sheet1!$E:$E, MATCH(A84, [1]Sheet1!$B:$B,0)), 固定数据!L81, 固定数据!M81,  0.3, 3,0, 5)</f>
        <v>--</v>
      </c>
      <c r="H84" s="2" cm="1">
        <f t="array" ref="H84">计算得分(INDEX([1]Sheet1!$AG:$AG, MATCH(A84, [1]Sheet1!$B:$B,0)), 固定数据!N81, 固定数据!O81, 0.03, 3,0, 3)</f>
        <v>100</v>
      </c>
      <c r="I84" s="2" cm="1">
        <f t="array" ref="I84">计算得分(INDEX([1]Sheet1!$V:$V, MATCH(A84, [1]Sheet1!$B:$B,0)), 固定数据!P81, 固定数据!Q81, 1, 0,-100, 0)</f>
        <v>0</v>
      </c>
      <c r="J84" s="2" t="str" cm="1">
        <f t="array" ref="J84">计算得分(INDEX([1]Sheet1!$AI:$AI, MATCH(A84, [1]Sheet1!$B:$B,0)), 固定数据!R81, 固定数据!S81, 0.04, 12,0, 3)</f>
        <v>--</v>
      </c>
      <c r="K84" s="2" t="str" cm="1">
        <f t="array" ref="K84">计算得分(INDEX([1]Sheet1!$F:$F, MATCH(A84, [1]Sheet1!$B:$B,0)), 固定数据!T81, 固定数据!U81, 0.02, 3,0, 1)</f>
        <v>--</v>
      </c>
      <c r="L84" s="2" t="str" cm="1">
        <f t="array" ref="L84">计算得分(INDEX([1]Sheet1!$U:$U, MATCH(A84, [1]Sheet1!$B:$B,0)), 固定数据!V81, 固定数据!W81, 0.2, 20,0, 0)</f>
        <v>--</v>
      </c>
      <c r="M84" s="2" t="str" cm="1">
        <f t="array" ref="M84">计算得分(100, 固定数据!X81, 固定数据!Y81, 0, 5,0, 0)</f>
        <v>--</v>
      </c>
      <c r="N84" s="2" t="str" cm="1">
        <f t="array" ref="N84">计算得分(100, 固定数据!Z81, 固定数据!AA81, 0, 5,0, 0)</f>
        <v>--</v>
      </c>
      <c r="O84" s="2" t="str" cm="1">
        <f t="array" ref="O84">计算得分(100, 固定数据!AB81, 固定数据!AC81, 0, 7,0, 0)</f>
        <v>--</v>
      </c>
      <c r="P84" s="2" t="str" cm="1">
        <f t="array" ref="P84">计算得分(INDEX([1]Sheet1!$P:$P, MATCH(A84, [1]Sheet1!$B:$B,0)), 固定数据!AD81, 固定数据!AE81, 0.2, 7,0, 0)</f>
        <v>--</v>
      </c>
      <c r="Q84" s="2" cm="1">
        <f t="array" ref="Q84">计算得分(INDEX([1]Sheet1!$I:$I, MATCH(A84, [1]Sheet1!$B:$B,0)), 固定数据!AF81, 固定数据!AG81,0.2, IF(固定数据!AF81&lt;&gt;"--",固定数据!AF81,0),0, 5)</f>
        <v>0</v>
      </c>
      <c r="R84" s="2" t="str" cm="1">
        <f t="array" ref="R84">计算得分(INDEX([2]Sheet1!$AL:$AL, MATCH(A84, [2]Sheet1!$A:$A,0)), 固定数据!AH81, 固定数据!AI81, 0.02, 6,6, 1)</f>
        <v>--</v>
      </c>
      <c r="S84" s="2" cm="1">
        <f t="array" ref="S84">计算得分(INDEX([2]Sheet1!$I:$I, MATCH(A84, [2]Sheet1!$A:$A,0)), 固定数据!AJ81, 固定数据!AK81, 0.005, 10,0, 1)</f>
        <v>0</v>
      </c>
      <c r="T84" s="2" cm="1">
        <f t="array" ref="T84">计算得分(98, 固定数据!AL81, 固定数据!AM81, 0.03, IF(固定数据!AL81&lt;&gt;"--",固定数据!AL81,0),0, 3)</f>
        <v>98</v>
      </c>
      <c r="U84" s="2" t="str" cm="1">
        <f t="array" ref="U84">计算得分(INDEX([1]Sheet1!$G:$G, MATCH(A84, [1]Sheet1!$B:$B,0)), 固定数据!AN81, 固定数据!AO81, 0.5, 3,0, 0)</f>
        <v>--</v>
      </c>
      <c r="V84" s="2" t="str" cm="1">
        <f t="array" ref="V84">计算得分(INDEX([1]Sheet1!$H:$H, MATCH(A84, [1]Sheet1!$B:$B,0)), 固定数据!AP81, 固定数据!AQ81, 0.4, 5,0, 1)</f>
        <v>--</v>
      </c>
      <c r="W84" s="2" cm="1">
        <f t="array" ref="W84">计算得分(INDEX([1]Sheet1!$J:$J, MATCH(A84, [1]Sheet1!$B:$B,0)), 固定数据!AR81, 固定数据!AS81, 0.2, 2.5,0, 4)</f>
        <v>0</v>
      </c>
      <c r="X84" s="2" t="str" cm="1">
        <f t="array" ref="X84">计算得分(INDEX([1]Sheet1!$K:$K, MATCH(A84, [1]Sheet1!$B:$B,0)), 固定数据!AT81, 固定数据!AU81, 0.2, 1.5,1.5, 4)</f>
        <v>--</v>
      </c>
      <c r="Y84" s="2" cm="1">
        <f t="array" ref="Y84">计算得分(INDEX([1]Sheet1!$AA:$AA, MATCH(A84, [1]Sheet1!$B:$B,0)), 固定数据!AV81, 固定数据!AW81, 0.05, IF(固定数据!AV81&lt;&gt;"--",固定数据!AV81,0),0, 3)</f>
        <v>100</v>
      </c>
      <c r="Z84" s="2" t="str" cm="1">
        <f t="array" ref="Z84">计算得分(INDEX([1]Sheet1!$AB:$AB, MATCH(A84, [1]Sheet1!$B:$B,0)), 固定数据!AX81, 固定数据!AY81, 0.05, IF(固定数据!AX81&lt;&gt;"--",固定数据!AX81,0),0, 3)</f>
        <v>--</v>
      </c>
      <c r="AA84" s="2" cm="1">
        <f t="array" ref="AA84">计算得分(INDEX([1]Sheet1!$AC:$AC, MATCH(A84, [1]Sheet1!$B:$B,0)), 固定数据!AZ81, 固定数据!BA81, 0.04, IF(固定数据!AZ81&lt;&gt;"--",固定数据!AZ81,0),0, 3)</f>
        <v>100</v>
      </c>
      <c r="AB84" s="2" cm="1">
        <f t="array" ref="AB84">计算得分(INDEX([1]Sheet1!$AD:$AD, MATCH(A84, [1]Sheet1!$B:$B,0)), 固定数据!BB81, 固定数据!BC81, 0.03, IF(固定数据!BB81&lt;&gt;"--",固定数据!BB81,0),0, 3)</f>
        <v>100</v>
      </c>
      <c r="AC84" s="2" cm="1">
        <f t="array" ref="AC84">计算得分(INDEX([1]Sheet1!$AE:$AE, MATCH(A84, [1]Sheet1!$B:$B,0)), 固定数据!BD81, 固定数据!BE81, 0.04, IF(固定数据!BD81&lt;&gt;"--",固定数据!BD81,0),0, 3)</f>
        <v>100</v>
      </c>
      <c r="AD84" s="2" t="str" cm="1">
        <f t="array" ref="AD84">计算得分(INDEX([1]Sheet1!$L:$L, MATCH(A84, [1]Sheet1!$B:$B,0)), 固定数据!BF81, 固定数据!BG81, 0.1, 12.5,0, 3)</f>
        <v>--</v>
      </c>
      <c r="AE84" s="2" t="str" cm="1">
        <f t="array" ref="AE84">计算得分(INDEX([1]Sheet1!$N:$N, MATCH(A84, [1]Sheet1!$B:$B,0)), 固定数据!BH81, 固定数据!BI81, 0.2, 7,0, 0)</f>
        <v>--</v>
      </c>
      <c r="AF84" s="2" t="str" cm="1">
        <f t="array" ref="AF84">计算得分(INDEX([1]Sheet1!$Q:$Q, MATCH(A84, [1]Sheet1!$B:$B,0)), 固定数据!BJ81, 固定数据!BK81, 0.2, 7,0, 0)</f>
        <v>--</v>
      </c>
      <c r="AG84" s="2" t="str" cm="1">
        <f t="array" ref="AG84">计算得分(INDEX([1]Sheet1!$S:$S, MATCH(A84, [1]Sheet1!$B:$B,0)), 固定数据!BL81, 固定数据!BM81, 0.2, 20,0, 0)</f>
        <v>--</v>
      </c>
      <c r="AH84" s="6" t="str" cm="1">
        <f t="array" ref="AH84">计算得分(INDEX([1]Sheet1!$AF:$AF, MATCH(A84, [1]Sheet1!$B:$B,0)), 固定数据!BN81, 固定数据!BO81, 0.1, 10,0, 3)</f>
        <v>--</v>
      </c>
      <c r="AI84" s="2" cm="1">
        <f t="array" ref="AI84">计算得分(INDEX([1]Sheet1!$M:$M, MATCH(A84, [1]Sheet1!$B:$B,0)), 固定数据!BP81, 固定数据!BQ81, 0.15, 15,0, 3)</f>
        <v>0</v>
      </c>
      <c r="AJ84" s="2" cm="1">
        <f t="array" ref="AJ84">计算得分(INDEX([1]Sheet1!$Z:$Z, MATCH(A84, [1]Sheet1!$B:$B,0)), 固定数据!BR81, 固定数据!BS81, 10, 50,0, 0)</f>
        <v>0</v>
      </c>
      <c r="AK84" s="2" cm="1">
        <f t="array" ref="AK84">计算得分(INDEX([1]Sheet1!$O:$O, MATCH(A84, [1]Sheet1!$B:$B,0)), 固定数据!BT81, 固定数据!BU81, 0.2, 15,0, 0)</f>
        <v>0</v>
      </c>
      <c r="AL84" s="2" cm="1">
        <f t="array" ref="AL84">计算得分(INDEX([1]Sheet1!$R:$R, MATCH(A84, [1]Sheet1!$B:$B,0)), 固定数据!BV81, 固定数据!BW81, 0.2, 10,0, 0)</f>
        <v>0</v>
      </c>
      <c r="AM84" s="2" cm="1">
        <f t="array" ref="AM84">计算得分(INDEX([1]Sheet1!$T:$T, MATCH(A84, [1]Sheet1!$B:$B,0)), 固定数据!BX81, 固定数据!BY81, 0.2, 30,0, 0)</f>
        <v>0</v>
      </c>
      <c r="AN84" s="2" t="str" cm="1">
        <f t="array" ref="AN84">计算得分([3]Sheet1!$F$3, 固定数据!BZ81, 固定数据!CA81, 0.5, 15,0, 0)</f>
        <v>--</v>
      </c>
      <c r="AO84" s="6" t="str" cm="1">
        <f t="array" ref="AO84">计算得分([3]Sheet1!$G$3, 固定数据!CB81, 固定数据!CC81, 0.01, 5,0, 1)</f>
        <v>--</v>
      </c>
      <c r="AP84" s="6" t="str" cm="1">
        <f t="array" ref="AP84">计算得分([3]Sheet1!$H$3, 固定数据!CD81, 固定数据!CE81, 0.001, 5,0, 1)</f>
        <v>--</v>
      </c>
      <c r="AQ84" s="6" t="str" cm="1">
        <f t="array" ref="AQ84">计算得分([3]Sheet1!$D$3,固定数据!CF81,固定数据!CG81,0.05,5,0,3)</f>
        <v>--</v>
      </c>
      <c r="AR84" s="6" t="str" cm="1">
        <f t="array" ref="AR84">计算得分([3]Sheet1!$E$3,固定数据!CH81,固定数据!CI81,0.1,10,0,3)</f>
        <v>--</v>
      </c>
      <c r="AS84" s="7" t="s">
        <v>74</v>
      </c>
      <c r="AT84" s="6" t="str" cm="1">
        <f t="array" ref="AT84">计算得分(INDEX([3]Sheet1!$J:$J, MATCH(A84, [3]Sheet1!$B:$B,0)), 固定数据!CL81, 固定数据!CM81, 2, 0,-10, 0)</f>
        <v>--</v>
      </c>
      <c r="AU84" s="2" t="str" cm="1">
        <f t="array" ref="AU84">计算得分(INDEX([3]Sheet1!$K:$K, MATCH(A84, [3]Sheet1!$B:$B,0)), 固定数据!CN81, 固定数据!CO81, 3, 0,-10, 0)</f>
        <v>--</v>
      </c>
      <c r="AV84" s="2" t="str" cm="1">
        <f t="array" ref="AV84">计算得分(INDEX([3]Sheet1!$L:$L, MATCH(A84, [3]Sheet1!$B:$B,0)), 固定数据!CP81, 固定数据!CQ81, 3, 0,-10, 0)</f>
        <v>--</v>
      </c>
      <c r="AW84" s="2" t="str" cm="1">
        <f t="array" ref="AW84">计算得分(INDEX([3]Sheet1!$M:$M, MATCH(A84, [3]Sheet1!$B:$B,0)), 固定数据!CR81, 固定数据!CS81, 100, 0,-100, 0)</f>
        <v>--</v>
      </c>
      <c r="AX84" s="2" t="str" cm="1">
        <f t="array" ref="AX84">计算得分(INDEX([3]Sheet1!$N:$N, MATCH(A84, [3]Sheet1!$B:$B,0)), 固定数据!CT81, 固定数据!CU81, 3, 0,-10, 0)</f>
        <v>--</v>
      </c>
      <c r="AY84" s="7" t="s">
        <v>74</v>
      </c>
      <c r="AZ84" s="7" t="s">
        <v>74</v>
      </c>
      <c r="BA84" s="2" t="str">
        <f>IFERROR(VLOOKUP(A84,[4]KPI评分!B:C,2,FALSE)*60%,"--")</f>
        <v>--</v>
      </c>
    </row>
  </sheetData>
  <mergeCells count="56">
    <mergeCell ref="AS4:AS5"/>
    <mergeCell ref="AT4:AT5"/>
    <mergeCell ref="AZ4:AZ5"/>
    <mergeCell ref="AU4:AU5"/>
    <mergeCell ref="AV4:AV5"/>
    <mergeCell ref="AW4:AW5"/>
    <mergeCell ref="AX4:AX5"/>
    <mergeCell ref="AY4:AY5"/>
    <mergeCell ref="AN4:AN5"/>
    <mergeCell ref="AO4:AO5"/>
    <mergeCell ref="AP4:AP5"/>
    <mergeCell ref="AQ4:AQ5"/>
    <mergeCell ref="AR4:AR5"/>
    <mergeCell ref="A1:A3"/>
    <mergeCell ref="AK4:AK5"/>
    <mergeCell ref="AL4:AL5"/>
    <mergeCell ref="AM4:AM5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U4:U5"/>
    <mergeCell ref="V4:V5"/>
    <mergeCell ref="W4:W5"/>
    <mergeCell ref="X4:X5"/>
    <mergeCell ref="O4:O5"/>
    <mergeCell ref="P4:P5"/>
    <mergeCell ref="Q4:Q5"/>
    <mergeCell ref="R4:R5"/>
    <mergeCell ref="S4:S5"/>
    <mergeCell ref="BA4:BA5"/>
    <mergeCell ref="B1:BA1"/>
    <mergeCell ref="B2:BA3"/>
    <mergeCell ref="AI4:AI5"/>
    <mergeCell ref="AJ4:AJ5"/>
    <mergeCell ref="AD4:AD5"/>
    <mergeCell ref="AE4:AE5"/>
    <mergeCell ref="AF4:AF5"/>
    <mergeCell ref="AG4:AG5"/>
    <mergeCell ref="AH4:AH5"/>
    <mergeCell ref="Y4:Y5"/>
    <mergeCell ref="Z4:Z5"/>
    <mergeCell ref="AA4:AA5"/>
    <mergeCell ref="AB4:AB5"/>
    <mergeCell ref="AC4:AC5"/>
    <mergeCell ref="T4:T5"/>
  </mergeCells>
  <phoneticPr fontId="1" type="noConversion"/>
  <pageMargins left="0.74803149999999996" right="0.74803149999999996" top="0.98425200000000002" bottom="0.98425200000000002" header="0.3" footer="0.3"/>
  <pageSetup paperSize="25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CB19-C143-4CC0-8512-3C07E3245710}">
  <sheetPr codeName="Sheet2"/>
  <dimension ref="A1:CY81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G2" sqref="CG2"/>
    </sheetView>
  </sheetViews>
  <sheetFormatPr defaultRowHeight="13.8" x14ac:dyDescent="0.25"/>
  <cols>
    <col min="1" max="1" width="14.625" bestFit="1" customWidth="1"/>
    <col min="2" max="2" width="25.25" bestFit="1" customWidth="1"/>
    <col min="3" max="5" width="25.25" customWidth="1"/>
    <col min="6" max="6" width="21" bestFit="1" customWidth="1"/>
    <col min="7" max="7" width="21" customWidth="1"/>
    <col min="8" max="8" width="13.875" bestFit="1" customWidth="1"/>
    <col min="9" max="9" width="13.875" customWidth="1"/>
    <col min="10" max="10" width="13.875" bestFit="1" customWidth="1"/>
    <col min="11" max="11" width="13.875" customWidth="1"/>
    <col min="12" max="12" width="13.875" bestFit="1" customWidth="1"/>
    <col min="13" max="13" width="13.875" customWidth="1"/>
    <col min="14" max="14" width="26.625" bestFit="1" customWidth="1"/>
    <col min="15" max="15" width="26.625" customWidth="1"/>
    <col min="16" max="16" width="29.75" bestFit="1" customWidth="1"/>
    <col min="17" max="17" width="29.75" customWidth="1"/>
    <col min="18" max="18" width="26.625" bestFit="1" customWidth="1"/>
    <col min="19" max="19" width="26.625" customWidth="1"/>
    <col min="20" max="20" width="20.25" bestFit="1" customWidth="1"/>
    <col min="21" max="21" width="20.25" customWidth="1"/>
    <col min="22" max="22" width="23.375" bestFit="1" customWidth="1"/>
    <col min="23" max="23" width="23.375" customWidth="1"/>
    <col min="24" max="24" width="17" bestFit="1" customWidth="1"/>
    <col min="25" max="25" width="17" customWidth="1"/>
    <col min="26" max="26" width="23.375" bestFit="1" customWidth="1"/>
    <col min="27" max="27" width="23.375" customWidth="1"/>
    <col min="28" max="28" width="29.75" bestFit="1" customWidth="1"/>
    <col min="29" max="29" width="29.75" customWidth="1"/>
    <col min="30" max="30" width="33" bestFit="1" customWidth="1"/>
    <col min="31" max="31" width="33" customWidth="1"/>
    <col min="32" max="32" width="29.75" bestFit="1" customWidth="1"/>
    <col min="33" max="33" width="29.75" customWidth="1"/>
    <col min="34" max="34" width="13.875" bestFit="1" customWidth="1"/>
    <col min="35" max="35" width="13.875" customWidth="1"/>
    <col min="36" max="36" width="13.875" bestFit="1" customWidth="1"/>
    <col min="37" max="37" width="13.875" customWidth="1"/>
    <col min="38" max="38" width="17" bestFit="1" customWidth="1"/>
    <col min="39" max="39" width="17" customWidth="1"/>
    <col min="40" max="40" width="17" bestFit="1" customWidth="1"/>
    <col min="41" max="41" width="17" customWidth="1"/>
    <col min="42" max="42" width="17" bestFit="1" customWidth="1"/>
    <col min="43" max="43" width="17" customWidth="1"/>
    <col min="44" max="44" width="20.25" bestFit="1" customWidth="1"/>
    <col min="45" max="45" width="20.25" customWidth="1"/>
    <col min="46" max="46" width="20.25" bestFit="1" customWidth="1"/>
    <col min="47" max="47" width="20.25" customWidth="1"/>
    <col min="48" max="48" width="20.25" bestFit="1" customWidth="1"/>
    <col min="49" max="49" width="20.25" customWidth="1"/>
    <col min="50" max="50" width="20.25" bestFit="1" customWidth="1"/>
    <col min="51" max="51" width="20.25" customWidth="1"/>
    <col min="52" max="52" width="20.25" bestFit="1" customWidth="1"/>
    <col min="53" max="53" width="20.25" customWidth="1"/>
    <col min="54" max="54" width="20.25" bestFit="1" customWidth="1"/>
    <col min="55" max="55" width="20.25" customWidth="1"/>
    <col min="56" max="56" width="20.25" bestFit="1" customWidth="1"/>
    <col min="57" max="57" width="20.25" customWidth="1"/>
    <col min="58" max="58" width="23.375" bestFit="1" customWidth="1"/>
    <col min="59" max="59" width="23.375" customWidth="1"/>
    <col min="60" max="60" width="33" bestFit="1" customWidth="1"/>
    <col min="61" max="61" width="33" customWidth="1"/>
    <col min="62" max="62" width="23.375" bestFit="1" customWidth="1"/>
    <col min="63" max="63" width="23.375" customWidth="1"/>
    <col min="64" max="64" width="23.375" bestFit="1" customWidth="1"/>
    <col min="65" max="65" width="23.375" customWidth="1"/>
    <col min="66" max="66" width="23.375" bestFit="1" customWidth="1"/>
    <col min="67" max="67" width="23.375" customWidth="1"/>
    <col min="68" max="68" width="23.375" bestFit="1" customWidth="1"/>
    <col min="69" max="69" width="23.375" customWidth="1"/>
    <col min="70" max="70" width="26.625" bestFit="1" customWidth="1"/>
    <col min="71" max="71" width="26.625" customWidth="1"/>
    <col min="72" max="72" width="33" bestFit="1" customWidth="1"/>
    <col min="73" max="73" width="33" customWidth="1"/>
    <col min="74" max="74" width="23.375" bestFit="1" customWidth="1"/>
    <col min="75" max="75" width="23.375" customWidth="1"/>
    <col min="76" max="76" width="23.375" bestFit="1" customWidth="1"/>
    <col min="77" max="77" width="23.375" customWidth="1"/>
    <col min="78" max="78" width="23.375" bestFit="1" customWidth="1"/>
    <col min="79" max="79" width="23.375" customWidth="1"/>
    <col min="80" max="80" width="20.25" bestFit="1" customWidth="1"/>
    <col min="81" max="81" width="20.25" customWidth="1"/>
    <col min="82" max="82" width="20.25" bestFit="1" customWidth="1"/>
    <col min="83" max="83" width="20.25" customWidth="1"/>
    <col min="84" max="84" width="29.75" bestFit="1" customWidth="1"/>
    <col min="85" max="85" width="29.75" customWidth="1"/>
    <col min="86" max="86" width="29.75" bestFit="1" customWidth="1"/>
    <col min="87" max="87" width="29.75" customWidth="1"/>
    <col min="88" max="88" width="39.375" bestFit="1" customWidth="1"/>
    <col min="89" max="89" width="39.375" customWidth="1"/>
    <col min="90" max="90" width="20.25" bestFit="1" customWidth="1"/>
    <col min="91" max="91" width="20.25" customWidth="1"/>
    <col min="92" max="92" width="17" bestFit="1" customWidth="1"/>
    <col min="93" max="93" width="17" customWidth="1"/>
    <col min="94" max="94" width="34.125" bestFit="1" customWidth="1"/>
    <col min="95" max="95" width="34.125" customWidth="1"/>
    <col min="96" max="96" width="33" bestFit="1" customWidth="1"/>
    <col min="97" max="97" width="33" customWidth="1"/>
    <col min="98" max="98" width="36.125" bestFit="1" customWidth="1"/>
    <col min="99" max="99" width="36.125" customWidth="1"/>
    <col min="100" max="100" width="20.25" bestFit="1" customWidth="1"/>
    <col min="101" max="101" width="20.25" customWidth="1"/>
    <col min="102" max="102" width="26.625" bestFit="1" customWidth="1"/>
    <col min="103" max="103" width="19.75" customWidth="1"/>
  </cols>
  <sheetData>
    <row r="1" spans="1:103" ht="13.8" customHeight="1" x14ac:dyDescent="0.25">
      <c r="A1" s="9" t="s">
        <v>154</v>
      </c>
      <c r="B1" s="9" t="s">
        <v>2</v>
      </c>
      <c r="C1" s="16"/>
      <c r="D1" s="9" t="s">
        <v>3</v>
      </c>
      <c r="E1" s="16"/>
      <c r="F1" s="9" t="s">
        <v>4</v>
      </c>
      <c r="G1" s="16"/>
      <c r="H1" s="9" t="s">
        <v>5</v>
      </c>
      <c r="I1" s="16"/>
      <c r="J1" s="9" t="s">
        <v>6</v>
      </c>
      <c r="K1" s="16"/>
      <c r="L1" s="9" t="s">
        <v>7</v>
      </c>
      <c r="M1" s="16"/>
      <c r="N1" s="9" t="s">
        <v>8</v>
      </c>
      <c r="O1" s="16"/>
      <c r="P1" s="9" t="s">
        <v>9</v>
      </c>
      <c r="Q1" s="16"/>
      <c r="R1" s="9" t="s">
        <v>10</v>
      </c>
      <c r="S1" s="16"/>
      <c r="T1" s="9" t="s">
        <v>11</v>
      </c>
      <c r="U1" s="16"/>
      <c r="V1" s="9" t="s">
        <v>12</v>
      </c>
      <c r="W1" s="16"/>
      <c r="X1" s="9" t="s">
        <v>13</v>
      </c>
      <c r="Y1" s="16"/>
      <c r="Z1" s="9" t="s">
        <v>14</v>
      </c>
      <c r="AA1" s="16"/>
      <c r="AB1" s="9" t="s">
        <v>15</v>
      </c>
      <c r="AC1" s="16"/>
      <c r="AD1" s="9" t="s">
        <v>16</v>
      </c>
      <c r="AE1" s="16"/>
      <c r="AF1" s="9" t="s">
        <v>17</v>
      </c>
      <c r="AG1" s="16"/>
      <c r="AH1" s="9" t="s">
        <v>18</v>
      </c>
      <c r="AI1" s="16"/>
      <c r="AJ1" s="9" t="s">
        <v>19</v>
      </c>
      <c r="AK1" s="16"/>
      <c r="AL1" s="9" t="s">
        <v>20</v>
      </c>
      <c r="AM1" s="16"/>
      <c r="AN1" s="9" t="s">
        <v>21</v>
      </c>
      <c r="AO1" s="16"/>
      <c r="AP1" s="9" t="s">
        <v>22</v>
      </c>
      <c r="AQ1" s="16"/>
      <c r="AR1" s="9" t="s">
        <v>23</v>
      </c>
      <c r="AS1" s="16"/>
      <c r="AT1" s="9" t="s">
        <v>24</v>
      </c>
      <c r="AU1" s="16"/>
      <c r="AV1" s="9" t="s">
        <v>25</v>
      </c>
      <c r="AW1" s="16"/>
      <c r="AX1" s="9" t="s">
        <v>26</v>
      </c>
      <c r="AY1" s="16"/>
      <c r="AZ1" s="9" t="s">
        <v>27</v>
      </c>
      <c r="BA1" s="16"/>
      <c r="BB1" s="9" t="s">
        <v>28</v>
      </c>
      <c r="BC1" s="16"/>
      <c r="BD1" s="9" t="s">
        <v>29</v>
      </c>
      <c r="BE1" s="16"/>
      <c r="BF1" s="9" t="s">
        <v>30</v>
      </c>
      <c r="BG1" s="16"/>
      <c r="BH1" s="9" t="s">
        <v>31</v>
      </c>
      <c r="BI1" s="16"/>
      <c r="BJ1" s="9" t="s">
        <v>32</v>
      </c>
      <c r="BK1" s="16"/>
      <c r="BL1" s="9" t="s">
        <v>33</v>
      </c>
      <c r="BM1" s="16"/>
      <c r="BN1" s="9" t="s">
        <v>34</v>
      </c>
      <c r="BO1" s="16"/>
      <c r="BP1" s="9" t="s">
        <v>35</v>
      </c>
      <c r="BQ1" s="16"/>
      <c r="BR1" s="9" t="s">
        <v>36</v>
      </c>
      <c r="BS1" s="16"/>
      <c r="BT1" s="9" t="s">
        <v>37</v>
      </c>
      <c r="BU1" s="16"/>
      <c r="BV1" s="9" t="s">
        <v>38</v>
      </c>
      <c r="BW1" s="16"/>
      <c r="BX1" s="9" t="s">
        <v>39</v>
      </c>
      <c r="BY1" s="16"/>
      <c r="BZ1" s="9" t="s">
        <v>40</v>
      </c>
      <c r="CA1" s="16"/>
      <c r="CB1" s="9" t="s">
        <v>41</v>
      </c>
      <c r="CC1" s="16"/>
      <c r="CD1" s="9" t="s">
        <v>42</v>
      </c>
      <c r="CE1" s="16"/>
      <c r="CF1" s="9" t="s">
        <v>43</v>
      </c>
      <c r="CG1" s="16"/>
      <c r="CH1" s="9" t="s">
        <v>44</v>
      </c>
      <c r="CI1" s="16"/>
      <c r="CJ1" s="9" t="s">
        <v>45</v>
      </c>
      <c r="CK1" s="16"/>
      <c r="CL1" s="9" t="s">
        <v>46</v>
      </c>
      <c r="CM1" s="16"/>
      <c r="CN1" s="9" t="s">
        <v>47</v>
      </c>
      <c r="CO1" s="16"/>
      <c r="CP1" s="9" t="s">
        <v>48</v>
      </c>
      <c r="CQ1" s="16"/>
      <c r="CR1" s="9" t="s">
        <v>49</v>
      </c>
      <c r="CS1" s="16"/>
      <c r="CT1" s="9" t="s">
        <v>50</v>
      </c>
      <c r="CU1" s="16"/>
      <c r="CV1" s="9" t="s">
        <v>51</v>
      </c>
      <c r="CW1" s="16"/>
      <c r="CX1" s="9" t="s">
        <v>52</v>
      </c>
      <c r="CY1" s="16"/>
    </row>
    <row r="2" spans="1:103" ht="13.8" customHeight="1" x14ac:dyDescent="0.25">
      <c r="A2" s="10"/>
      <c r="B2" s="5" t="s">
        <v>53</v>
      </c>
      <c r="C2" s="5" t="s">
        <v>54</v>
      </c>
      <c r="D2" s="5" t="s">
        <v>53</v>
      </c>
      <c r="E2" s="5" t="s">
        <v>54</v>
      </c>
      <c r="F2" s="5" t="s">
        <v>53</v>
      </c>
      <c r="G2" s="5" t="s">
        <v>54</v>
      </c>
      <c r="H2" s="5" t="s">
        <v>53</v>
      </c>
      <c r="I2" s="5" t="s">
        <v>54</v>
      </c>
      <c r="J2" s="5" t="s">
        <v>53</v>
      </c>
      <c r="K2" s="5" t="s">
        <v>54</v>
      </c>
      <c r="L2" s="5" t="s">
        <v>53</v>
      </c>
      <c r="M2" s="5" t="s">
        <v>54</v>
      </c>
      <c r="N2" s="5" t="s">
        <v>53</v>
      </c>
      <c r="O2" s="5" t="s">
        <v>54</v>
      </c>
      <c r="P2" s="5" t="s">
        <v>53</v>
      </c>
      <c r="Q2" s="5" t="s">
        <v>54</v>
      </c>
      <c r="R2" s="5" t="s">
        <v>53</v>
      </c>
      <c r="S2" s="5" t="s">
        <v>54</v>
      </c>
      <c r="T2" s="5" t="s">
        <v>53</v>
      </c>
      <c r="U2" s="5" t="s">
        <v>54</v>
      </c>
      <c r="V2" s="5" t="s">
        <v>53</v>
      </c>
      <c r="W2" s="5" t="s">
        <v>54</v>
      </c>
      <c r="X2" s="5" t="s">
        <v>53</v>
      </c>
      <c r="Y2" s="5" t="s">
        <v>54</v>
      </c>
      <c r="Z2" s="5" t="s">
        <v>53</v>
      </c>
      <c r="AA2" s="5" t="s">
        <v>54</v>
      </c>
      <c r="AB2" s="5" t="s">
        <v>53</v>
      </c>
      <c r="AC2" s="5" t="s">
        <v>54</v>
      </c>
      <c r="AD2" s="5" t="s">
        <v>53</v>
      </c>
      <c r="AE2" s="5" t="s">
        <v>54</v>
      </c>
      <c r="AF2" s="5" t="s">
        <v>53</v>
      </c>
      <c r="AG2" s="5" t="s">
        <v>54</v>
      </c>
      <c r="AH2" s="5" t="s">
        <v>53</v>
      </c>
      <c r="AI2" s="5" t="s">
        <v>54</v>
      </c>
      <c r="AJ2" s="5" t="s">
        <v>53</v>
      </c>
      <c r="AK2" s="5" t="s">
        <v>54</v>
      </c>
      <c r="AL2" s="5" t="s">
        <v>53</v>
      </c>
      <c r="AM2" s="5" t="s">
        <v>54</v>
      </c>
      <c r="AN2" s="5" t="s">
        <v>53</v>
      </c>
      <c r="AO2" s="5" t="s">
        <v>54</v>
      </c>
      <c r="AP2" s="5" t="s">
        <v>53</v>
      </c>
      <c r="AQ2" s="5" t="s">
        <v>54</v>
      </c>
      <c r="AR2" s="5" t="s">
        <v>53</v>
      </c>
      <c r="AS2" s="5" t="s">
        <v>54</v>
      </c>
      <c r="AT2" s="5" t="s">
        <v>53</v>
      </c>
      <c r="AU2" s="5" t="s">
        <v>54</v>
      </c>
      <c r="AV2" s="5" t="s">
        <v>53</v>
      </c>
      <c r="AW2" s="5" t="s">
        <v>54</v>
      </c>
      <c r="AX2" s="5" t="s">
        <v>53</v>
      </c>
      <c r="AY2" s="5" t="s">
        <v>54</v>
      </c>
      <c r="AZ2" s="5" t="s">
        <v>53</v>
      </c>
      <c r="BA2" s="5" t="s">
        <v>54</v>
      </c>
      <c r="BB2" s="5" t="s">
        <v>53</v>
      </c>
      <c r="BC2" s="5" t="s">
        <v>54</v>
      </c>
      <c r="BD2" s="5" t="s">
        <v>53</v>
      </c>
      <c r="BE2" s="5" t="s">
        <v>54</v>
      </c>
      <c r="BF2" s="5" t="s">
        <v>53</v>
      </c>
      <c r="BG2" s="5" t="s">
        <v>54</v>
      </c>
      <c r="BH2" s="5" t="s">
        <v>53</v>
      </c>
      <c r="BI2" s="5" t="s">
        <v>54</v>
      </c>
      <c r="BJ2" s="5" t="s">
        <v>53</v>
      </c>
      <c r="BK2" s="5" t="s">
        <v>54</v>
      </c>
      <c r="BL2" s="5" t="s">
        <v>53</v>
      </c>
      <c r="BM2" s="5" t="s">
        <v>54</v>
      </c>
      <c r="BN2" s="5" t="s">
        <v>53</v>
      </c>
      <c r="BO2" s="5" t="s">
        <v>54</v>
      </c>
      <c r="BP2" s="5" t="s">
        <v>53</v>
      </c>
      <c r="BQ2" s="5" t="s">
        <v>54</v>
      </c>
      <c r="BR2" s="5" t="s">
        <v>53</v>
      </c>
      <c r="BS2" s="5" t="s">
        <v>54</v>
      </c>
      <c r="BT2" s="5" t="s">
        <v>53</v>
      </c>
      <c r="BU2" s="5" t="s">
        <v>54</v>
      </c>
      <c r="BV2" s="5" t="s">
        <v>53</v>
      </c>
      <c r="BW2" s="5" t="s">
        <v>54</v>
      </c>
      <c r="BX2" s="5" t="s">
        <v>53</v>
      </c>
      <c r="BY2" s="5" t="s">
        <v>54</v>
      </c>
      <c r="BZ2" s="5" t="s">
        <v>53</v>
      </c>
      <c r="CA2" s="5" t="s">
        <v>54</v>
      </c>
      <c r="CB2" s="5" t="s">
        <v>53</v>
      </c>
      <c r="CC2" s="5" t="s">
        <v>54</v>
      </c>
      <c r="CD2" s="5" t="s">
        <v>53</v>
      </c>
      <c r="CE2" s="5" t="s">
        <v>54</v>
      </c>
      <c r="CF2" s="5" t="s">
        <v>53</v>
      </c>
      <c r="CG2" s="5" t="s">
        <v>54</v>
      </c>
      <c r="CH2" s="5" t="s">
        <v>53</v>
      </c>
      <c r="CI2" s="5" t="s">
        <v>54</v>
      </c>
      <c r="CJ2" s="5" t="s">
        <v>53</v>
      </c>
      <c r="CK2" s="5" t="s">
        <v>54</v>
      </c>
      <c r="CL2" s="5" t="s">
        <v>53</v>
      </c>
      <c r="CM2" s="5" t="s">
        <v>54</v>
      </c>
      <c r="CN2" s="5" t="s">
        <v>53</v>
      </c>
      <c r="CO2" s="5" t="s">
        <v>54</v>
      </c>
      <c r="CP2" s="5" t="s">
        <v>53</v>
      </c>
      <c r="CQ2" s="5" t="s">
        <v>54</v>
      </c>
      <c r="CR2" s="5" t="s">
        <v>53</v>
      </c>
      <c r="CS2" s="5" t="s">
        <v>54</v>
      </c>
      <c r="CT2" s="5" t="s">
        <v>53</v>
      </c>
      <c r="CU2" s="5" t="s">
        <v>54</v>
      </c>
      <c r="CV2" s="5" t="s">
        <v>53</v>
      </c>
      <c r="CW2" s="5" t="s">
        <v>54</v>
      </c>
      <c r="CX2" s="5" t="s">
        <v>53</v>
      </c>
      <c r="CY2" s="5" t="s">
        <v>54</v>
      </c>
    </row>
    <row r="3" spans="1:103" ht="34.799999999999997" x14ac:dyDescent="0.25">
      <c r="A3" s="1" t="s">
        <v>73</v>
      </c>
      <c r="B3" s="2" t="s">
        <v>74</v>
      </c>
      <c r="C3" s="2" t="s">
        <v>74</v>
      </c>
      <c r="D3" s="2" t="s">
        <v>74</v>
      </c>
      <c r="E3" s="2" t="s">
        <v>74</v>
      </c>
      <c r="F3" s="2" t="s">
        <v>74</v>
      </c>
      <c r="G3" s="2" t="s">
        <v>74</v>
      </c>
      <c r="H3" s="2" t="s">
        <v>74</v>
      </c>
      <c r="I3" s="2" t="s">
        <v>74</v>
      </c>
      <c r="J3" s="2" t="s">
        <v>74</v>
      </c>
      <c r="K3" s="2" t="s">
        <v>74</v>
      </c>
      <c r="L3" s="2" t="s">
        <v>74</v>
      </c>
      <c r="M3" s="2" t="s">
        <v>74</v>
      </c>
      <c r="N3" s="2" t="s">
        <v>74</v>
      </c>
      <c r="O3" s="2" t="s">
        <v>74</v>
      </c>
      <c r="P3" s="2" t="s">
        <v>74</v>
      </c>
      <c r="Q3" s="2" t="s">
        <v>74</v>
      </c>
      <c r="R3" s="2" t="s">
        <v>74</v>
      </c>
      <c r="S3" s="2" t="s">
        <v>74</v>
      </c>
      <c r="T3" s="2" t="s">
        <v>74</v>
      </c>
      <c r="U3" s="2" t="s">
        <v>74</v>
      </c>
      <c r="V3" s="2" t="s">
        <v>74</v>
      </c>
      <c r="W3" s="2" t="s">
        <v>74</v>
      </c>
      <c r="X3" s="2" t="s">
        <v>74</v>
      </c>
      <c r="Y3" s="2" t="s">
        <v>74</v>
      </c>
      <c r="Z3" s="2" t="s">
        <v>74</v>
      </c>
      <c r="AA3" s="2" t="s">
        <v>74</v>
      </c>
      <c r="AB3" s="2" t="s">
        <v>74</v>
      </c>
      <c r="AC3" s="2" t="s">
        <v>74</v>
      </c>
      <c r="AD3" s="2" t="s">
        <v>74</v>
      </c>
      <c r="AE3" s="2" t="s">
        <v>74</v>
      </c>
      <c r="AF3" s="2" t="s">
        <v>74</v>
      </c>
      <c r="AG3" s="2" t="s">
        <v>74</v>
      </c>
      <c r="AH3" s="2" t="s">
        <v>74</v>
      </c>
      <c r="AI3" s="2" t="s">
        <v>74</v>
      </c>
      <c r="AJ3" s="2" t="s">
        <v>74</v>
      </c>
      <c r="AK3" s="2" t="s">
        <v>74</v>
      </c>
      <c r="AL3" s="2" t="s">
        <v>74</v>
      </c>
      <c r="AM3" s="2" t="s">
        <v>74</v>
      </c>
      <c r="AN3" s="2" t="s">
        <v>74</v>
      </c>
      <c r="AO3" s="2" t="s">
        <v>74</v>
      </c>
      <c r="AP3" s="2" t="s">
        <v>74</v>
      </c>
      <c r="AQ3" s="2" t="s">
        <v>74</v>
      </c>
      <c r="AR3" s="2" t="s">
        <v>74</v>
      </c>
      <c r="AS3" s="2" t="s">
        <v>74</v>
      </c>
      <c r="AT3" s="2" t="s">
        <v>74</v>
      </c>
      <c r="AU3" s="2" t="s">
        <v>74</v>
      </c>
      <c r="AV3" s="2" t="s">
        <v>74</v>
      </c>
      <c r="AW3" s="2" t="s">
        <v>74</v>
      </c>
      <c r="AX3" s="2" t="s">
        <v>74</v>
      </c>
      <c r="AY3" s="2" t="s">
        <v>74</v>
      </c>
      <c r="AZ3" s="2" t="s">
        <v>74</v>
      </c>
      <c r="BA3" s="2" t="s">
        <v>74</v>
      </c>
      <c r="BB3" s="2" t="s">
        <v>74</v>
      </c>
      <c r="BC3" s="2" t="s">
        <v>74</v>
      </c>
      <c r="BD3" s="2" t="s">
        <v>74</v>
      </c>
      <c r="BE3" s="2" t="s">
        <v>74</v>
      </c>
      <c r="BF3" s="2" t="s">
        <v>74</v>
      </c>
      <c r="BG3" s="2" t="s">
        <v>74</v>
      </c>
      <c r="BH3" s="2" t="s">
        <v>74</v>
      </c>
      <c r="BI3" s="2" t="s">
        <v>74</v>
      </c>
      <c r="BJ3" s="2" t="s">
        <v>74</v>
      </c>
      <c r="BK3" s="2" t="s">
        <v>74</v>
      </c>
      <c r="BL3" s="2" t="s">
        <v>74</v>
      </c>
      <c r="BM3" s="2" t="s">
        <v>74</v>
      </c>
      <c r="BN3" s="2" t="s">
        <v>74</v>
      </c>
      <c r="BO3" s="2" t="s">
        <v>74</v>
      </c>
      <c r="BP3" s="2" t="s">
        <v>74</v>
      </c>
      <c r="BQ3" s="2" t="s">
        <v>74</v>
      </c>
      <c r="BR3" s="2" t="s">
        <v>74</v>
      </c>
      <c r="BS3" s="2" t="s">
        <v>74</v>
      </c>
      <c r="BT3" s="2" t="s">
        <v>74</v>
      </c>
      <c r="BU3" s="2" t="s">
        <v>74</v>
      </c>
      <c r="BV3" s="2" t="s">
        <v>74</v>
      </c>
      <c r="BW3" s="2" t="s">
        <v>74</v>
      </c>
      <c r="BX3" s="2" t="s">
        <v>74</v>
      </c>
      <c r="BY3" s="2" t="s">
        <v>74</v>
      </c>
      <c r="BZ3" s="2">
        <v>15</v>
      </c>
      <c r="CA3" s="2">
        <v>94.42</v>
      </c>
      <c r="CB3" s="2">
        <v>5</v>
      </c>
      <c r="CC3" s="2">
        <v>2793</v>
      </c>
      <c r="CD3" s="2">
        <v>5</v>
      </c>
      <c r="CE3" s="2">
        <v>15945</v>
      </c>
      <c r="CF3" s="2">
        <v>5</v>
      </c>
      <c r="CG3" s="2">
        <v>130.22999999999999</v>
      </c>
      <c r="CH3" s="2">
        <v>10</v>
      </c>
      <c r="CI3" s="2">
        <v>8654.5400000000009</v>
      </c>
      <c r="CJ3" s="2">
        <v>10</v>
      </c>
      <c r="CK3" s="2">
        <v>100</v>
      </c>
      <c r="CL3" s="2">
        <v>0</v>
      </c>
      <c r="CM3" s="2">
        <v>100</v>
      </c>
      <c r="CN3" s="2">
        <v>0</v>
      </c>
      <c r="CO3" s="2">
        <v>100</v>
      </c>
      <c r="CP3" s="2">
        <v>0</v>
      </c>
      <c r="CQ3" s="2">
        <v>100</v>
      </c>
      <c r="CR3" s="2">
        <v>0</v>
      </c>
      <c r="CS3" s="2">
        <v>100</v>
      </c>
      <c r="CT3" s="2">
        <v>0</v>
      </c>
      <c r="CU3" s="2">
        <v>100</v>
      </c>
      <c r="CV3" s="2" t="s">
        <v>74</v>
      </c>
      <c r="CW3" s="2" t="s">
        <v>74</v>
      </c>
      <c r="CX3" s="2" t="s">
        <v>74</v>
      </c>
      <c r="CY3" s="2" t="s">
        <v>74</v>
      </c>
    </row>
    <row r="4" spans="1:103" ht="17.399999999999999" x14ac:dyDescent="0.25">
      <c r="A4" s="3" t="s">
        <v>75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 t="s">
        <v>74</v>
      </c>
      <c r="I4" s="4" t="s">
        <v>74</v>
      </c>
      <c r="J4" s="4" t="s">
        <v>74</v>
      </c>
      <c r="K4" s="4" t="s">
        <v>74</v>
      </c>
      <c r="L4" s="4">
        <v>3</v>
      </c>
      <c r="M4" s="4">
        <v>44371.78</v>
      </c>
      <c r="N4" s="4">
        <v>0</v>
      </c>
      <c r="O4" s="4">
        <v>95</v>
      </c>
      <c r="P4" s="4">
        <v>0</v>
      </c>
      <c r="Q4" s="4">
        <v>0</v>
      </c>
      <c r="R4" s="4" t="s">
        <v>74</v>
      </c>
      <c r="S4" s="4" t="s">
        <v>74</v>
      </c>
      <c r="T4" s="4">
        <v>3</v>
      </c>
      <c r="U4" s="4">
        <v>57.96</v>
      </c>
      <c r="V4" s="4" t="s">
        <v>74</v>
      </c>
      <c r="W4" s="4" t="s">
        <v>74</v>
      </c>
      <c r="X4" s="4" t="s">
        <v>74</v>
      </c>
      <c r="Y4" s="4" t="s">
        <v>74</v>
      </c>
      <c r="Z4" s="4" t="s">
        <v>74</v>
      </c>
      <c r="AA4" s="4" t="s">
        <v>74</v>
      </c>
      <c r="AB4" s="4" t="s">
        <v>74</v>
      </c>
      <c r="AC4" s="4" t="s">
        <v>74</v>
      </c>
      <c r="AD4" s="4" t="s">
        <v>74</v>
      </c>
      <c r="AE4" s="4" t="s">
        <v>74</v>
      </c>
      <c r="AF4" s="4">
        <v>2</v>
      </c>
      <c r="AG4" s="4">
        <v>268.38</v>
      </c>
      <c r="AH4" s="4">
        <v>6</v>
      </c>
      <c r="AI4" s="4">
        <v>137</v>
      </c>
      <c r="AJ4" s="4">
        <v>6</v>
      </c>
      <c r="AK4" s="4">
        <v>370</v>
      </c>
      <c r="AL4" s="4">
        <v>3</v>
      </c>
      <c r="AM4" s="4">
        <v>95</v>
      </c>
      <c r="AN4" s="4">
        <v>3</v>
      </c>
      <c r="AO4" s="4">
        <v>11.11</v>
      </c>
      <c r="AP4" s="4">
        <v>3</v>
      </c>
      <c r="AQ4" s="4">
        <v>2.4</v>
      </c>
      <c r="AR4" s="4">
        <v>2</v>
      </c>
      <c r="AS4" s="4">
        <v>268.38</v>
      </c>
      <c r="AT4" s="4">
        <v>1.5</v>
      </c>
      <c r="AU4" s="4">
        <v>17302.36</v>
      </c>
      <c r="AV4" s="4">
        <v>5</v>
      </c>
      <c r="AW4" s="4">
        <v>95</v>
      </c>
      <c r="AX4" s="4">
        <v>5</v>
      </c>
      <c r="AY4" s="4">
        <v>95</v>
      </c>
      <c r="AZ4" s="4">
        <v>4</v>
      </c>
      <c r="BA4" s="4">
        <v>95</v>
      </c>
      <c r="BB4" s="4">
        <v>3</v>
      </c>
      <c r="BC4" s="4">
        <v>95</v>
      </c>
      <c r="BD4" s="4">
        <v>4</v>
      </c>
      <c r="BE4" s="4">
        <v>95</v>
      </c>
      <c r="BF4" s="4">
        <v>12.5</v>
      </c>
      <c r="BG4" s="4">
        <v>7558.95</v>
      </c>
      <c r="BH4" s="4">
        <v>7</v>
      </c>
      <c r="BI4" s="4">
        <v>14.72</v>
      </c>
      <c r="BJ4" s="4">
        <v>7</v>
      </c>
      <c r="BK4" s="4">
        <v>47.96</v>
      </c>
      <c r="BL4" s="4">
        <v>20</v>
      </c>
      <c r="BM4" s="4">
        <v>70.63</v>
      </c>
      <c r="BN4" s="4" t="s">
        <v>74</v>
      </c>
      <c r="BO4" s="4" t="s">
        <v>74</v>
      </c>
      <c r="BP4" s="4" t="s">
        <v>74</v>
      </c>
      <c r="BQ4" s="4" t="s">
        <v>74</v>
      </c>
      <c r="BR4" s="4">
        <v>0</v>
      </c>
      <c r="BS4" s="4">
        <v>0</v>
      </c>
      <c r="BT4" s="4" t="s">
        <v>74</v>
      </c>
      <c r="BU4" s="4" t="s">
        <v>74</v>
      </c>
      <c r="BV4" s="4" t="s">
        <v>74</v>
      </c>
      <c r="BW4" s="4" t="s">
        <v>74</v>
      </c>
      <c r="BX4" s="4" t="s">
        <v>74</v>
      </c>
      <c r="BY4" s="4" t="s">
        <v>74</v>
      </c>
      <c r="BZ4" s="4" t="s">
        <v>74</v>
      </c>
      <c r="CA4" s="4" t="s">
        <v>74</v>
      </c>
      <c r="CB4" s="4" t="s">
        <v>74</v>
      </c>
      <c r="CC4" s="4" t="s">
        <v>74</v>
      </c>
      <c r="CD4" s="4" t="s">
        <v>74</v>
      </c>
      <c r="CE4" s="4" t="s">
        <v>74</v>
      </c>
      <c r="CF4" s="4" t="s">
        <v>74</v>
      </c>
      <c r="CG4" s="4" t="s">
        <v>74</v>
      </c>
      <c r="CH4" s="4" t="s">
        <v>74</v>
      </c>
      <c r="CI4" s="4" t="s">
        <v>74</v>
      </c>
      <c r="CJ4" s="4" t="s">
        <v>74</v>
      </c>
      <c r="CK4" s="4" t="s">
        <v>74</v>
      </c>
      <c r="CL4" s="4" t="s">
        <v>74</v>
      </c>
      <c r="CM4" s="4" t="s">
        <v>74</v>
      </c>
      <c r="CN4" s="4" t="s">
        <v>74</v>
      </c>
      <c r="CO4" s="4" t="s">
        <v>74</v>
      </c>
      <c r="CP4" s="4" t="s">
        <v>74</v>
      </c>
      <c r="CQ4" s="4" t="s">
        <v>74</v>
      </c>
      <c r="CR4" s="4" t="s">
        <v>74</v>
      </c>
      <c r="CS4" s="4" t="s">
        <v>74</v>
      </c>
      <c r="CT4" s="4" t="s">
        <v>74</v>
      </c>
      <c r="CU4" s="4" t="s">
        <v>74</v>
      </c>
      <c r="CV4" s="4" t="s">
        <v>74</v>
      </c>
      <c r="CW4" s="4" t="s">
        <v>74</v>
      </c>
      <c r="CX4" s="4" t="s">
        <v>74</v>
      </c>
      <c r="CY4" s="4" t="s">
        <v>74</v>
      </c>
    </row>
    <row r="5" spans="1:103" ht="34.799999999999997" x14ac:dyDescent="0.25">
      <c r="A5" s="1" t="s">
        <v>76</v>
      </c>
      <c r="B5" s="2" t="s">
        <v>74</v>
      </c>
      <c r="C5" s="2" t="s">
        <v>74</v>
      </c>
      <c r="D5" s="2" t="s">
        <v>74</v>
      </c>
      <c r="E5" s="2" t="s">
        <v>74</v>
      </c>
      <c r="F5" s="2" t="s">
        <v>74</v>
      </c>
      <c r="G5" s="2" t="s">
        <v>74</v>
      </c>
      <c r="H5" s="2" t="s">
        <v>74</v>
      </c>
      <c r="I5" s="2" t="s">
        <v>74</v>
      </c>
      <c r="J5" s="2" t="s">
        <v>74</v>
      </c>
      <c r="K5" s="2" t="s">
        <v>74</v>
      </c>
      <c r="L5" s="2" t="s">
        <v>74</v>
      </c>
      <c r="M5" s="2" t="s">
        <v>74</v>
      </c>
      <c r="N5" s="2" t="s">
        <v>74</v>
      </c>
      <c r="O5" s="2" t="s">
        <v>74</v>
      </c>
      <c r="P5" s="2" t="s">
        <v>74</v>
      </c>
      <c r="Q5" s="2" t="s">
        <v>74</v>
      </c>
      <c r="R5" s="2" t="s">
        <v>74</v>
      </c>
      <c r="S5" s="2" t="s">
        <v>74</v>
      </c>
      <c r="T5" s="2" t="s">
        <v>74</v>
      </c>
      <c r="U5" s="2" t="s">
        <v>74</v>
      </c>
      <c r="V5" s="2" t="s">
        <v>74</v>
      </c>
      <c r="W5" s="2" t="s">
        <v>74</v>
      </c>
      <c r="X5" s="2" t="s">
        <v>74</v>
      </c>
      <c r="Y5" s="2" t="s">
        <v>74</v>
      </c>
      <c r="Z5" s="2" t="s">
        <v>74</v>
      </c>
      <c r="AA5" s="2" t="s">
        <v>74</v>
      </c>
      <c r="AB5" s="2" t="s">
        <v>74</v>
      </c>
      <c r="AC5" s="2" t="s">
        <v>74</v>
      </c>
      <c r="AD5" s="2" t="s">
        <v>74</v>
      </c>
      <c r="AE5" s="2" t="s">
        <v>74</v>
      </c>
      <c r="AF5" s="2" t="s">
        <v>74</v>
      </c>
      <c r="AG5" s="2" t="s">
        <v>74</v>
      </c>
      <c r="AH5" s="2" t="s">
        <v>74</v>
      </c>
      <c r="AI5" s="2" t="s">
        <v>74</v>
      </c>
      <c r="AJ5" s="2" t="s">
        <v>74</v>
      </c>
      <c r="AK5" s="2" t="s">
        <v>74</v>
      </c>
      <c r="AL5" s="2" t="s">
        <v>74</v>
      </c>
      <c r="AM5" s="2" t="s">
        <v>74</v>
      </c>
      <c r="AN5" s="2" t="s">
        <v>74</v>
      </c>
      <c r="AO5" s="2" t="s">
        <v>74</v>
      </c>
      <c r="AP5" s="2" t="s">
        <v>74</v>
      </c>
      <c r="AQ5" s="2" t="s">
        <v>74</v>
      </c>
      <c r="AR5" s="2" t="s">
        <v>74</v>
      </c>
      <c r="AS5" s="2" t="s">
        <v>74</v>
      </c>
      <c r="AT5" s="2" t="s">
        <v>74</v>
      </c>
      <c r="AU5" s="2" t="s">
        <v>74</v>
      </c>
      <c r="AV5" s="2" t="s">
        <v>74</v>
      </c>
      <c r="AW5" s="2" t="s">
        <v>74</v>
      </c>
      <c r="AX5" s="2" t="s">
        <v>74</v>
      </c>
      <c r="AY5" s="2" t="s">
        <v>74</v>
      </c>
      <c r="AZ5" s="2" t="s">
        <v>74</v>
      </c>
      <c r="BA5" s="2" t="s">
        <v>74</v>
      </c>
      <c r="BB5" s="2" t="s">
        <v>74</v>
      </c>
      <c r="BC5" s="2" t="s">
        <v>74</v>
      </c>
      <c r="BD5" s="2" t="s">
        <v>74</v>
      </c>
      <c r="BE5" s="2" t="s">
        <v>74</v>
      </c>
      <c r="BF5" s="2" t="s">
        <v>74</v>
      </c>
      <c r="BG5" s="2" t="s">
        <v>74</v>
      </c>
      <c r="BH5" s="2" t="s">
        <v>74</v>
      </c>
      <c r="BI5" s="2" t="s">
        <v>74</v>
      </c>
      <c r="BJ5" s="2" t="s">
        <v>74</v>
      </c>
      <c r="BK5" s="2" t="s">
        <v>74</v>
      </c>
      <c r="BL5" s="2" t="s">
        <v>74</v>
      </c>
      <c r="BM5" s="2" t="s">
        <v>74</v>
      </c>
      <c r="BN5" s="2" t="s">
        <v>74</v>
      </c>
      <c r="BO5" s="2" t="s">
        <v>74</v>
      </c>
      <c r="BP5" s="2" t="s">
        <v>74</v>
      </c>
      <c r="BQ5" s="2" t="s">
        <v>74</v>
      </c>
      <c r="BR5" s="2" t="s">
        <v>74</v>
      </c>
      <c r="BS5" s="2" t="s">
        <v>74</v>
      </c>
      <c r="BT5" s="2" t="s">
        <v>74</v>
      </c>
      <c r="BU5" s="2" t="s">
        <v>74</v>
      </c>
      <c r="BV5" s="2" t="s">
        <v>74</v>
      </c>
      <c r="BW5" s="2" t="s">
        <v>74</v>
      </c>
      <c r="BX5" s="2" t="s">
        <v>74</v>
      </c>
      <c r="BY5" s="2" t="s">
        <v>74</v>
      </c>
      <c r="BZ5" s="2" t="s">
        <v>74</v>
      </c>
      <c r="CA5" s="2" t="s">
        <v>74</v>
      </c>
      <c r="CB5" s="2" t="s">
        <v>74</v>
      </c>
      <c r="CC5" s="2" t="s">
        <v>74</v>
      </c>
      <c r="CD5" s="2" t="s">
        <v>74</v>
      </c>
      <c r="CE5" s="2" t="s">
        <v>74</v>
      </c>
      <c r="CF5" s="2" t="s">
        <v>74</v>
      </c>
      <c r="CG5" s="2" t="s">
        <v>74</v>
      </c>
      <c r="CH5" s="2" t="s">
        <v>74</v>
      </c>
      <c r="CI5" s="2" t="s">
        <v>74</v>
      </c>
      <c r="CJ5" s="2" t="s">
        <v>74</v>
      </c>
      <c r="CK5" s="2" t="s">
        <v>74</v>
      </c>
      <c r="CL5" s="2" t="s">
        <v>74</v>
      </c>
      <c r="CM5" s="2" t="s">
        <v>74</v>
      </c>
      <c r="CN5" s="2" t="s">
        <v>74</v>
      </c>
      <c r="CO5" s="2" t="s">
        <v>74</v>
      </c>
      <c r="CP5" s="2" t="s">
        <v>74</v>
      </c>
      <c r="CQ5" s="2" t="s">
        <v>74</v>
      </c>
      <c r="CR5" s="2" t="s">
        <v>74</v>
      </c>
      <c r="CS5" s="2" t="s">
        <v>74</v>
      </c>
      <c r="CT5" s="2" t="s">
        <v>74</v>
      </c>
      <c r="CU5" s="2" t="s">
        <v>74</v>
      </c>
      <c r="CV5" s="2" t="s">
        <v>74</v>
      </c>
      <c r="CW5" s="2" t="s">
        <v>74</v>
      </c>
      <c r="CX5" s="2" t="s">
        <v>74</v>
      </c>
      <c r="CY5" s="2" t="s">
        <v>74</v>
      </c>
    </row>
    <row r="6" spans="1:103" ht="17.399999999999999" x14ac:dyDescent="0.25">
      <c r="A6" s="3" t="s">
        <v>77</v>
      </c>
      <c r="B6" s="4">
        <v>0</v>
      </c>
      <c r="C6" s="4">
        <v>0</v>
      </c>
      <c r="D6" s="4">
        <v>0</v>
      </c>
      <c r="E6" s="4">
        <v>0</v>
      </c>
      <c r="F6" s="4" t="s">
        <v>74</v>
      </c>
      <c r="G6" s="4" t="s">
        <v>74</v>
      </c>
      <c r="H6" s="4" t="s">
        <v>74</v>
      </c>
      <c r="I6" s="4" t="s">
        <v>74</v>
      </c>
      <c r="J6" s="4" t="s">
        <v>74</v>
      </c>
      <c r="K6" s="4" t="s">
        <v>74</v>
      </c>
      <c r="L6" s="4" t="s">
        <v>74</v>
      </c>
      <c r="M6" s="4" t="s">
        <v>74</v>
      </c>
      <c r="N6" s="4" t="s">
        <v>74</v>
      </c>
      <c r="O6" s="4" t="s">
        <v>74</v>
      </c>
      <c r="P6" s="4">
        <v>0</v>
      </c>
      <c r="Q6" s="4">
        <v>0</v>
      </c>
      <c r="R6" s="4">
        <v>12</v>
      </c>
      <c r="S6" s="4">
        <v>95</v>
      </c>
      <c r="T6" s="4" t="s">
        <v>74</v>
      </c>
      <c r="U6" s="4" t="s">
        <v>74</v>
      </c>
      <c r="V6" s="4" t="s">
        <v>74</v>
      </c>
      <c r="W6" s="4" t="s">
        <v>74</v>
      </c>
      <c r="X6" s="4">
        <v>5</v>
      </c>
      <c r="Y6" s="4">
        <v>95</v>
      </c>
      <c r="Z6" s="4" t="s">
        <v>74</v>
      </c>
      <c r="AA6" s="4" t="s">
        <v>74</v>
      </c>
      <c r="AB6" s="4" t="s">
        <v>74</v>
      </c>
      <c r="AC6" s="4" t="s">
        <v>74</v>
      </c>
      <c r="AD6" s="4" t="s">
        <v>74</v>
      </c>
      <c r="AE6" s="4" t="s">
        <v>74</v>
      </c>
      <c r="AF6" s="4" t="s">
        <v>74</v>
      </c>
      <c r="AG6" s="4" t="s">
        <v>74</v>
      </c>
      <c r="AH6" s="4" t="s">
        <v>74</v>
      </c>
      <c r="AI6" s="4" t="s">
        <v>74</v>
      </c>
      <c r="AJ6" s="4" t="s">
        <v>74</v>
      </c>
      <c r="AK6" s="4" t="s">
        <v>74</v>
      </c>
      <c r="AL6" s="4">
        <v>5</v>
      </c>
      <c r="AM6" s="4">
        <v>95</v>
      </c>
      <c r="AN6" s="4" t="s">
        <v>74</v>
      </c>
      <c r="AO6" s="4" t="s">
        <v>74</v>
      </c>
      <c r="AP6" s="4" t="s">
        <v>74</v>
      </c>
      <c r="AQ6" s="4" t="s">
        <v>74</v>
      </c>
      <c r="AR6" s="4" t="s">
        <v>74</v>
      </c>
      <c r="AS6" s="4" t="s">
        <v>74</v>
      </c>
      <c r="AT6" s="4" t="s">
        <v>74</v>
      </c>
      <c r="AU6" s="4" t="s">
        <v>74</v>
      </c>
      <c r="AV6" s="4">
        <v>8</v>
      </c>
      <c r="AW6" s="4">
        <v>95</v>
      </c>
      <c r="AX6" s="4" t="s">
        <v>74</v>
      </c>
      <c r="AY6" s="4" t="s">
        <v>74</v>
      </c>
      <c r="AZ6" s="4" t="s">
        <v>74</v>
      </c>
      <c r="BA6" s="4" t="s">
        <v>74</v>
      </c>
      <c r="BB6" s="4">
        <v>5</v>
      </c>
      <c r="BC6" s="4">
        <v>95</v>
      </c>
      <c r="BD6" s="4">
        <v>5</v>
      </c>
      <c r="BE6" s="4">
        <v>95</v>
      </c>
      <c r="BF6" s="4" t="s">
        <v>74</v>
      </c>
      <c r="BG6" s="4" t="s">
        <v>74</v>
      </c>
      <c r="BH6" s="4" t="s">
        <v>74</v>
      </c>
      <c r="BI6" s="4" t="s">
        <v>74</v>
      </c>
      <c r="BJ6" s="4" t="s">
        <v>74</v>
      </c>
      <c r="BK6" s="4" t="s">
        <v>74</v>
      </c>
      <c r="BL6" s="4" t="s">
        <v>74</v>
      </c>
      <c r="BM6" s="4" t="s">
        <v>74</v>
      </c>
      <c r="BN6" s="4">
        <v>10</v>
      </c>
      <c r="BO6" s="4">
        <v>95</v>
      </c>
      <c r="BP6" s="4">
        <v>20</v>
      </c>
      <c r="BQ6" s="4">
        <v>145.55000000000001</v>
      </c>
      <c r="BR6" s="4">
        <v>0</v>
      </c>
      <c r="BS6" s="4">
        <v>0</v>
      </c>
      <c r="BT6" s="4">
        <v>15</v>
      </c>
      <c r="BU6" s="4">
        <v>7.91</v>
      </c>
      <c r="BV6" s="4" t="s">
        <v>74</v>
      </c>
      <c r="BW6" s="4" t="s">
        <v>74</v>
      </c>
      <c r="BX6" s="4">
        <v>15</v>
      </c>
      <c r="BY6" s="4">
        <v>81.760000000000005</v>
      </c>
      <c r="BZ6" s="4" t="s">
        <v>74</v>
      </c>
      <c r="CA6" s="4" t="s">
        <v>74</v>
      </c>
      <c r="CB6" s="4" t="s">
        <v>74</v>
      </c>
      <c r="CC6" s="4" t="s">
        <v>74</v>
      </c>
      <c r="CD6" s="4" t="s">
        <v>74</v>
      </c>
      <c r="CE6" s="4" t="s">
        <v>74</v>
      </c>
      <c r="CF6" s="4" t="s">
        <v>74</v>
      </c>
      <c r="CG6" s="4" t="s">
        <v>74</v>
      </c>
      <c r="CH6" s="4" t="s">
        <v>74</v>
      </c>
      <c r="CI6" s="4" t="s">
        <v>74</v>
      </c>
      <c r="CJ6" s="4" t="s">
        <v>74</v>
      </c>
      <c r="CK6" s="4" t="s">
        <v>74</v>
      </c>
      <c r="CL6" s="4" t="s">
        <v>74</v>
      </c>
      <c r="CM6" s="4" t="s">
        <v>74</v>
      </c>
      <c r="CN6" s="4" t="s">
        <v>74</v>
      </c>
      <c r="CO6" s="4" t="s">
        <v>74</v>
      </c>
      <c r="CP6" s="4" t="s">
        <v>74</v>
      </c>
      <c r="CQ6" s="4" t="s">
        <v>74</v>
      </c>
      <c r="CR6" s="4" t="s">
        <v>74</v>
      </c>
      <c r="CS6" s="4" t="s">
        <v>74</v>
      </c>
      <c r="CT6" s="4" t="s">
        <v>74</v>
      </c>
      <c r="CU6" s="4" t="s">
        <v>74</v>
      </c>
      <c r="CV6" s="4" t="s">
        <v>74</v>
      </c>
      <c r="CW6" s="4" t="s">
        <v>74</v>
      </c>
      <c r="CX6" s="4" t="s">
        <v>74</v>
      </c>
      <c r="CY6" s="4" t="s">
        <v>74</v>
      </c>
    </row>
    <row r="7" spans="1:103" ht="17.399999999999999" x14ac:dyDescent="0.25">
      <c r="A7" s="1" t="s">
        <v>78</v>
      </c>
      <c r="B7" s="2" t="s">
        <v>74</v>
      </c>
      <c r="C7" s="2" t="s">
        <v>74</v>
      </c>
      <c r="D7" s="2" t="s">
        <v>74</v>
      </c>
      <c r="E7" s="2" t="s">
        <v>74</v>
      </c>
      <c r="F7" s="2" t="s">
        <v>74</v>
      </c>
      <c r="G7" s="2" t="s">
        <v>74</v>
      </c>
      <c r="H7" s="2" t="s">
        <v>74</v>
      </c>
      <c r="I7" s="2" t="s">
        <v>74</v>
      </c>
      <c r="J7" s="2" t="s">
        <v>74</v>
      </c>
      <c r="K7" s="2" t="s">
        <v>74</v>
      </c>
      <c r="L7" s="2" t="s">
        <v>74</v>
      </c>
      <c r="M7" s="2" t="s">
        <v>74</v>
      </c>
      <c r="N7" s="2" t="s">
        <v>74</v>
      </c>
      <c r="O7" s="2" t="s">
        <v>74</v>
      </c>
      <c r="P7" s="2" t="s">
        <v>74</v>
      </c>
      <c r="Q7" s="2" t="s">
        <v>74</v>
      </c>
      <c r="R7" s="2" t="s">
        <v>74</v>
      </c>
      <c r="S7" s="2" t="s">
        <v>74</v>
      </c>
      <c r="T7" s="2" t="s">
        <v>74</v>
      </c>
      <c r="U7" s="2" t="s">
        <v>74</v>
      </c>
      <c r="V7" s="2" t="s">
        <v>74</v>
      </c>
      <c r="W7" s="2" t="s">
        <v>74</v>
      </c>
      <c r="X7" s="2" t="s">
        <v>74</v>
      </c>
      <c r="Y7" s="2" t="s">
        <v>74</v>
      </c>
      <c r="Z7" s="2" t="s">
        <v>74</v>
      </c>
      <c r="AA7" s="2" t="s">
        <v>74</v>
      </c>
      <c r="AB7" s="2" t="s">
        <v>74</v>
      </c>
      <c r="AC7" s="2" t="s">
        <v>74</v>
      </c>
      <c r="AD7" s="2" t="s">
        <v>74</v>
      </c>
      <c r="AE7" s="2" t="s">
        <v>74</v>
      </c>
      <c r="AF7" s="2" t="s">
        <v>74</v>
      </c>
      <c r="AG7" s="2" t="s">
        <v>74</v>
      </c>
      <c r="AH7" s="2" t="s">
        <v>74</v>
      </c>
      <c r="AI7" s="2" t="s">
        <v>74</v>
      </c>
      <c r="AJ7" s="2" t="s">
        <v>74</v>
      </c>
      <c r="AK7" s="2" t="s">
        <v>74</v>
      </c>
      <c r="AL7" s="2" t="s">
        <v>74</v>
      </c>
      <c r="AM7" s="2" t="s">
        <v>74</v>
      </c>
      <c r="AN7" s="2" t="s">
        <v>74</v>
      </c>
      <c r="AO7" s="2" t="s">
        <v>74</v>
      </c>
      <c r="AP7" s="2" t="s">
        <v>74</v>
      </c>
      <c r="AQ7" s="2" t="s">
        <v>74</v>
      </c>
      <c r="AR7" s="2" t="s">
        <v>74</v>
      </c>
      <c r="AS7" s="2" t="s">
        <v>74</v>
      </c>
      <c r="AT7" s="2" t="s">
        <v>74</v>
      </c>
      <c r="AU7" s="2" t="s">
        <v>74</v>
      </c>
      <c r="AV7" s="2" t="s">
        <v>74</v>
      </c>
      <c r="AW7" s="2" t="s">
        <v>74</v>
      </c>
      <c r="AX7" s="2" t="s">
        <v>74</v>
      </c>
      <c r="AY7" s="2" t="s">
        <v>74</v>
      </c>
      <c r="AZ7" s="2" t="s">
        <v>74</v>
      </c>
      <c r="BA7" s="2" t="s">
        <v>74</v>
      </c>
      <c r="BB7" s="2" t="s">
        <v>74</v>
      </c>
      <c r="BC7" s="2" t="s">
        <v>74</v>
      </c>
      <c r="BD7" s="2" t="s">
        <v>74</v>
      </c>
      <c r="BE7" s="2" t="s">
        <v>74</v>
      </c>
      <c r="BF7" s="2" t="s">
        <v>74</v>
      </c>
      <c r="BG7" s="2" t="s">
        <v>74</v>
      </c>
      <c r="BH7" s="2" t="s">
        <v>74</v>
      </c>
      <c r="BI7" s="2" t="s">
        <v>74</v>
      </c>
      <c r="BJ7" s="2" t="s">
        <v>74</v>
      </c>
      <c r="BK7" s="2" t="s">
        <v>74</v>
      </c>
      <c r="BL7" s="2" t="s">
        <v>74</v>
      </c>
      <c r="BM7" s="2" t="s">
        <v>74</v>
      </c>
      <c r="BN7" s="2" t="s">
        <v>74</v>
      </c>
      <c r="BO7" s="2" t="s">
        <v>74</v>
      </c>
      <c r="BP7" s="2" t="s">
        <v>74</v>
      </c>
      <c r="BQ7" s="2" t="s">
        <v>74</v>
      </c>
      <c r="BR7" s="2" t="s">
        <v>74</v>
      </c>
      <c r="BS7" s="2" t="s">
        <v>74</v>
      </c>
      <c r="BT7" s="2" t="s">
        <v>74</v>
      </c>
      <c r="BU7" s="2" t="s">
        <v>74</v>
      </c>
      <c r="BV7" s="2" t="s">
        <v>74</v>
      </c>
      <c r="BW7" s="2" t="s">
        <v>74</v>
      </c>
      <c r="BX7" s="2" t="s">
        <v>74</v>
      </c>
      <c r="BY7" s="2" t="s">
        <v>74</v>
      </c>
      <c r="BZ7" s="2">
        <v>15</v>
      </c>
      <c r="CA7" s="2">
        <v>94.42</v>
      </c>
      <c r="CB7" s="2">
        <v>5</v>
      </c>
      <c r="CC7" s="2">
        <v>2793</v>
      </c>
      <c r="CD7" s="2">
        <v>5</v>
      </c>
      <c r="CE7" s="2">
        <v>15945</v>
      </c>
      <c r="CF7" s="2">
        <v>5</v>
      </c>
      <c r="CG7" s="2">
        <v>130.22999999999999</v>
      </c>
      <c r="CH7" s="2">
        <v>10</v>
      </c>
      <c r="CI7" s="2">
        <v>8654.5400000000009</v>
      </c>
      <c r="CJ7" s="2">
        <v>6</v>
      </c>
      <c r="CK7" s="2">
        <v>100</v>
      </c>
      <c r="CL7" s="2">
        <v>0</v>
      </c>
      <c r="CM7" s="2">
        <v>100</v>
      </c>
      <c r="CN7" s="2">
        <v>0</v>
      </c>
      <c r="CO7" s="2">
        <v>100</v>
      </c>
      <c r="CP7" s="2">
        <v>0</v>
      </c>
      <c r="CQ7" s="2">
        <v>100</v>
      </c>
      <c r="CR7" s="2">
        <v>0</v>
      </c>
      <c r="CS7" s="2">
        <v>100</v>
      </c>
      <c r="CT7" s="2">
        <v>0</v>
      </c>
      <c r="CU7" s="2">
        <v>100</v>
      </c>
      <c r="CV7" s="2" t="s">
        <v>74</v>
      </c>
      <c r="CW7" s="2" t="s">
        <v>74</v>
      </c>
      <c r="CX7" s="2">
        <v>4</v>
      </c>
      <c r="CY7" s="2">
        <v>100</v>
      </c>
    </row>
    <row r="8" spans="1:103" ht="17.399999999999999" x14ac:dyDescent="0.25">
      <c r="A8" s="3" t="s">
        <v>79</v>
      </c>
      <c r="B8" s="4" t="s">
        <v>74</v>
      </c>
      <c r="C8" s="4" t="s">
        <v>74</v>
      </c>
      <c r="D8" s="4" t="s">
        <v>74</v>
      </c>
      <c r="E8" s="4" t="s">
        <v>74</v>
      </c>
      <c r="F8" s="4" t="s">
        <v>74</v>
      </c>
      <c r="G8" s="4" t="s">
        <v>74</v>
      </c>
      <c r="H8" s="4" t="s">
        <v>74</v>
      </c>
      <c r="I8" s="4" t="s">
        <v>74</v>
      </c>
      <c r="J8" s="4" t="s">
        <v>74</v>
      </c>
      <c r="K8" s="4" t="s">
        <v>74</v>
      </c>
      <c r="L8" s="4" t="s">
        <v>74</v>
      </c>
      <c r="M8" s="4" t="s">
        <v>74</v>
      </c>
      <c r="N8" s="4" t="s">
        <v>74</v>
      </c>
      <c r="O8" s="4" t="s">
        <v>74</v>
      </c>
      <c r="P8" s="4" t="s">
        <v>74</v>
      </c>
      <c r="Q8" s="4" t="s">
        <v>74</v>
      </c>
      <c r="R8" s="4" t="s">
        <v>74</v>
      </c>
      <c r="S8" s="4" t="s">
        <v>74</v>
      </c>
      <c r="T8" s="4" t="s">
        <v>74</v>
      </c>
      <c r="U8" s="4" t="s">
        <v>74</v>
      </c>
      <c r="V8" s="4" t="s">
        <v>74</v>
      </c>
      <c r="W8" s="4" t="s">
        <v>74</v>
      </c>
      <c r="X8" s="4" t="s">
        <v>74</v>
      </c>
      <c r="Y8" s="4" t="s">
        <v>74</v>
      </c>
      <c r="Z8" s="4" t="s">
        <v>74</v>
      </c>
      <c r="AA8" s="4" t="s">
        <v>74</v>
      </c>
      <c r="AB8" s="4" t="s">
        <v>74</v>
      </c>
      <c r="AC8" s="4" t="s">
        <v>74</v>
      </c>
      <c r="AD8" s="4" t="s">
        <v>74</v>
      </c>
      <c r="AE8" s="4" t="s">
        <v>74</v>
      </c>
      <c r="AF8" s="4" t="s">
        <v>74</v>
      </c>
      <c r="AG8" s="4" t="s">
        <v>74</v>
      </c>
      <c r="AH8" s="4" t="s">
        <v>74</v>
      </c>
      <c r="AI8" s="4" t="s">
        <v>74</v>
      </c>
      <c r="AJ8" s="4" t="s">
        <v>74</v>
      </c>
      <c r="AK8" s="4" t="s">
        <v>74</v>
      </c>
      <c r="AL8" s="4" t="s">
        <v>74</v>
      </c>
      <c r="AM8" s="4" t="s">
        <v>74</v>
      </c>
      <c r="AN8" s="4" t="s">
        <v>74</v>
      </c>
      <c r="AO8" s="4" t="s">
        <v>74</v>
      </c>
      <c r="AP8" s="4" t="s">
        <v>74</v>
      </c>
      <c r="AQ8" s="4" t="s">
        <v>74</v>
      </c>
      <c r="AR8" s="4" t="s">
        <v>74</v>
      </c>
      <c r="AS8" s="4" t="s">
        <v>74</v>
      </c>
      <c r="AT8" s="4" t="s">
        <v>74</v>
      </c>
      <c r="AU8" s="4" t="s">
        <v>74</v>
      </c>
      <c r="AV8" s="4" t="s">
        <v>74</v>
      </c>
      <c r="AW8" s="4" t="s">
        <v>74</v>
      </c>
      <c r="AX8" s="4" t="s">
        <v>74</v>
      </c>
      <c r="AY8" s="4" t="s">
        <v>74</v>
      </c>
      <c r="AZ8" s="4" t="s">
        <v>74</v>
      </c>
      <c r="BA8" s="4" t="s">
        <v>74</v>
      </c>
      <c r="BB8" s="4" t="s">
        <v>74</v>
      </c>
      <c r="BC8" s="4" t="s">
        <v>74</v>
      </c>
      <c r="BD8" s="4" t="s">
        <v>74</v>
      </c>
      <c r="BE8" s="4" t="s">
        <v>74</v>
      </c>
      <c r="BF8" s="4" t="s">
        <v>74</v>
      </c>
      <c r="BG8" s="4" t="s">
        <v>74</v>
      </c>
      <c r="BH8" s="4" t="s">
        <v>74</v>
      </c>
      <c r="BI8" s="4" t="s">
        <v>74</v>
      </c>
      <c r="BJ8" s="4" t="s">
        <v>74</v>
      </c>
      <c r="BK8" s="4" t="s">
        <v>74</v>
      </c>
      <c r="BL8" s="4" t="s">
        <v>74</v>
      </c>
      <c r="BM8" s="4" t="s">
        <v>74</v>
      </c>
      <c r="BN8" s="4" t="s">
        <v>74</v>
      </c>
      <c r="BO8" s="4" t="s">
        <v>74</v>
      </c>
      <c r="BP8" s="4" t="s">
        <v>74</v>
      </c>
      <c r="BQ8" s="4" t="s">
        <v>74</v>
      </c>
      <c r="BR8" s="4" t="s">
        <v>74</v>
      </c>
      <c r="BS8" s="4" t="s">
        <v>74</v>
      </c>
      <c r="BT8" s="4" t="s">
        <v>74</v>
      </c>
      <c r="BU8" s="4" t="s">
        <v>74</v>
      </c>
      <c r="BV8" s="4" t="s">
        <v>74</v>
      </c>
      <c r="BW8" s="4" t="s">
        <v>74</v>
      </c>
      <c r="BX8" s="4" t="s">
        <v>74</v>
      </c>
      <c r="BY8" s="4" t="s">
        <v>74</v>
      </c>
      <c r="BZ8" s="4">
        <v>15</v>
      </c>
      <c r="CA8" s="4">
        <v>94.42</v>
      </c>
      <c r="CB8" s="4">
        <v>5</v>
      </c>
      <c r="CC8" s="4">
        <v>2793</v>
      </c>
      <c r="CD8" s="4">
        <v>5</v>
      </c>
      <c r="CE8" s="4">
        <v>15945</v>
      </c>
      <c r="CF8" s="4">
        <v>5</v>
      </c>
      <c r="CG8" s="4">
        <v>130.22999999999999</v>
      </c>
      <c r="CH8" s="4">
        <v>10</v>
      </c>
      <c r="CI8" s="4">
        <v>8654.5400000000009</v>
      </c>
      <c r="CJ8" s="4">
        <v>10</v>
      </c>
      <c r="CK8" s="4">
        <v>100</v>
      </c>
      <c r="CL8" s="4">
        <v>0</v>
      </c>
      <c r="CM8" s="4">
        <v>100</v>
      </c>
      <c r="CN8" s="4">
        <v>0</v>
      </c>
      <c r="CO8" s="4">
        <v>100</v>
      </c>
      <c r="CP8" s="4">
        <v>0</v>
      </c>
      <c r="CQ8" s="4">
        <v>100</v>
      </c>
      <c r="CR8" s="4">
        <v>0</v>
      </c>
      <c r="CS8" s="4">
        <v>100</v>
      </c>
      <c r="CT8" s="4">
        <v>0</v>
      </c>
      <c r="CU8" s="4">
        <v>100</v>
      </c>
      <c r="CV8" s="4" t="s">
        <v>74</v>
      </c>
      <c r="CW8" s="4" t="s">
        <v>74</v>
      </c>
      <c r="CX8" s="4" t="s">
        <v>74</v>
      </c>
      <c r="CY8" s="4" t="s">
        <v>74</v>
      </c>
    </row>
    <row r="9" spans="1:103" ht="17.399999999999999" x14ac:dyDescent="0.25">
      <c r="A9" s="1" t="s">
        <v>80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 t="s">
        <v>74</v>
      </c>
      <c r="I9" s="2" t="s">
        <v>74</v>
      </c>
      <c r="J9" s="2" t="s">
        <v>74</v>
      </c>
      <c r="K9" s="2" t="s">
        <v>74</v>
      </c>
      <c r="L9" s="2">
        <v>3</v>
      </c>
      <c r="M9" s="2">
        <v>28211.95</v>
      </c>
      <c r="N9" s="2">
        <v>0</v>
      </c>
      <c r="O9" s="2">
        <v>95</v>
      </c>
      <c r="P9" s="2">
        <v>0</v>
      </c>
      <c r="Q9" s="2">
        <v>0</v>
      </c>
      <c r="R9" s="2" t="s">
        <v>74</v>
      </c>
      <c r="S9" s="2" t="s">
        <v>74</v>
      </c>
      <c r="T9" s="2">
        <v>3</v>
      </c>
      <c r="U9" s="2">
        <v>48.48</v>
      </c>
      <c r="V9" s="2" t="s">
        <v>74</v>
      </c>
      <c r="W9" s="2" t="s">
        <v>74</v>
      </c>
      <c r="X9" s="2" t="s">
        <v>74</v>
      </c>
      <c r="Y9" s="2" t="s">
        <v>74</v>
      </c>
      <c r="Z9" s="2" t="s">
        <v>74</v>
      </c>
      <c r="AA9" s="2" t="s">
        <v>74</v>
      </c>
      <c r="AB9" s="2" t="s">
        <v>74</v>
      </c>
      <c r="AC9" s="2" t="s">
        <v>74</v>
      </c>
      <c r="AD9" s="2" t="s">
        <v>74</v>
      </c>
      <c r="AE9" s="2" t="s">
        <v>74</v>
      </c>
      <c r="AF9" s="2">
        <v>2</v>
      </c>
      <c r="AG9" s="2">
        <v>358.88</v>
      </c>
      <c r="AH9" s="2">
        <v>6</v>
      </c>
      <c r="AI9" s="2">
        <v>93</v>
      </c>
      <c r="AJ9" s="2">
        <v>6</v>
      </c>
      <c r="AK9" s="2">
        <v>929</v>
      </c>
      <c r="AL9" s="2">
        <v>3</v>
      </c>
      <c r="AM9" s="2">
        <v>95</v>
      </c>
      <c r="AN9" s="2">
        <v>3</v>
      </c>
      <c r="AO9" s="2">
        <v>13.5</v>
      </c>
      <c r="AP9" s="2">
        <v>3</v>
      </c>
      <c r="AQ9" s="2">
        <v>1.63</v>
      </c>
      <c r="AR9" s="2">
        <v>2</v>
      </c>
      <c r="AS9" s="2">
        <v>358.88</v>
      </c>
      <c r="AT9" s="2">
        <v>1.5</v>
      </c>
      <c r="AU9" s="2">
        <v>14016.99</v>
      </c>
      <c r="AV9" s="2">
        <v>5</v>
      </c>
      <c r="AW9" s="2">
        <v>95</v>
      </c>
      <c r="AX9" s="2">
        <v>5</v>
      </c>
      <c r="AY9" s="2">
        <v>95</v>
      </c>
      <c r="AZ9" s="2">
        <v>4</v>
      </c>
      <c r="BA9" s="2">
        <v>95</v>
      </c>
      <c r="BB9" s="2">
        <v>3</v>
      </c>
      <c r="BC9" s="2">
        <v>95</v>
      </c>
      <c r="BD9" s="2">
        <v>4</v>
      </c>
      <c r="BE9" s="2">
        <v>95</v>
      </c>
      <c r="BF9" s="2">
        <v>12.5</v>
      </c>
      <c r="BG9" s="2">
        <v>10023.299999999999</v>
      </c>
      <c r="BH9" s="2">
        <v>7</v>
      </c>
      <c r="BI9" s="2">
        <v>10.039999999999999</v>
      </c>
      <c r="BJ9" s="2">
        <v>7</v>
      </c>
      <c r="BK9" s="2">
        <v>25.52</v>
      </c>
      <c r="BL9" s="2">
        <v>20</v>
      </c>
      <c r="BM9" s="2">
        <v>41.71</v>
      </c>
      <c r="BN9" s="2" t="s">
        <v>74</v>
      </c>
      <c r="BO9" s="2" t="s">
        <v>74</v>
      </c>
      <c r="BP9" s="2" t="s">
        <v>74</v>
      </c>
      <c r="BQ9" s="2" t="s">
        <v>74</v>
      </c>
      <c r="BR9" s="2">
        <v>0</v>
      </c>
      <c r="BS9" s="2">
        <v>0</v>
      </c>
      <c r="BT9" s="2" t="s">
        <v>74</v>
      </c>
      <c r="BU9" s="2" t="s">
        <v>74</v>
      </c>
      <c r="BV9" s="2" t="s">
        <v>74</v>
      </c>
      <c r="BW9" s="2" t="s">
        <v>74</v>
      </c>
      <c r="BX9" s="2" t="s">
        <v>74</v>
      </c>
      <c r="BY9" s="2" t="s">
        <v>74</v>
      </c>
      <c r="BZ9" s="2" t="s">
        <v>74</v>
      </c>
      <c r="CA9" s="2" t="s">
        <v>74</v>
      </c>
      <c r="CB9" s="2" t="s">
        <v>74</v>
      </c>
      <c r="CC9" s="2" t="s">
        <v>74</v>
      </c>
      <c r="CD9" s="2" t="s">
        <v>74</v>
      </c>
      <c r="CE9" s="2" t="s">
        <v>74</v>
      </c>
      <c r="CF9" s="2" t="s">
        <v>74</v>
      </c>
      <c r="CG9" s="2" t="s">
        <v>74</v>
      </c>
      <c r="CH9" s="2" t="s">
        <v>74</v>
      </c>
      <c r="CI9" s="2" t="s">
        <v>74</v>
      </c>
      <c r="CJ9" s="2" t="s">
        <v>74</v>
      </c>
      <c r="CK9" s="2" t="s">
        <v>74</v>
      </c>
      <c r="CL9" s="2" t="s">
        <v>74</v>
      </c>
      <c r="CM9" s="2" t="s">
        <v>74</v>
      </c>
      <c r="CN9" s="2" t="s">
        <v>74</v>
      </c>
      <c r="CO9" s="2" t="s">
        <v>74</v>
      </c>
      <c r="CP9" s="2" t="s">
        <v>74</v>
      </c>
      <c r="CQ9" s="2" t="s">
        <v>74</v>
      </c>
      <c r="CR9" s="2" t="s">
        <v>74</v>
      </c>
      <c r="CS9" s="2" t="s">
        <v>74</v>
      </c>
      <c r="CT9" s="2" t="s">
        <v>74</v>
      </c>
      <c r="CU9" s="2" t="s">
        <v>74</v>
      </c>
      <c r="CV9" s="2" t="s">
        <v>74</v>
      </c>
      <c r="CW9" s="2" t="s">
        <v>74</v>
      </c>
      <c r="CX9" s="2" t="s">
        <v>74</v>
      </c>
      <c r="CY9" s="2" t="s">
        <v>74</v>
      </c>
    </row>
    <row r="10" spans="1:103" ht="17.399999999999999" x14ac:dyDescent="0.25">
      <c r="A10" s="3" t="s">
        <v>81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 t="s">
        <v>74</v>
      </c>
      <c r="I10" s="4" t="s">
        <v>74</v>
      </c>
      <c r="J10" s="4" t="s">
        <v>74</v>
      </c>
      <c r="K10" s="4" t="s">
        <v>74</v>
      </c>
      <c r="L10" s="4" t="s">
        <v>74</v>
      </c>
      <c r="M10" s="4" t="s">
        <v>74</v>
      </c>
      <c r="N10" s="4">
        <v>0</v>
      </c>
      <c r="O10" s="4">
        <v>95</v>
      </c>
      <c r="P10" s="4">
        <v>0</v>
      </c>
      <c r="Q10" s="4">
        <v>0</v>
      </c>
      <c r="R10" s="4" t="s">
        <v>74</v>
      </c>
      <c r="S10" s="4" t="s">
        <v>74</v>
      </c>
      <c r="T10" s="4" t="s">
        <v>74</v>
      </c>
      <c r="U10" s="4" t="s">
        <v>74</v>
      </c>
      <c r="V10" s="4" t="s">
        <v>74</v>
      </c>
      <c r="W10" s="4" t="s">
        <v>74</v>
      </c>
      <c r="X10" s="4" t="s">
        <v>74</v>
      </c>
      <c r="Y10" s="4" t="s">
        <v>74</v>
      </c>
      <c r="Z10" s="4" t="s">
        <v>74</v>
      </c>
      <c r="AA10" s="4" t="s">
        <v>74</v>
      </c>
      <c r="AB10" s="4" t="s">
        <v>74</v>
      </c>
      <c r="AC10" s="4" t="s">
        <v>74</v>
      </c>
      <c r="AD10" s="4" t="s">
        <v>74</v>
      </c>
      <c r="AE10" s="4" t="s">
        <v>74</v>
      </c>
      <c r="AF10" s="4">
        <v>2.5</v>
      </c>
      <c r="AG10" s="4">
        <v>161.71</v>
      </c>
      <c r="AH10" s="4" t="s">
        <v>74</v>
      </c>
      <c r="AI10" s="4" t="s">
        <v>74</v>
      </c>
      <c r="AJ10" s="4">
        <v>10</v>
      </c>
      <c r="AK10" s="4">
        <v>86</v>
      </c>
      <c r="AL10" s="4">
        <v>3</v>
      </c>
      <c r="AM10" s="4">
        <v>95</v>
      </c>
      <c r="AN10" s="4" t="s">
        <v>74</v>
      </c>
      <c r="AO10" s="4" t="s">
        <v>74</v>
      </c>
      <c r="AP10" s="4" t="s">
        <v>74</v>
      </c>
      <c r="AQ10" s="4" t="s">
        <v>74</v>
      </c>
      <c r="AR10" s="4">
        <v>2.5</v>
      </c>
      <c r="AS10" s="4">
        <v>161.71</v>
      </c>
      <c r="AT10" s="4" t="s">
        <v>74</v>
      </c>
      <c r="AU10" s="4" t="s">
        <v>74</v>
      </c>
      <c r="AV10" s="4">
        <v>5</v>
      </c>
      <c r="AW10" s="4">
        <v>95</v>
      </c>
      <c r="AX10" s="4" t="s">
        <v>74</v>
      </c>
      <c r="AY10" s="4" t="s">
        <v>74</v>
      </c>
      <c r="AZ10" s="4">
        <v>5</v>
      </c>
      <c r="BA10" s="4">
        <v>95</v>
      </c>
      <c r="BB10" s="4">
        <v>5</v>
      </c>
      <c r="BC10" s="4">
        <v>95</v>
      </c>
      <c r="BD10" s="4">
        <v>4</v>
      </c>
      <c r="BE10" s="4">
        <v>95</v>
      </c>
      <c r="BF10" s="4" t="s">
        <v>74</v>
      </c>
      <c r="BG10" s="4" t="s">
        <v>74</v>
      </c>
      <c r="BH10" s="4" t="s">
        <v>74</v>
      </c>
      <c r="BI10" s="4" t="s">
        <v>74</v>
      </c>
      <c r="BJ10" s="4" t="s">
        <v>74</v>
      </c>
      <c r="BK10" s="4" t="s">
        <v>74</v>
      </c>
      <c r="BL10" s="4" t="s">
        <v>74</v>
      </c>
      <c r="BM10" s="4" t="s">
        <v>74</v>
      </c>
      <c r="BN10" s="4" t="s">
        <v>74</v>
      </c>
      <c r="BO10" s="4" t="s">
        <v>74</v>
      </c>
      <c r="BP10" s="4">
        <v>15</v>
      </c>
      <c r="BQ10" s="4">
        <v>14.66</v>
      </c>
      <c r="BR10" s="4">
        <v>0</v>
      </c>
      <c r="BS10" s="4">
        <v>0</v>
      </c>
      <c r="BT10" s="4">
        <v>8</v>
      </c>
      <c r="BU10" s="4">
        <v>2.74</v>
      </c>
      <c r="BV10" s="4">
        <v>10</v>
      </c>
      <c r="BW10" s="4">
        <v>2.87</v>
      </c>
      <c r="BX10" s="4">
        <v>30</v>
      </c>
      <c r="BY10" s="4">
        <v>63.98</v>
      </c>
      <c r="BZ10" s="4" t="s">
        <v>74</v>
      </c>
      <c r="CA10" s="4" t="s">
        <v>74</v>
      </c>
      <c r="CB10" s="4" t="s">
        <v>74</v>
      </c>
      <c r="CC10" s="4" t="s">
        <v>74</v>
      </c>
      <c r="CD10" s="4" t="s">
        <v>74</v>
      </c>
      <c r="CE10" s="4" t="s">
        <v>74</v>
      </c>
      <c r="CF10" s="4" t="s">
        <v>74</v>
      </c>
      <c r="CG10" s="4" t="s">
        <v>74</v>
      </c>
      <c r="CH10" s="4" t="s">
        <v>74</v>
      </c>
      <c r="CI10" s="4" t="s">
        <v>74</v>
      </c>
      <c r="CJ10" s="4" t="s">
        <v>74</v>
      </c>
      <c r="CK10" s="4" t="s">
        <v>74</v>
      </c>
      <c r="CL10" s="4" t="s">
        <v>74</v>
      </c>
      <c r="CM10" s="4" t="s">
        <v>74</v>
      </c>
      <c r="CN10" s="4" t="s">
        <v>74</v>
      </c>
      <c r="CO10" s="4" t="s">
        <v>74</v>
      </c>
      <c r="CP10" s="4" t="s">
        <v>74</v>
      </c>
      <c r="CQ10" s="4" t="s">
        <v>74</v>
      </c>
      <c r="CR10" s="4" t="s">
        <v>74</v>
      </c>
      <c r="CS10" s="4" t="s">
        <v>74</v>
      </c>
      <c r="CT10" s="4" t="s">
        <v>74</v>
      </c>
      <c r="CU10" s="4" t="s">
        <v>74</v>
      </c>
      <c r="CV10" s="4" t="s">
        <v>74</v>
      </c>
      <c r="CW10" s="4" t="s">
        <v>74</v>
      </c>
      <c r="CX10" s="4" t="s">
        <v>74</v>
      </c>
      <c r="CY10" s="4" t="s">
        <v>74</v>
      </c>
    </row>
    <row r="11" spans="1:103" ht="17.399999999999999" x14ac:dyDescent="0.25">
      <c r="A11" s="1" t="s">
        <v>82</v>
      </c>
      <c r="B11" s="2" t="s">
        <v>74</v>
      </c>
      <c r="C11" s="2" t="s">
        <v>74</v>
      </c>
      <c r="D11" s="2" t="s">
        <v>74</v>
      </c>
      <c r="E11" s="2" t="s">
        <v>74</v>
      </c>
      <c r="F11" s="2" t="s">
        <v>74</v>
      </c>
      <c r="G11" s="2" t="s">
        <v>74</v>
      </c>
      <c r="H11" s="2" t="s">
        <v>74</v>
      </c>
      <c r="I11" s="2" t="s">
        <v>74</v>
      </c>
      <c r="J11" s="2" t="s">
        <v>74</v>
      </c>
      <c r="K11" s="2" t="s">
        <v>74</v>
      </c>
      <c r="L11" s="2" t="s">
        <v>74</v>
      </c>
      <c r="M11" s="2" t="s">
        <v>74</v>
      </c>
      <c r="N11" s="2" t="s">
        <v>74</v>
      </c>
      <c r="O11" s="2" t="s">
        <v>74</v>
      </c>
      <c r="P11" s="2" t="s">
        <v>74</v>
      </c>
      <c r="Q11" s="2" t="s">
        <v>74</v>
      </c>
      <c r="R11" s="2" t="s">
        <v>74</v>
      </c>
      <c r="S11" s="2" t="s">
        <v>74</v>
      </c>
      <c r="T11" s="2" t="s">
        <v>74</v>
      </c>
      <c r="U11" s="2" t="s">
        <v>74</v>
      </c>
      <c r="V11" s="2" t="s">
        <v>74</v>
      </c>
      <c r="W11" s="2" t="s">
        <v>74</v>
      </c>
      <c r="X11" s="2" t="s">
        <v>74</v>
      </c>
      <c r="Y11" s="2" t="s">
        <v>74</v>
      </c>
      <c r="Z11" s="2" t="s">
        <v>74</v>
      </c>
      <c r="AA11" s="2" t="s">
        <v>74</v>
      </c>
      <c r="AB11" s="2" t="s">
        <v>74</v>
      </c>
      <c r="AC11" s="2" t="s">
        <v>74</v>
      </c>
      <c r="AD11" s="2" t="s">
        <v>74</v>
      </c>
      <c r="AE11" s="2" t="s">
        <v>74</v>
      </c>
      <c r="AF11" s="2" t="s">
        <v>74</v>
      </c>
      <c r="AG11" s="2" t="s">
        <v>74</v>
      </c>
      <c r="AH11" s="2" t="s">
        <v>74</v>
      </c>
      <c r="AI11" s="2" t="s">
        <v>74</v>
      </c>
      <c r="AJ11" s="2" t="s">
        <v>74</v>
      </c>
      <c r="AK11" s="2" t="s">
        <v>74</v>
      </c>
      <c r="AL11" s="2" t="s">
        <v>74</v>
      </c>
      <c r="AM11" s="2" t="s">
        <v>74</v>
      </c>
      <c r="AN11" s="2" t="s">
        <v>74</v>
      </c>
      <c r="AO11" s="2" t="s">
        <v>74</v>
      </c>
      <c r="AP11" s="2" t="s">
        <v>74</v>
      </c>
      <c r="AQ11" s="2" t="s">
        <v>74</v>
      </c>
      <c r="AR11" s="2" t="s">
        <v>74</v>
      </c>
      <c r="AS11" s="2" t="s">
        <v>74</v>
      </c>
      <c r="AT11" s="2" t="s">
        <v>74</v>
      </c>
      <c r="AU11" s="2" t="s">
        <v>74</v>
      </c>
      <c r="AV11" s="2" t="s">
        <v>74</v>
      </c>
      <c r="AW11" s="2" t="s">
        <v>74</v>
      </c>
      <c r="AX11" s="2" t="s">
        <v>74</v>
      </c>
      <c r="AY11" s="2" t="s">
        <v>74</v>
      </c>
      <c r="AZ11" s="2" t="s">
        <v>74</v>
      </c>
      <c r="BA11" s="2" t="s">
        <v>74</v>
      </c>
      <c r="BB11" s="2" t="s">
        <v>74</v>
      </c>
      <c r="BC11" s="2" t="s">
        <v>74</v>
      </c>
      <c r="BD11" s="2" t="s">
        <v>74</v>
      </c>
      <c r="BE11" s="2" t="s">
        <v>74</v>
      </c>
      <c r="BF11" s="2" t="s">
        <v>74</v>
      </c>
      <c r="BG11" s="2" t="s">
        <v>74</v>
      </c>
      <c r="BH11" s="2" t="s">
        <v>74</v>
      </c>
      <c r="BI11" s="2" t="s">
        <v>74</v>
      </c>
      <c r="BJ11" s="2" t="s">
        <v>74</v>
      </c>
      <c r="BK11" s="2" t="s">
        <v>74</v>
      </c>
      <c r="BL11" s="2" t="s">
        <v>74</v>
      </c>
      <c r="BM11" s="2" t="s">
        <v>74</v>
      </c>
      <c r="BN11" s="2" t="s">
        <v>74</v>
      </c>
      <c r="BO11" s="2" t="s">
        <v>74</v>
      </c>
      <c r="BP11" s="2" t="s">
        <v>74</v>
      </c>
      <c r="BQ11" s="2" t="s">
        <v>74</v>
      </c>
      <c r="BR11" s="2" t="s">
        <v>74</v>
      </c>
      <c r="BS11" s="2" t="s">
        <v>74</v>
      </c>
      <c r="BT11" s="2" t="s">
        <v>74</v>
      </c>
      <c r="BU11" s="2" t="s">
        <v>74</v>
      </c>
      <c r="BV11" s="2" t="s">
        <v>74</v>
      </c>
      <c r="BW11" s="2" t="s">
        <v>74</v>
      </c>
      <c r="BX11" s="2" t="s">
        <v>74</v>
      </c>
      <c r="BY11" s="2" t="s">
        <v>74</v>
      </c>
      <c r="BZ11" s="2">
        <v>15</v>
      </c>
      <c r="CA11" s="2">
        <v>94.42</v>
      </c>
      <c r="CB11" s="2">
        <v>5</v>
      </c>
      <c r="CC11" s="2">
        <v>2793</v>
      </c>
      <c r="CD11" s="2">
        <v>5</v>
      </c>
      <c r="CE11" s="2">
        <v>15945</v>
      </c>
      <c r="CF11" s="2">
        <v>5</v>
      </c>
      <c r="CG11" s="2">
        <v>130.22999999999999</v>
      </c>
      <c r="CH11" s="2">
        <v>10</v>
      </c>
      <c r="CI11" s="2">
        <v>8654.5400000000009</v>
      </c>
      <c r="CJ11" s="2">
        <v>10</v>
      </c>
      <c r="CK11" s="2">
        <v>100</v>
      </c>
      <c r="CL11" s="2">
        <v>0</v>
      </c>
      <c r="CM11" s="2">
        <v>100</v>
      </c>
      <c r="CN11" s="2">
        <v>0</v>
      </c>
      <c r="CO11" s="2">
        <v>100</v>
      </c>
      <c r="CP11" s="2">
        <v>0</v>
      </c>
      <c r="CQ11" s="2">
        <v>100</v>
      </c>
      <c r="CR11" s="2">
        <v>0</v>
      </c>
      <c r="CS11" s="2">
        <v>100</v>
      </c>
      <c r="CT11" s="2">
        <v>0</v>
      </c>
      <c r="CU11" s="2">
        <v>100</v>
      </c>
      <c r="CV11" s="2" t="s">
        <v>74</v>
      </c>
      <c r="CW11" s="2" t="s">
        <v>74</v>
      </c>
      <c r="CX11" s="2" t="s">
        <v>74</v>
      </c>
      <c r="CY11" s="2" t="s">
        <v>74</v>
      </c>
    </row>
    <row r="12" spans="1:103" ht="34.799999999999997" x14ac:dyDescent="0.25">
      <c r="A12" s="3" t="s">
        <v>83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 t="s">
        <v>74</v>
      </c>
      <c r="I12" s="4" t="s">
        <v>74</v>
      </c>
      <c r="J12" s="4" t="s">
        <v>74</v>
      </c>
      <c r="K12" s="4" t="s">
        <v>74</v>
      </c>
      <c r="L12" s="4">
        <v>3</v>
      </c>
      <c r="M12" s="4">
        <v>46159.26</v>
      </c>
      <c r="N12" s="4">
        <v>0</v>
      </c>
      <c r="O12" s="4">
        <v>95</v>
      </c>
      <c r="P12" s="4">
        <v>0</v>
      </c>
      <c r="Q12" s="4">
        <v>0</v>
      </c>
      <c r="R12" s="4" t="s">
        <v>74</v>
      </c>
      <c r="S12" s="4" t="s">
        <v>74</v>
      </c>
      <c r="T12" s="4">
        <v>3</v>
      </c>
      <c r="U12" s="4">
        <v>42.28</v>
      </c>
      <c r="V12" s="4" t="s">
        <v>74</v>
      </c>
      <c r="W12" s="4" t="s">
        <v>74</v>
      </c>
      <c r="X12" s="4" t="s">
        <v>74</v>
      </c>
      <c r="Y12" s="4" t="s">
        <v>74</v>
      </c>
      <c r="Z12" s="4" t="s">
        <v>74</v>
      </c>
      <c r="AA12" s="4" t="s">
        <v>74</v>
      </c>
      <c r="AB12" s="4" t="s">
        <v>74</v>
      </c>
      <c r="AC12" s="4" t="s">
        <v>74</v>
      </c>
      <c r="AD12" s="4" t="s">
        <v>74</v>
      </c>
      <c r="AE12" s="4" t="s">
        <v>74</v>
      </c>
      <c r="AF12" s="4">
        <v>2</v>
      </c>
      <c r="AG12" s="4">
        <v>253.84</v>
      </c>
      <c r="AH12" s="4">
        <v>6</v>
      </c>
      <c r="AI12" s="4">
        <v>64</v>
      </c>
      <c r="AJ12" s="4">
        <v>6</v>
      </c>
      <c r="AK12" s="4">
        <v>230</v>
      </c>
      <c r="AL12" s="4">
        <v>3</v>
      </c>
      <c r="AM12" s="4">
        <v>95</v>
      </c>
      <c r="AN12" s="4">
        <v>3</v>
      </c>
      <c r="AO12" s="4">
        <v>13.8</v>
      </c>
      <c r="AP12" s="4">
        <v>3</v>
      </c>
      <c r="AQ12" s="4">
        <v>2.17</v>
      </c>
      <c r="AR12" s="4">
        <v>2</v>
      </c>
      <c r="AS12" s="4">
        <v>253.84</v>
      </c>
      <c r="AT12" s="4">
        <v>1.5</v>
      </c>
      <c r="AU12" s="4">
        <v>20423.150000000001</v>
      </c>
      <c r="AV12" s="4">
        <v>5</v>
      </c>
      <c r="AW12" s="4">
        <v>95</v>
      </c>
      <c r="AX12" s="4">
        <v>5</v>
      </c>
      <c r="AY12" s="4">
        <v>95</v>
      </c>
      <c r="AZ12" s="4">
        <v>4</v>
      </c>
      <c r="BA12" s="4">
        <v>95</v>
      </c>
      <c r="BB12" s="4">
        <v>3</v>
      </c>
      <c r="BC12" s="4">
        <v>95</v>
      </c>
      <c r="BD12" s="4">
        <v>4</v>
      </c>
      <c r="BE12" s="4">
        <v>95</v>
      </c>
      <c r="BF12" s="4">
        <v>12.5</v>
      </c>
      <c r="BG12" s="4">
        <v>9519.7000000000007</v>
      </c>
      <c r="BH12" s="4">
        <v>7</v>
      </c>
      <c r="BI12" s="4">
        <v>11.35</v>
      </c>
      <c r="BJ12" s="4">
        <v>7</v>
      </c>
      <c r="BK12" s="4">
        <v>35.72</v>
      </c>
      <c r="BL12" s="4">
        <v>20</v>
      </c>
      <c r="BM12" s="4">
        <v>73.69</v>
      </c>
      <c r="BN12" s="4" t="s">
        <v>74</v>
      </c>
      <c r="BO12" s="4" t="s">
        <v>74</v>
      </c>
      <c r="BP12" s="4" t="s">
        <v>74</v>
      </c>
      <c r="BQ12" s="4" t="s">
        <v>74</v>
      </c>
      <c r="BR12" s="4">
        <v>0</v>
      </c>
      <c r="BS12" s="4">
        <v>0</v>
      </c>
      <c r="BT12" s="4" t="s">
        <v>74</v>
      </c>
      <c r="BU12" s="4" t="s">
        <v>74</v>
      </c>
      <c r="BV12" s="4" t="s">
        <v>74</v>
      </c>
      <c r="BW12" s="4" t="s">
        <v>74</v>
      </c>
      <c r="BX12" s="4" t="s">
        <v>74</v>
      </c>
      <c r="BY12" s="4" t="s">
        <v>74</v>
      </c>
      <c r="BZ12" s="4" t="s">
        <v>74</v>
      </c>
      <c r="CA12" s="4" t="s">
        <v>74</v>
      </c>
      <c r="CB12" s="4" t="s">
        <v>74</v>
      </c>
      <c r="CC12" s="4" t="s">
        <v>74</v>
      </c>
      <c r="CD12" s="4" t="s">
        <v>74</v>
      </c>
      <c r="CE12" s="4" t="s">
        <v>74</v>
      </c>
      <c r="CF12" s="4" t="s">
        <v>74</v>
      </c>
      <c r="CG12" s="4" t="s">
        <v>74</v>
      </c>
      <c r="CH12" s="4" t="s">
        <v>74</v>
      </c>
      <c r="CI12" s="4" t="s">
        <v>74</v>
      </c>
      <c r="CJ12" s="4" t="s">
        <v>74</v>
      </c>
      <c r="CK12" s="4" t="s">
        <v>74</v>
      </c>
      <c r="CL12" s="4" t="s">
        <v>74</v>
      </c>
      <c r="CM12" s="4" t="s">
        <v>74</v>
      </c>
      <c r="CN12" s="4" t="s">
        <v>74</v>
      </c>
      <c r="CO12" s="4" t="s">
        <v>74</v>
      </c>
      <c r="CP12" s="4" t="s">
        <v>74</v>
      </c>
      <c r="CQ12" s="4" t="s">
        <v>74</v>
      </c>
      <c r="CR12" s="4" t="s">
        <v>74</v>
      </c>
      <c r="CS12" s="4" t="s">
        <v>74</v>
      </c>
      <c r="CT12" s="4" t="s">
        <v>74</v>
      </c>
      <c r="CU12" s="4" t="s">
        <v>74</v>
      </c>
      <c r="CV12" s="4" t="s">
        <v>74</v>
      </c>
      <c r="CW12" s="4" t="s">
        <v>74</v>
      </c>
      <c r="CX12" s="4" t="s">
        <v>74</v>
      </c>
      <c r="CY12" s="4" t="s">
        <v>74</v>
      </c>
    </row>
    <row r="13" spans="1:103" ht="34.799999999999997" x14ac:dyDescent="0.25">
      <c r="A13" s="1" t="s">
        <v>84</v>
      </c>
      <c r="B13" s="2" t="s">
        <v>74</v>
      </c>
      <c r="C13" s="2" t="s">
        <v>74</v>
      </c>
      <c r="D13" s="2" t="s">
        <v>74</v>
      </c>
      <c r="E13" s="2" t="s">
        <v>74</v>
      </c>
      <c r="F13" s="2" t="s">
        <v>74</v>
      </c>
      <c r="G13" s="2" t="s">
        <v>74</v>
      </c>
      <c r="H13" s="2" t="s">
        <v>74</v>
      </c>
      <c r="I13" s="2" t="s">
        <v>74</v>
      </c>
      <c r="J13" s="2" t="s">
        <v>74</v>
      </c>
      <c r="K13" s="2" t="s">
        <v>74</v>
      </c>
      <c r="L13" s="2" t="s">
        <v>74</v>
      </c>
      <c r="M13" s="2" t="s">
        <v>74</v>
      </c>
      <c r="N13" s="2" t="s">
        <v>74</v>
      </c>
      <c r="O13" s="2" t="s">
        <v>74</v>
      </c>
      <c r="P13" s="2" t="s">
        <v>74</v>
      </c>
      <c r="Q13" s="2" t="s">
        <v>74</v>
      </c>
      <c r="R13" s="2" t="s">
        <v>74</v>
      </c>
      <c r="S13" s="2" t="s">
        <v>74</v>
      </c>
      <c r="T13" s="2" t="s">
        <v>74</v>
      </c>
      <c r="U13" s="2" t="s">
        <v>74</v>
      </c>
      <c r="V13" s="2" t="s">
        <v>74</v>
      </c>
      <c r="W13" s="2" t="s">
        <v>74</v>
      </c>
      <c r="X13" s="2" t="s">
        <v>74</v>
      </c>
      <c r="Y13" s="2" t="s">
        <v>74</v>
      </c>
      <c r="Z13" s="2" t="s">
        <v>74</v>
      </c>
      <c r="AA13" s="2" t="s">
        <v>74</v>
      </c>
      <c r="AB13" s="2" t="s">
        <v>74</v>
      </c>
      <c r="AC13" s="2" t="s">
        <v>74</v>
      </c>
      <c r="AD13" s="2" t="s">
        <v>74</v>
      </c>
      <c r="AE13" s="2" t="s">
        <v>74</v>
      </c>
      <c r="AF13" s="2" t="s">
        <v>74</v>
      </c>
      <c r="AG13" s="2" t="s">
        <v>74</v>
      </c>
      <c r="AH13" s="2" t="s">
        <v>74</v>
      </c>
      <c r="AI13" s="2" t="s">
        <v>74</v>
      </c>
      <c r="AJ13" s="2" t="s">
        <v>74</v>
      </c>
      <c r="AK13" s="2" t="s">
        <v>74</v>
      </c>
      <c r="AL13" s="2" t="s">
        <v>74</v>
      </c>
      <c r="AM13" s="2" t="s">
        <v>74</v>
      </c>
      <c r="AN13" s="2" t="s">
        <v>74</v>
      </c>
      <c r="AO13" s="2" t="s">
        <v>74</v>
      </c>
      <c r="AP13" s="2" t="s">
        <v>74</v>
      </c>
      <c r="AQ13" s="2" t="s">
        <v>74</v>
      </c>
      <c r="AR13" s="2" t="s">
        <v>74</v>
      </c>
      <c r="AS13" s="2" t="s">
        <v>74</v>
      </c>
      <c r="AT13" s="2" t="s">
        <v>74</v>
      </c>
      <c r="AU13" s="2" t="s">
        <v>74</v>
      </c>
      <c r="AV13" s="2" t="s">
        <v>74</v>
      </c>
      <c r="AW13" s="2" t="s">
        <v>74</v>
      </c>
      <c r="AX13" s="2" t="s">
        <v>74</v>
      </c>
      <c r="AY13" s="2" t="s">
        <v>74</v>
      </c>
      <c r="AZ13" s="2" t="s">
        <v>74</v>
      </c>
      <c r="BA13" s="2" t="s">
        <v>74</v>
      </c>
      <c r="BB13" s="2" t="s">
        <v>74</v>
      </c>
      <c r="BC13" s="2" t="s">
        <v>74</v>
      </c>
      <c r="BD13" s="2" t="s">
        <v>74</v>
      </c>
      <c r="BE13" s="2" t="s">
        <v>74</v>
      </c>
      <c r="BF13" s="2" t="s">
        <v>74</v>
      </c>
      <c r="BG13" s="2" t="s">
        <v>74</v>
      </c>
      <c r="BH13" s="2" t="s">
        <v>74</v>
      </c>
      <c r="BI13" s="2" t="s">
        <v>74</v>
      </c>
      <c r="BJ13" s="2" t="s">
        <v>74</v>
      </c>
      <c r="BK13" s="2" t="s">
        <v>74</v>
      </c>
      <c r="BL13" s="2" t="s">
        <v>74</v>
      </c>
      <c r="BM13" s="2" t="s">
        <v>74</v>
      </c>
      <c r="BN13" s="2" t="s">
        <v>74</v>
      </c>
      <c r="BO13" s="2" t="s">
        <v>74</v>
      </c>
      <c r="BP13" s="2" t="s">
        <v>74</v>
      </c>
      <c r="BQ13" s="2" t="s">
        <v>74</v>
      </c>
      <c r="BR13" s="2" t="s">
        <v>74</v>
      </c>
      <c r="BS13" s="2" t="s">
        <v>74</v>
      </c>
      <c r="BT13" s="2" t="s">
        <v>74</v>
      </c>
      <c r="BU13" s="2" t="s">
        <v>74</v>
      </c>
      <c r="BV13" s="2" t="s">
        <v>74</v>
      </c>
      <c r="BW13" s="2" t="s">
        <v>74</v>
      </c>
      <c r="BX13" s="2" t="s">
        <v>74</v>
      </c>
      <c r="BY13" s="2" t="s">
        <v>74</v>
      </c>
      <c r="BZ13" s="2" t="s">
        <v>74</v>
      </c>
      <c r="CA13" s="2" t="s">
        <v>74</v>
      </c>
      <c r="CB13" s="2" t="s">
        <v>74</v>
      </c>
      <c r="CC13" s="2" t="s">
        <v>74</v>
      </c>
      <c r="CD13" s="2" t="s">
        <v>74</v>
      </c>
      <c r="CE13" s="2" t="s">
        <v>74</v>
      </c>
      <c r="CF13" s="2" t="s">
        <v>74</v>
      </c>
      <c r="CG13" s="2" t="s">
        <v>74</v>
      </c>
      <c r="CH13" s="2" t="s">
        <v>74</v>
      </c>
      <c r="CI13" s="2" t="s">
        <v>74</v>
      </c>
      <c r="CJ13" s="2" t="s">
        <v>74</v>
      </c>
      <c r="CK13" s="2" t="s">
        <v>74</v>
      </c>
      <c r="CL13" s="2" t="s">
        <v>74</v>
      </c>
      <c r="CM13" s="2" t="s">
        <v>74</v>
      </c>
      <c r="CN13" s="2" t="s">
        <v>74</v>
      </c>
      <c r="CO13" s="2" t="s">
        <v>74</v>
      </c>
      <c r="CP13" s="2" t="s">
        <v>74</v>
      </c>
      <c r="CQ13" s="2" t="s">
        <v>74</v>
      </c>
      <c r="CR13" s="2" t="s">
        <v>74</v>
      </c>
      <c r="CS13" s="2" t="s">
        <v>74</v>
      </c>
      <c r="CT13" s="2" t="s">
        <v>74</v>
      </c>
      <c r="CU13" s="2" t="s">
        <v>74</v>
      </c>
      <c r="CV13" s="2" t="s">
        <v>74</v>
      </c>
      <c r="CW13" s="2" t="s">
        <v>74</v>
      </c>
      <c r="CX13" s="2" t="s">
        <v>74</v>
      </c>
      <c r="CY13" s="2" t="s">
        <v>74</v>
      </c>
    </row>
    <row r="14" spans="1:103" ht="17.399999999999999" x14ac:dyDescent="0.25">
      <c r="A14" s="3" t="s">
        <v>85</v>
      </c>
      <c r="B14" s="4" t="s">
        <v>74</v>
      </c>
      <c r="C14" s="4" t="s">
        <v>74</v>
      </c>
      <c r="D14" s="4" t="s">
        <v>74</v>
      </c>
      <c r="E14" s="4" t="s">
        <v>74</v>
      </c>
      <c r="F14" s="4" t="s">
        <v>74</v>
      </c>
      <c r="G14" s="4" t="s">
        <v>74</v>
      </c>
      <c r="H14" s="4" t="s">
        <v>74</v>
      </c>
      <c r="I14" s="4" t="s">
        <v>74</v>
      </c>
      <c r="J14" s="4" t="s">
        <v>74</v>
      </c>
      <c r="K14" s="4" t="s">
        <v>74</v>
      </c>
      <c r="L14" s="4" t="s">
        <v>74</v>
      </c>
      <c r="M14" s="4" t="s">
        <v>74</v>
      </c>
      <c r="N14" s="4" t="s">
        <v>74</v>
      </c>
      <c r="O14" s="4" t="s">
        <v>74</v>
      </c>
      <c r="P14" s="4" t="s">
        <v>74</v>
      </c>
      <c r="Q14" s="4" t="s">
        <v>74</v>
      </c>
      <c r="R14" s="4" t="s">
        <v>74</v>
      </c>
      <c r="S14" s="4" t="s">
        <v>74</v>
      </c>
      <c r="T14" s="4" t="s">
        <v>74</v>
      </c>
      <c r="U14" s="4" t="s">
        <v>74</v>
      </c>
      <c r="V14" s="4" t="s">
        <v>74</v>
      </c>
      <c r="W14" s="4" t="s">
        <v>74</v>
      </c>
      <c r="X14" s="4" t="s">
        <v>74</v>
      </c>
      <c r="Y14" s="4" t="s">
        <v>74</v>
      </c>
      <c r="Z14" s="4" t="s">
        <v>74</v>
      </c>
      <c r="AA14" s="4" t="s">
        <v>74</v>
      </c>
      <c r="AB14" s="4" t="s">
        <v>74</v>
      </c>
      <c r="AC14" s="4" t="s">
        <v>74</v>
      </c>
      <c r="AD14" s="4" t="s">
        <v>74</v>
      </c>
      <c r="AE14" s="4" t="s">
        <v>74</v>
      </c>
      <c r="AF14" s="4" t="s">
        <v>74</v>
      </c>
      <c r="AG14" s="4" t="s">
        <v>74</v>
      </c>
      <c r="AH14" s="4" t="s">
        <v>74</v>
      </c>
      <c r="AI14" s="4" t="s">
        <v>74</v>
      </c>
      <c r="AJ14" s="4" t="s">
        <v>74</v>
      </c>
      <c r="AK14" s="4" t="s">
        <v>74</v>
      </c>
      <c r="AL14" s="4" t="s">
        <v>74</v>
      </c>
      <c r="AM14" s="4" t="s">
        <v>74</v>
      </c>
      <c r="AN14" s="4" t="s">
        <v>74</v>
      </c>
      <c r="AO14" s="4" t="s">
        <v>74</v>
      </c>
      <c r="AP14" s="4" t="s">
        <v>74</v>
      </c>
      <c r="AQ14" s="4" t="s">
        <v>74</v>
      </c>
      <c r="AR14" s="4" t="s">
        <v>74</v>
      </c>
      <c r="AS14" s="4" t="s">
        <v>74</v>
      </c>
      <c r="AT14" s="4" t="s">
        <v>74</v>
      </c>
      <c r="AU14" s="4" t="s">
        <v>74</v>
      </c>
      <c r="AV14" s="4" t="s">
        <v>74</v>
      </c>
      <c r="AW14" s="4" t="s">
        <v>74</v>
      </c>
      <c r="AX14" s="4" t="s">
        <v>74</v>
      </c>
      <c r="AY14" s="4" t="s">
        <v>74</v>
      </c>
      <c r="AZ14" s="4" t="s">
        <v>74</v>
      </c>
      <c r="BA14" s="4" t="s">
        <v>74</v>
      </c>
      <c r="BB14" s="4" t="s">
        <v>74</v>
      </c>
      <c r="BC14" s="4" t="s">
        <v>74</v>
      </c>
      <c r="BD14" s="4" t="s">
        <v>74</v>
      </c>
      <c r="BE14" s="4" t="s">
        <v>74</v>
      </c>
      <c r="BF14" s="4" t="s">
        <v>74</v>
      </c>
      <c r="BG14" s="4" t="s">
        <v>74</v>
      </c>
      <c r="BH14" s="4" t="s">
        <v>74</v>
      </c>
      <c r="BI14" s="4" t="s">
        <v>74</v>
      </c>
      <c r="BJ14" s="4" t="s">
        <v>74</v>
      </c>
      <c r="BK14" s="4" t="s">
        <v>74</v>
      </c>
      <c r="BL14" s="4" t="s">
        <v>74</v>
      </c>
      <c r="BM14" s="4" t="s">
        <v>74</v>
      </c>
      <c r="BN14" s="4" t="s">
        <v>74</v>
      </c>
      <c r="BO14" s="4" t="s">
        <v>74</v>
      </c>
      <c r="BP14" s="4" t="s">
        <v>74</v>
      </c>
      <c r="BQ14" s="4" t="s">
        <v>74</v>
      </c>
      <c r="BR14" s="4" t="s">
        <v>74</v>
      </c>
      <c r="BS14" s="4" t="s">
        <v>74</v>
      </c>
      <c r="BT14" s="4" t="s">
        <v>74</v>
      </c>
      <c r="BU14" s="4" t="s">
        <v>74</v>
      </c>
      <c r="BV14" s="4" t="s">
        <v>74</v>
      </c>
      <c r="BW14" s="4" t="s">
        <v>74</v>
      </c>
      <c r="BX14" s="4" t="s">
        <v>74</v>
      </c>
      <c r="BY14" s="4" t="s">
        <v>74</v>
      </c>
      <c r="BZ14" s="4">
        <v>15</v>
      </c>
      <c r="CA14" s="4">
        <v>94.42</v>
      </c>
      <c r="CB14" s="4">
        <v>5</v>
      </c>
      <c r="CC14" s="4">
        <v>2793</v>
      </c>
      <c r="CD14" s="4">
        <v>5</v>
      </c>
      <c r="CE14" s="4">
        <v>15945</v>
      </c>
      <c r="CF14" s="4">
        <v>5</v>
      </c>
      <c r="CG14" s="4">
        <v>130.22999999999999</v>
      </c>
      <c r="CH14" s="4">
        <v>10</v>
      </c>
      <c r="CI14" s="4">
        <v>8654.5400000000009</v>
      </c>
      <c r="CJ14" s="4">
        <v>6</v>
      </c>
      <c r="CK14" s="4">
        <v>100</v>
      </c>
      <c r="CL14" s="4">
        <v>0</v>
      </c>
      <c r="CM14" s="4">
        <v>100</v>
      </c>
      <c r="CN14" s="4">
        <v>0</v>
      </c>
      <c r="CO14" s="4">
        <v>100</v>
      </c>
      <c r="CP14" s="4">
        <v>0</v>
      </c>
      <c r="CQ14" s="4">
        <v>100</v>
      </c>
      <c r="CR14" s="4">
        <v>0</v>
      </c>
      <c r="CS14" s="4">
        <v>100</v>
      </c>
      <c r="CT14" s="4">
        <v>0</v>
      </c>
      <c r="CU14" s="4">
        <v>100</v>
      </c>
      <c r="CV14" s="4" t="s">
        <v>74</v>
      </c>
      <c r="CW14" s="4" t="s">
        <v>74</v>
      </c>
      <c r="CX14" s="4">
        <v>4</v>
      </c>
      <c r="CY14" s="4">
        <v>100</v>
      </c>
    </row>
    <row r="15" spans="1:103" ht="34.799999999999997" x14ac:dyDescent="0.25">
      <c r="A15" s="1" t="s">
        <v>86</v>
      </c>
      <c r="B15" s="2" t="s">
        <v>74</v>
      </c>
      <c r="C15" s="2" t="s">
        <v>74</v>
      </c>
      <c r="D15" s="2" t="s">
        <v>74</v>
      </c>
      <c r="E15" s="2" t="s">
        <v>74</v>
      </c>
      <c r="F15" s="2" t="s">
        <v>74</v>
      </c>
      <c r="G15" s="2" t="s">
        <v>74</v>
      </c>
      <c r="H15" s="2" t="s">
        <v>74</v>
      </c>
      <c r="I15" s="2" t="s">
        <v>74</v>
      </c>
      <c r="J15" s="2" t="s">
        <v>74</v>
      </c>
      <c r="K15" s="2" t="s">
        <v>74</v>
      </c>
      <c r="L15" s="2" t="s">
        <v>74</v>
      </c>
      <c r="M15" s="2" t="s">
        <v>74</v>
      </c>
      <c r="N15" s="2" t="s">
        <v>74</v>
      </c>
      <c r="O15" s="2" t="s">
        <v>74</v>
      </c>
      <c r="P15" s="2" t="s">
        <v>74</v>
      </c>
      <c r="Q15" s="2" t="s">
        <v>74</v>
      </c>
      <c r="R15" s="2" t="s">
        <v>74</v>
      </c>
      <c r="S15" s="2" t="s">
        <v>74</v>
      </c>
      <c r="T15" s="2" t="s">
        <v>74</v>
      </c>
      <c r="U15" s="2" t="s">
        <v>74</v>
      </c>
      <c r="V15" s="2" t="s">
        <v>74</v>
      </c>
      <c r="W15" s="2" t="s">
        <v>74</v>
      </c>
      <c r="X15" s="2" t="s">
        <v>74</v>
      </c>
      <c r="Y15" s="2" t="s">
        <v>74</v>
      </c>
      <c r="Z15" s="2" t="s">
        <v>74</v>
      </c>
      <c r="AA15" s="2" t="s">
        <v>74</v>
      </c>
      <c r="AB15" s="2" t="s">
        <v>74</v>
      </c>
      <c r="AC15" s="2" t="s">
        <v>74</v>
      </c>
      <c r="AD15" s="2" t="s">
        <v>74</v>
      </c>
      <c r="AE15" s="2" t="s">
        <v>74</v>
      </c>
      <c r="AF15" s="2" t="s">
        <v>74</v>
      </c>
      <c r="AG15" s="2" t="s">
        <v>74</v>
      </c>
      <c r="AH15" s="2" t="s">
        <v>74</v>
      </c>
      <c r="AI15" s="2" t="s">
        <v>74</v>
      </c>
      <c r="AJ15" s="2" t="s">
        <v>74</v>
      </c>
      <c r="AK15" s="2" t="s">
        <v>74</v>
      </c>
      <c r="AL15" s="2" t="s">
        <v>74</v>
      </c>
      <c r="AM15" s="2" t="s">
        <v>74</v>
      </c>
      <c r="AN15" s="2" t="s">
        <v>74</v>
      </c>
      <c r="AO15" s="2" t="s">
        <v>74</v>
      </c>
      <c r="AP15" s="2" t="s">
        <v>74</v>
      </c>
      <c r="AQ15" s="2" t="s">
        <v>74</v>
      </c>
      <c r="AR15" s="2" t="s">
        <v>74</v>
      </c>
      <c r="AS15" s="2" t="s">
        <v>74</v>
      </c>
      <c r="AT15" s="2" t="s">
        <v>74</v>
      </c>
      <c r="AU15" s="2" t="s">
        <v>74</v>
      </c>
      <c r="AV15" s="2" t="s">
        <v>74</v>
      </c>
      <c r="AW15" s="2" t="s">
        <v>74</v>
      </c>
      <c r="AX15" s="2" t="s">
        <v>74</v>
      </c>
      <c r="AY15" s="2" t="s">
        <v>74</v>
      </c>
      <c r="AZ15" s="2" t="s">
        <v>74</v>
      </c>
      <c r="BA15" s="2" t="s">
        <v>74</v>
      </c>
      <c r="BB15" s="2" t="s">
        <v>74</v>
      </c>
      <c r="BC15" s="2" t="s">
        <v>74</v>
      </c>
      <c r="BD15" s="2" t="s">
        <v>74</v>
      </c>
      <c r="BE15" s="2" t="s">
        <v>74</v>
      </c>
      <c r="BF15" s="2" t="s">
        <v>74</v>
      </c>
      <c r="BG15" s="2" t="s">
        <v>74</v>
      </c>
      <c r="BH15" s="2" t="s">
        <v>74</v>
      </c>
      <c r="BI15" s="2" t="s">
        <v>74</v>
      </c>
      <c r="BJ15" s="2" t="s">
        <v>74</v>
      </c>
      <c r="BK15" s="2" t="s">
        <v>74</v>
      </c>
      <c r="BL15" s="2" t="s">
        <v>74</v>
      </c>
      <c r="BM15" s="2" t="s">
        <v>74</v>
      </c>
      <c r="BN15" s="2" t="s">
        <v>74</v>
      </c>
      <c r="BO15" s="2" t="s">
        <v>74</v>
      </c>
      <c r="BP15" s="2" t="s">
        <v>74</v>
      </c>
      <c r="BQ15" s="2" t="s">
        <v>74</v>
      </c>
      <c r="BR15" s="2" t="s">
        <v>74</v>
      </c>
      <c r="BS15" s="2" t="s">
        <v>74</v>
      </c>
      <c r="BT15" s="2" t="s">
        <v>74</v>
      </c>
      <c r="BU15" s="2" t="s">
        <v>74</v>
      </c>
      <c r="BV15" s="2" t="s">
        <v>74</v>
      </c>
      <c r="BW15" s="2" t="s">
        <v>74</v>
      </c>
      <c r="BX15" s="2" t="s">
        <v>74</v>
      </c>
      <c r="BY15" s="2" t="s">
        <v>74</v>
      </c>
      <c r="BZ15" s="2" t="s">
        <v>74</v>
      </c>
      <c r="CA15" s="2" t="s">
        <v>74</v>
      </c>
      <c r="CB15" s="2" t="s">
        <v>74</v>
      </c>
      <c r="CC15" s="2" t="s">
        <v>74</v>
      </c>
      <c r="CD15" s="2" t="s">
        <v>74</v>
      </c>
      <c r="CE15" s="2" t="s">
        <v>74</v>
      </c>
      <c r="CF15" s="2" t="s">
        <v>74</v>
      </c>
      <c r="CG15" s="2" t="s">
        <v>74</v>
      </c>
      <c r="CH15" s="2" t="s">
        <v>74</v>
      </c>
      <c r="CI15" s="2" t="s">
        <v>74</v>
      </c>
      <c r="CJ15" s="2" t="s">
        <v>74</v>
      </c>
      <c r="CK15" s="2" t="s">
        <v>74</v>
      </c>
      <c r="CL15" s="2" t="s">
        <v>74</v>
      </c>
      <c r="CM15" s="2" t="s">
        <v>74</v>
      </c>
      <c r="CN15" s="2" t="s">
        <v>74</v>
      </c>
      <c r="CO15" s="2" t="s">
        <v>74</v>
      </c>
      <c r="CP15" s="2" t="s">
        <v>74</v>
      </c>
      <c r="CQ15" s="2" t="s">
        <v>74</v>
      </c>
      <c r="CR15" s="2" t="s">
        <v>74</v>
      </c>
      <c r="CS15" s="2" t="s">
        <v>74</v>
      </c>
      <c r="CT15" s="2" t="s">
        <v>74</v>
      </c>
      <c r="CU15" s="2" t="s">
        <v>74</v>
      </c>
      <c r="CV15" s="2" t="s">
        <v>74</v>
      </c>
      <c r="CW15" s="2" t="s">
        <v>74</v>
      </c>
      <c r="CX15" s="2" t="s">
        <v>74</v>
      </c>
      <c r="CY15" s="2" t="s">
        <v>74</v>
      </c>
    </row>
    <row r="16" spans="1:103" ht="34.799999999999997" x14ac:dyDescent="0.25">
      <c r="A16" s="3" t="s">
        <v>87</v>
      </c>
      <c r="B16" s="4" t="s">
        <v>74</v>
      </c>
      <c r="C16" s="4" t="s">
        <v>74</v>
      </c>
      <c r="D16" s="4" t="s">
        <v>74</v>
      </c>
      <c r="E16" s="4" t="s">
        <v>74</v>
      </c>
      <c r="F16" s="4" t="s">
        <v>74</v>
      </c>
      <c r="G16" s="4" t="s">
        <v>74</v>
      </c>
      <c r="H16" s="4" t="s">
        <v>74</v>
      </c>
      <c r="I16" s="4" t="s">
        <v>74</v>
      </c>
      <c r="J16" s="4" t="s">
        <v>74</v>
      </c>
      <c r="K16" s="4" t="s">
        <v>74</v>
      </c>
      <c r="L16" s="4" t="s">
        <v>74</v>
      </c>
      <c r="M16" s="4" t="s">
        <v>74</v>
      </c>
      <c r="N16" s="4" t="s">
        <v>74</v>
      </c>
      <c r="O16" s="4" t="s">
        <v>74</v>
      </c>
      <c r="P16" s="4" t="s">
        <v>74</v>
      </c>
      <c r="Q16" s="4" t="s">
        <v>74</v>
      </c>
      <c r="R16" s="4" t="s">
        <v>74</v>
      </c>
      <c r="S16" s="4" t="s">
        <v>74</v>
      </c>
      <c r="T16" s="4" t="s">
        <v>74</v>
      </c>
      <c r="U16" s="4" t="s">
        <v>74</v>
      </c>
      <c r="V16" s="4" t="s">
        <v>74</v>
      </c>
      <c r="W16" s="4" t="s">
        <v>74</v>
      </c>
      <c r="X16" s="4" t="s">
        <v>74</v>
      </c>
      <c r="Y16" s="4" t="s">
        <v>74</v>
      </c>
      <c r="Z16" s="4" t="s">
        <v>74</v>
      </c>
      <c r="AA16" s="4" t="s">
        <v>74</v>
      </c>
      <c r="AB16" s="4" t="s">
        <v>74</v>
      </c>
      <c r="AC16" s="4" t="s">
        <v>74</v>
      </c>
      <c r="AD16" s="4" t="s">
        <v>74</v>
      </c>
      <c r="AE16" s="4" t="s">
        <v>74</v>
      </c>
      <c r="AF16" s="4" t="s">
        <v>74</v>
      </c>
      <c r="AG16" s="4" t="s">
        <v>74</v>
      </c>
      <c r="AH16" s="4" t="s">
        <v>74</v>
      </c>
      <c r="AI16" s="4" t="s">
        <v>74</v>
      </c>
      <c r="AJ16" s="4" t="s">
        <v>74</v>
      </c>
      <c r="AK16" s="4" t="s">
        <v>74</v>
      </c>
      <c r="AL16" s="4" t="s">
        <v>74</v>
      </c>
      <c r="AM16" s="4" t="s">
        <v>74</v>
      </c>
      <c r="AN16" s="4" t="s">
        <v>74</v>
      </c>
      <c r="AO16" s="4" t="s">
        <v>74</v>
      </c>
      <c r="AP16" s="4" t="s">
        <v>74</v>
      </c>
      <c r="AQ16" s="4" t="s">
        <v>74</v>
      </c>
      <c r="AR16" s="4" t="s">
        <v>74</v>
      </c>
      <c r="AS16" s="4" t="s">
        <v>74</v>
      </c>
      <c r="AT16" s="4" t="s">
        <v>74</v>
      </c>
      <c r="AU16" s="4" t="s">
        <v>74</v>
      </c>
      <c r="AV16" s="4" t="s">
        <v>74</v>
      </c>
      <c r="AW16" s="4" t="s">
        <v>74</v>
      </c>
      <c r="AX16" s="4" t="s">
        <v>74</v>
      </c>
      <c r="AY16" s="4" t="s">
        <v>74</v>
      </c>
      <c r="AZ16" s="4" t="s">
        <v>74</v>
      </c>
      <c r="BA16" s="4" t="s">
        <v>74</v>
      </c>
      <c r="BB16" s="4" t="s">
        <v>74</v>
      </c>
      <c r="BC16" s="4" t="s">
        <v>74</v>
      </c>
      <c r="BD16" s="4" t="s">
        <v>74</v>
      </c>
      <c r="BE16" s="4" t="s">
        <v>74</v>
      </c>
      <c r="BF16" s="4" t="s">
        <v>74</v>
      </c>
      <c r="BG16" s="4" t="s">
        <v>74</v>
      </c>
      <c r="BH16" s="4" t="s">
        <v>74</v>
      </c>
      <c r="BI16" s="4" t="s">
        <v>74</v>
      </c>
      <c r="BJ16" s="4" t="s">
        <v>74</v>
      </c>
      <c r="BK16" s="4" t="s">
        <v>74</v>
      </c>
      <c r="BL16" s="4" t="s">
        <v>74</v>
      </c>
      <c r="BM16" s="4" t="s">
        <v>74</v>
      </c>
      <c r="BN16" s="4" t="s">
        <v>74</v>
      </c>
      <c r="BO16" s="4" t="s">
        <v>74</v>
      </c>
      <c r="BP16" s="4" t="s">
        <v>74</v>
      </c>
      <c r="BQ16" s="4" t="s">
        <v>74</v>
      </c>
      <c r="BR16" s="4" t="s">
        <v>74</v>
      </c>
      <c r="BS16" s="4" t="s">
        <v>74</v>
      </c>
      <c r="BT16" s="4" t="s">
        <v>74</v>
      </c>
      <c r="BU16" s="4" t="s">
        <v>74</v>
      </c>
      <c r="BV16" s="4" t="s">
        <v>74</v>
      </c>
      <c r="BW16" s="4" t="s">
        <v>74</v>
      </c>
      <c r="BX16" s="4" t="s">
        <v>74</v>
      </c>
      <c r="BY16" s="4" t="s">
        <v>74</v>
      </c>
      <c r="BZ16" s="4">
        <v>15</v>
      </c>
      <c r="CA16" s="4">
        <v>94.42</v>
      </c>
      <c r="CB16" s="4">
        <v>5</v>
      </c>
      <c r="CC16" s="4">
        <v>2793</v>
      </c>
      <c r="CD16" s="4">
        <v>5</v>
      </c>
      <c r="CE16" s="4">
        <v>15945</v>
      </c>
      <c r="CF16" s="4">
        <v>5</v>
      </c>
      <c r="CG16" s="4">
        <v>130.22999999999999</v>
      </c>
      <c r="CH16" s="4">
        <v>10</v>
      </c>
      <c r="CI16" s="4">
        <v>8654.5400000000009</v>
      </c>
      <c r="CJ16" s="4">
        <v>10</v>
      </c>
      <c r="CK16" s="4">
        <v>100</v>
      </c>
      <c r="CL16" s="4">
        <v>0</v>
      </c>
      <c r="CM16" s="4">
        <v>100</v>
      </c>
      <c r="CN16" s="4">
        <v>0</v>
      </c>
      <c r="CO16" s="4">
        <v>100</v>
      </c>
      <c r="CP16" s="4">
        <v>0</v>
      </c>
      <c r="CQ16" s="4">
        <v>100</v>
      </c>
      <c r="CR16" s="4">
        <v>0</v>
      </c>
      <c r="CS16" s="4">
        <v>100</v>
      </c>
      <c r="CT16" s="4">
        <v>0</v>
      </c>
      <c r="CU16" s="4">
        <v>100</v>
      </c>
      <c r="CV16" s="4" t="s">
        <v>74</v>
      </c>
      <c r="CW16" s="4" t="s">
        <v>74</v>
      </c>
      <c r="CX16" s="4" t="s">
        <v>74</v>
      </c>
      <c r="CY16" s="4" t="s">
        <v>74</v>
      </c>
    </row>
    <row r="17" spans="1:103" ht="17.399999999999999" x14ac:dyDescent="0.25">
      <c r="A17" s="1" t="s">
        <v>88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 t="s">
        <v>74</v>
      </c>
      <c r="I17" s="2" t="s">
        <v>74</v>
      </c>
      <c r="J17" s="2" t="s">
        <v>74</v>
      </c>
      <c r="K17" s="2" t="s">
        <v>74</v>
      </c>
      <c r="L17" s="2">
        <v>3</v>
      </c>
      <c r="M17" s="2">
        <v>24713.21</v>
      </c>
      <c r="N17" s="2">
        <v>0</v>
      </c>
      <c r="O17" s="2">
        <v>95</v>
      </c>
      <c r="P17" s="2">
        <v>0</v>
      </c>
      <c r="Q17" s="2">
        <v>0</v>
      </c>
      <c r="R17" s="2" t="s">
        <v>74</v>
      </c>
      <c r="S17" s="2" t="s">
        <v>74</v>
      </c>
      <c r="T17" s="2">
        <v>3</v>
      </c>
      <c r="U17" s="2">
        <v>50.42</v>
      </c>
      <c r="V17" s="2" t="s">
        <v>74</v>
      </c>
      <c r="W17" s="2" t="s">
        <v>74</v>
      </c>
      <c r="X17" s="2" t="s">
        <v>74</v>
      </c>
      <c r="Y17" s="2" t="s">
        <v>74</v>
      </c>
      <c r="Z17" s="2" t="s">
        <v>74</v>
      </c>
      <c r="AA17" s="2" t="s">
        <v>74</v>
      </c>
      <c r="AB17" s="2" t="s">
        <v>74</v>
      </c>
      <c r="AC17" s="2" t="s">
        <v>74</v>
      </c>
      <c r="AD17" s="2" t="s">
        <v>74</v>
      </c>
      <c r="AE17" s="2" t="s">
        <v>74</v>
      </c>
      <c r="AF17" s="2">
        <v>2</v>
      </c>
      <c r="AG17" s="2">
        <v>208.69</v>
      </c>
      <c r="AH17" s="2">
        <v>6</v>
      </c>
      <c r="AI17" s="2">
        <v>116</v>
      </c>
      <c r="AJ17" s="2">
        <v>6</v>
      </c>
      <c r="AK17" s="2">
        <v>1125</v>
      </c>
      <c r="AL17" s="2">
        <v>3</v>
      </c>
      <c r="AM17" s="2">
        <v>95</v>
      </c>
      <c r="AN17" s="2">
        <v>3</v>
      </c>
      <c r="AO17" s="2">
        <v>11.57</v>
      </c>
      <c r="AP17" s="2">
        <v>3</v>
      </c>
      <c r="AQ17" s="2">
        <v>2.04</v>
      </c>
      <c r="AR17" s="2">
        <v>2</v>
      </c>
      <c r="AS17" s="2">
        <v>208.69</v>
      </c>
      <c r="AT17" s="2">
        <v>1.5</v>
      </c>
      <c r="AU17" s="2">
        <v>11866.73</v>
      </c>
      <c r="AV17" s="2">
        <v>5</v>
      </c>
      <c r="AW17" s="2">
        <v>95</v>
      </c>
      <c r="AX17" s="2">
        <v>5</v>
      </c>
      <c r="AY17" s="2">
        <v>95</v>
      </c>
      <c r="AZ17" s="2">
        <v>4</v>
      </c>
      <c r="BA17" s="2">
        <v>95</v>
      </c>
      <c r="BB17" s="2">
        <v>3</v>
      </c>
      <c r="BC17" s="2">
        <v>95</v>
      </c>
      <c r="BD17" s="2">
        <v>4</v>
      </c>
      <c r="BE17" s="2">
        <v>95</v>
      </c>
      <c r="BF17" s="2">
        <v>12.5</v>
      </c>
      <c r="BG17" s="2">
        <v>8978.56</v>
      </c>
      <c r="BH17" s="2">
        <v>7</v>
      </c>
      <c r="BI17" s="2">
        <v>16.010000000000002</v>
      </c>
      <c r="BJ17" s="2">
        <v>7</v>
      </c>
      <c r="BK17" s="2">
        <v>25.01</v>
      </c>
      <c r="BL17" s="2">
        <v>20</v>
      </c>
      <c r="BM17" s="2">
        <v>43.28</v>
      </c>
      <c r="BN17" s="2" t="s">
        <v>74</v>
      </c>
      <c r="BO17" s="2" t="s">
        <v>74</v>
      </c>
      <c r="BP17" s="2" t="s">
        <v>74</v>
      </c>
      <c r="BQ17" s="2" t="s">
        <v>74</v>
      </c>
      <c r="BR17" s="2">
        <v>0</v>
      </c>
      <c r="BS17" s="2">
        <v>0</v>
      </c>
      <c r="BT17" s="2" t="s">
        <v>74</v>
      </c>
      <c r="BU17" s="2" t="s">
        <v>74</v>
      </c>
      <c r="BV17" s="2" t="s">
        <v>74</v>
      </c>
      <c r="BW17" s="2" t="s">
        <v>74</v>
      </c>
      <c r="BX17" s="2" t="s">
        <v>74</v>
      </c>
      <c r="BY17" s="2" t="s">
        <v>74</v>
      </c>
      <c r="BZ17" s="2" t="s">
        <v>74</v>
      </c>
      <c r="CA17" s="2" t="s">
        <v>74</v>
      </c>
      <c r="CB17" s="2" t="s">
        <v>74</v>
      </c>
      <c r="CC17" s="2" t="s">
        <v>74</v>
      </c>
      <c r="CD17" s="2" t="s">
        <v>74</v>
      </c>
      <c r="CE17" s="2" t="s">
        <v>74</v>
      </c>
      <c r="CF17" s="2" t="s">
        <v>74</v>
      </c>
      <c r="CG17" s="2" t="s">
        <v>74</v>
      </c>
      <c r="CH17" s="2" t="s">
        <v>74</v>
      </c>
      <c r="CI17" s="2" t="s">
        <v>74</v>
      </c>
      <c r="CJ17" s="2" t="s">
        <v>74</v>
      </c>
      <c r="CK17" s="2" t="s">
        <v>74</v>
      </c>
      <c r="CL17" s="2" t="s">
        <v>74</v>
      </c>
      <c r="CM17" s="2" t="s">
        <v>74</v>
      </c>
      <c r="CN17" s="2" t="s">
        <v>74</v>
      </c>
      <c r="CO17" s="2" t="s">
        <v>74</v>
      </c>
      <c r="CP17" s="2" t="s">
        <v>74</v>
      </c>
      <c r="CQ17" s="2" t="s">
        <v>74</v>
      </c>
      <c r="CR17" s="2" t="s">
        <v>74</v>
      </c>
      <c r="CS17" s="2" t="s">
        <v>74</v>
      </c>
      <c r="CT17" s="2" t="s">
        <v>74</v>
      </c>
      <c r="CU17" s="2" t="s">
        <v>74</v>
      </c>
      <c r="CV17" s="2" t="s">
        <v>74</v>
      </c>
      <c r="CW17" s="2" t="s">
        <v>74</v>
      </c>
      <c r="CX17" s="2" t="s">
        <v>74</v>
      </c>
      <c r="CY17" s="2" t="s">
        <v>74</v>
      </c>
    </row>
    <row r="18" spans="1:103" ht="17.399999999999999" x14ac:dyDescent="0.25">
      <c r="A18" s="3" t="s">
        <v>89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 t="s">
        <v>74</v>
      </c>
      <c r="I18" s="4" t="s">
        <v>74</v>
      </c>
      <c r="J18" s="4" t="s">
        <v>74</v>
      </c>
      <c r="K18" s="4" t="s">
        <v>74</v>
      </c>
      <c r="L18" s="4" t="s">
        <v>74</v>
      </c>
      <c r="M18" s="4" t="s">
        <v>74</v>
      </c>
      <c r="N18" s="4">
        <v>0</v>
      </c>
      <c r="O18" s="4">
        <v>95</v>
      </c>
      <c r="P18" s="4">
        <v>0</v>
      </c>
      <c r="Q18" s="4">
        <v>0</v>
      </c>
      <c r="R18" s="4" t="s">
        <v>74</v>
      </c>
      <c r="S18" s="4" t="s">
        <v>74</v>
      </c>
      <c r="T18" s="4" t="s">
        <v>74</v>
      </c>
      <c r="U18" s="4" t="s">
        <v>74</v>
      </c>
      <c r="V18" s="4" t="s">
        <v>74</v>
      </c>
      <c r="W18" s="4" t="s">
        <v>74</v>
      </c>
      <c r="X18" s="4" t="s">
        <v>74</v>
      </c>
      <c r="Y18" s="4" t="s">
        <v>74</v>
      </c>
      <c r="Z18" s="4" t="s">
        <v>74</v>
      </c>
      <c r="AA18" s="4" t="s">
        <v>74</v>
      </c>
      <c r="AB18" s="4" t="s">
        <v>74</v>
      </c>
      <c r="AC18" s="4" t="s">
        <v>74</v>
      </c>
      <c r="AD18" s="4" t="s">
        <v>74</v>
      </c>
      <c r="AE18" s="4" t="s">
        <v>74</v>
      </c>
      <c r="AF18" s="4">
        <v>2.5</v>
      </c>
      <c r="AG18" s="4">
        <v>279.42</v>
      </c>
      <c r="AH18" s="4" t="s">
        <v>74</v>
      </c>
      <c r="AI18" s="4" t="s">
        <v>74</v>
      </c>
      <c r="AJ18" s="4">
        <v>10</v>
      </c>
      <c r="AK18" s="4">
        <v>508</v>
      </c>
      <c r="AL18" s="4">
        <v>3</v>
      </c>
      <c r="AM18" s="4">
        <v>95</v>
      </c>
      <c r="AN18" s="4" t="s">
        <v>74</v>
      </c>
      <c r="AO18" s="4" t="s">
        <v>74</v>
      </c>
      <c r="AP18" s="4" t="s">
        <v>74</v>
      </c>
      <c r="AQ18" s="4" t="s">
        <v>74</v>
      </c>
      <c r="AR18" s="4">
        <v>2.5</v>
      </c>
      <c r="AS18" s="4">
        <v>279.42</v>
      </c>
      <c r="AT18" s="4" t="s">
        <v>74</v>
      </c>
      <c r="AU18" s="4" t="s">
        <v>74</v>
      </c>
      <c r="AV18" s="4">
        <v>5</v>
      </c>
      <c r="AW18" s="4">
        <v>95</v>
      </c>
      <c r="AX18" s="4" t="s">
        <v>74</v>
      </c>
      <c r="AY18" s="4" t="s">
        <v>74</v>
      </c>
      <c r="AZ18" s="4">
        <v>5</v>
      </c>
      <c r="BA18" s="4">
        <v>95</v>
      </c>
      <c r="BB18" s="4">
        <v>5</v>
      </c>
      <c r="BC18" s="4">
        <v>95</v>
      </c>
      <c r="BD18" s="4">
        <v>4</v>
      </c>
      <c r="BE18" s="4">
        <v>95</v>
      </c>
      <c r="BF18" s="4" t="s">
        <v>74</v>
      </c>
      <c r="BG18" s="4" t="s">
        <v>74</v>
      </c>
      <c r="BH18" s="4" t="s">
        <v>74</v>
      </c>
      <c r="BI18" s="4" t="s">
        <v>74</v>
      </c>
      <c r="BJ18" s="4" t="s">
        <v>74</v>
      </c>
      <c r="BK18" s="4" t="s">
        <v>74</v>
      </c>
      <c r="BL18" s="4" t="s">
        <v>74</v>
      </c>
      <c r="BM18" s="4" t="s">
        <v>74</v>
      </c>
      <c r="BN18" s="4" t="s">
        <v>74</v>
      </c>
      <c r="BO18" s="4" t="s">
        <v>74</v>
      </c>
      <c r="BP18" s="4">
        <v>15</v>
      </c>
      <c r="BQ18" s="4">
        <v>10.37</v>
      </c>
      <c r="BR18" s="4">
        <v>0</v>
      </c>
      <c r="BS18" s="4">
        <v>0</v>
      </c>
      <c r="BT18" s="4">
        <v>8</v>
      </c>
      <c r="BU18" s="4">
        <v>2.74</v>
      </c>
      <c r="BV18" s="4">
        <v>10</v>
      </c>
      <c r="BW18" s="4">
        <v>25.82</v>
      </c>
      <c r="BX18" s="4">
        <v>30</v>
      </c>
      <c r="BY18" s="4">
        <v>63.98</v>
      </c>
      <c r="BZ18" s="4" t="s">
        <v>74</v>
      </c>
      <c r="CA18" s="4" t="s">
        <v>74</v>
      </c>
      <c r="CB18" s="4" t="s">
        <v>74</v>
      </c>
      <c r="CC18" s="4" t="s">
        <v>74</v>
      </c>
      <c r="CD18" s="4" t="s">
        <v>74</v>
      </c>
      <c r="CE18" s="4" t="s">
        <v>74</v>
      </c>
      <c r="CF18" s="4" t="s">
        <v>74</v>
      </c>
      <c r="CG18" s="4" t="s">
        <v>74</v>
      </c>
      <c r="CH18" s="4" t="s">
        <v>74</v>
      </c>
      <c r="CI18" s="4" t="s">
        <v>74</v>
      </c>
      <c r="CJ18" s="4" t="s">
        <v>74</v>
      </c>
      <c r="CK18" s="4" t="s">
        <v>74</v>
      </c>
      <c r="CL18" s="4" t="s">
        <v>74</v>
      </c>
      <c r="CM18" s="4" t="s">
        <v>74</v>
      </c>
      <c r="CN18" s="4" t="s">
        <v>74</v>
      </c>
      <c r="CO18" s="4" t="s">
        <v>74</v>
      </c>
      <c r="CP18" s="4" t="s">
        <v>74</v>
      </c>
      <c r="CQ18" s="4" t="s">
        <v>74</v>
      </c>
      <c r="CR18" s="4" t="s">
        <v>74</v>
      </c>
      <c r="CS18" s="4" t="s">
        <v>74</v>
      </c>
      <c r="CT18" s="4" t="s">
        <v>74</v>
      </c>
      <c r="CU18" s="4" t="s">
        <v>74</v>
      </c>
      <c r="CV18" s="4" t="s">
        <v>74</v>
      </c>
      <c r="CW18" s="4" t="s">
        <v>74</v>
      </c>
      <c r="CX18" s="4" t="s">
        <v>74</v>
      </c>
      <c r="CY18" s="4" t="s">
        <v>74</v>
      </c>
    </row>
    <row r="19" spans="1:103" ht="34.799999999999997" x14ac:dyDescent="0.25">
      <c r="A19" s="1" t="s">
        <v>90</v>
      </c>
      <c r="B19" s="2" t="s">
        <v>74</v>
      </c>
      <c r="C19" s="2" t="s">
        <v>74</v>
      </c>
      <c r="D19" s="2" t="s">
        <v>74</v>
      </c>
      <c r="E19" s="2" t="s">
        <v>74</v>
      </c>
      <c r="F19" s="2" t="s">
        <v>74</v>
      </c>
      <c r="G19" s="2" t="s">
        <v>74</v>
      </c>
      <c r="H19" s="2" t="s">
        <v>74</v>
      </c>
      <c r="I19" s="2" t="s">
        <v>74</v>
      </c>
      <c r="J19" s="2" t="s">
        <v>74</v>
      </c>
      <c r="K19" s="2" t="s">
        <v>74</v>
      </c>
      <c r="L19" s="2" t="s">
        <v>74</v>
      </c>
      <c r="M19" s="2" t="s">
        <v>74</v>
      </c>
      <c r="N19" s="2" t="s">
        <v>74</v>
      </c>
      <c r="O19" s="2" t="s">
        <v>74</v>
      </c>
      <c r="P19" s="2" t="s">
        <v>74</v>
      </c>
      <c r="Q19" s="2" t="s">
        <v>74</v>
      </c>
      <c r="R19" s="2" t="s">
        <v>74</v>
      </c>
      <c r="S19" s="2" t="s">
        <v>74</v>
      </c>
      <c r="T19" s="2" t="s">
        <v>74</v>
      </c>
      <c r="U19" s="2" t="s">
        <v>74</v>
      </c>
      <c r="V19" s="2" t="s">
        <v>74</v>
      </c>
      <c r="W19" s="2" t="s">
        <v>74</v>
      </c>
      <c r="X19" s="2" t="s">
        <v>74</v>
      </c>
      <c r="Y19" s="2" t="s">
        <v>74</v>
      </c>
      <c r="Z19" s="2" t="s">
        <v>74</v>
      </c>
      <c r="AA19" s="2" t="s">
        <v>74</v>
      </c>
      <c r="AB19" s="2" t="s">
        <v>74</v>
      </c>
      <c r="AC19" s="2" t="s">
        <v>74</v>
      </c>
      <c r="AD19" s="2" t="s">
        <v>74</v>
      </c>
      <c r="AE19" s="2" t="s">
        <v>74</v>
      </c>
      <c r="AF19" s="2" t="s">
        <v>74</v>
      </c>
      <c r="AG19" s="2" t="s">
        <v>74</v>
      </c>
      <c r="AH19" s="2" t="s">
        <v>74</v>
      </c>
      <c r="AI19" s="2" t="s">
        <v>74</v>
      </c>
      <c r="AJ19" s="2" t="s">
        <v>74</v>
      </c>
      <c r="AK19" s="2" t="s">
        <v>74</v>
      </c>
      <c r="AL19" s="2" t="s">
        <v>74</v>
      </c>
      <c r="AM19" s="2" t="s">
        <v>74</v>
      </c>
      <c r="AN19" s="2" t="s">
        <v>74</v>
      </c>
      <c r="AO19" s="2" t="s">
        <v>74</v>
      </c>
      <c r="AP19" s="2" t="s">
        <v>74</v>
      </c>
      <c r="AQ19" s="2" t="s">
        <v>74</v>
      </c>
      <c r="AR19" s="2" t="s">
        <v>74</v>
      </c>
      <c r="AS19" s="2" t="s">
        <v>74</v>
      </c>
      <c r="AT19" s="2" t="s">
        <v>74</v>
      </c>
      <c r="AU19" s="2" t="s">
        <v>74</v>
      </c>
      <c r="AV19" s="2" t="s">
        <v>74</v>
      </c>
      <c r="AW19" s="2" t="s">
        <v>74</v>
      </c>
      <c r="AX19" s="2" t="s">
        <v>74</v>
      </c>
      <c r="AY19" s="2" t="s">
        <v>74</v>
      </c>
      <c r="AZ19" s="2" t="s">
        <v>74</v>
      </c>
      <c r="BA19" s="2" t="s">
        <v>74</v>
      </c>
      <c r="BB19" s="2" t="s">
        <v>74</v>
      </c>
      <c r="BC19" s="2" t="s">
        <v>74</v>
      </c>
      <c r="BD19" s="2" t="s">
        <v>74</v>
      </c>
      <c r="BE19" s="2" t="s">
        <v>74</v>
      </c>
      <c r="BF19" s="2" t="s">
        <v>74</v>
      </c>
      <c r="BG19" s="2" t="s">
        <v>74</v>
      </c>
      <c r="BH19" s="2" t="s">
        <v>74</v>
      </c>
      <c r="BI19" s="2" t="s">
        <v>74</v>
      </c>
      <c r="BJ19" s="2" t="s">
        <v>74</v>
      </c>
      <c r="BK19" s="2" t="s">
        <v>74</v>
      </c>
      <c r="BL19" s="2" t="s">
        <v>74</v>
      </c>
      <c r="BM19" s="2" t="s">
        <v>74</v>
      </c>
      <c r="BN19" s="2" t="s">
        <v>74</v>
      </c>
      <c r="BO19" s="2" t="s">
        <v>74</v>
      </c>
      <c r="BP19" s="2" t="s">
        <v>74</v>
      </c>
      <c r="BQ19" s="2" t="s">
        <v>74</v>
      </c>
      <c r="BR19" s="2" t="s">
        <v>74</v>
      </c>
      <c r="BS19" s="2" t="s">
        <v>74</v>
      </c>
      <c r="BT19" s="2" t="s">
        <v>74</v>
      </c>
      <c r="BU19" s="2" t="s">
        <v>74</v>
      </c>
      <c r="BV19" s="2" t="s">
        <v>74</v>
      </c>
      <c r="BW19" s="2" t="s">
        <v>74</v>
      </c>
      <c r="BX19" s="2" t="s">
        <v>74</v>
      </c>
      <c r="BY19" s="2" t="s">
        <v>74</v>
      </c>
      <c r="BZ19" s="2">
        <v>15</v>
      </c>
      <c r="CA19" s="2">
        <v>94.42</v>
      </c>
      <c r="CB19" s="2">
        <v>5</v>
      </c>
      <c r="CC19" s="2">
        <v>2793</v>
      </c>
      <c r="CD19" s="2">
        <v>5</v>
      </c>
      <c r="CE19" s="2">
        <v>15945</v>
      </c>
      <c r="CF19" s="2">
        <v>5</v>
      </c>
      <c r="CG19" s="2">
        <v>130.22999999999999</v>
      </c>
      <c r="CH19" s="2">
        <v>10</v>
      </c>
      <c r="CI19" s="2">
        <v>8654.5400000000009</v>
      </c>
      <c r="CJ19" s="2">
        <v>6</v>
      </c>
      <c r="CK19" s="2">
        <v>100</v>
      </c>
      <c r="CL19" s="2">
        <v>0</v>
      </c>
      <c r="CM19" s="2">
        <v>100</v>
      </c>
      <c r="CN19" s="2">
        <v>0</v>
      </c>
      <c r="CO19" s="2">
        <v>100</v>
      </c>
      <c r="CP19" s="2">
        <v>0</v>
      </c>
      <c r="CQ19" s="2">
        <v>100</v>
      </c>
      <c r="CR19" s="2">
        <v>0</v>
      </c>
      <c r="CS19" s="2">
        <v>100</v>
      </c>
      <c r="CT19" s="2">
        <v>0</v>
      </c>
      <c r="CU19" s="2">
        <v>100</v>
      </c>
      <c r="CV19" s="2" t="s">
        <v>74</v>
      </c>
      <c r="CW19" s="2" t="s">
        <v>74</v>
      </c>
      <c r="CX19" s="2">
        <v>4</v>
      </c>
      <c r="CY19" s="2">
        <v>100</v>
      </c>
    </row>
    <row r="20" spans="1:103" ht="17.399999999999999" x14ac:dyDescent="0.25">
      <c r="A20" s="3" t="s">
        <v>91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 t="s">
        <v>74</v>
      </c>
      <c r="I20" s="4" t="s">
        <v>74</v>
      </c>
      <c r="J20" s="4" t="s">
        <v>74</v>
      </c>
      <c r="K20" s="4" t="s">
        <v>74</v>
      </c>
      <c r="L20" s="4">
        <v>3</v>
      </c>
      <c r="M20" s="4">
        <v>18140.259999999998</v>
      </c>
      <c r="N20" s="4">
        <v>0</v>
      </c>
      <c r="O20" s="4">
        <v>95</v>
      </c>
      <c r="P20" s="4">
        <v>0</v>
      </c>
      <c r="Q20" s="4">
        <v>0</v>
      </c>
      <c r="R20" s="4" t="s">
        <v>74</v>
      </c>
      <c r="S20" s="4" t="s">
        <v>74</v>
      </c>
      <c r="T20" s="4">
        <v>3</v>
      </c>
      <c r="U20" s="4">
        <v>17.96</v>
      </c>
      <c r="V20" s="4" t="s">
        <v>74</v>
      </c>
      <c r="W20" s="4" t="s">
        <v>74</v>
      </c>
      <c r="X20" s="4" t="s">
        <v>74</v>
      </c>
      <c r="Y20" s="4" t="s">
        <v>74</v>
      </c>
      <c r="Z20" s="4" t="s">
        <v>74</v>
      </c>
      <c r="AA20" s="4" t="s">
        <v>74</v>
      </c>
      <c r="AB20" s="4" t="s">
        <v>74</v>
      </c>
      <c r="AC20" s="4" t="s">
        <v>74</v>
      </c>
      <c r="AD20" s="4" t="s">
        <v>74</v>
      </c>
      <c r="AE20" s="4" t="s">
        <v>74</v>
      </c>
      <c r="AF20" s="4">
        <v>2</v>
      </c>
      <c r="AG20" s="4">
        <v>230.53</v>
      </c>
      <c r="AH20" s="4">
        <v>6</v>
      </c>
      <c r="AI20" s="4">
        <v>29</v>
      </c>
      <c r="AJ20" s="4">
        <v>6</v>
      </c>
      <c r="AK20" s="4">
        <v>184</v>
      </c>
      <c r="AL20" s="4">
        <v>3</v>
      </c>
      <c r="AM20" s="4">
        <v>95</v>
      </c>
      <c r="AN20" s="4">
        <v>3</v>
      </c>
      <c r="AO20" s="4">
        <v>17.53</v>
      </c>
      <c r="AP20" s="4">
        <v>3</v>
      </c>
      <c r="AQ20" s="4">
        <v>1.32</v>
      </c>
      <c r="AR20" s="4">
        <v>2</v>
      </c>
      <c r="AS20" s="4">
        <v>230.53</v>
      </c>
      <c r="AT20" s="4">
        <v>1.5</v>
      </c>
      <c r="AU20" s="4">
        <v>15250.1</v>
      </c>
      <c r="AV20" s="4">
        <v>5</v>
      </c>
      <c r="AW20" s="4">
        <v>95</v>
      </c>
      <c r="AX20" s="4">
        <v>5</v>
      </c>
      <c r="AY20" s="4">
        <v>95</v>
      </c>
      <c r="AZ20" s="4">
        <v>4</v>
      </c>
      <c r="BA20" s="4">
        <v>95</v>
      </c>
      <c r="BB20" s="4">
        <v>3</v>
      </c>
      <c r="BC20" s="4">
        <v>95</v>
      </c>
      <c r="BD20" s="4">
        <v>4</v>
      </c>
      <c r="BE20" s="4">
        <v>95</v>
      </c>
      <c r="BF20" s="4">
        <v>12.5</v>
      </c>
      <c r="BG20" s="4">
        <v>9543.92</v>
      </c>
      <c r="BH20" s="4">
        <v>7</v>
      </c>
      <c r="BI20" s="4">
        <v>5.8</v>
      </c>
      <c r="BJ20" s="4">
        <v>7</v>
      </c>
      <c r="BK20" s="4">
        <v>29.94</v>
      </c>
      <c r="BL20" s="4">
        <v>20</v>
      </c>
      <c r="BM20" s="4">
        <v>54.18</v>
      </c>
      <c r="BN20" s="4" t="s">
        <v>74</v>
      </c>
      <c r="BO20" s="4" t="s">
        <v>74</v>
      </c>
      <c r="BP20" s="4" t="s">
        <v>74</v>
      </c>
      <c r="BQ20" s="4" t="s">
        <v>74</v>
      </c>
      <c r="BR20" s="4">
        <v>0</v>
      </c>
      <c r="BS20" s="4">
        <v>0</v>
      </c>
      <c r="BT20" s="4" t="s">
        <v>74</v>
      </c>
      <c r="BU20" s="4" t="s">
        <v>74</v>
      </c>
      <c r="BV20" s="4" t="s">
        <v>74</v>
      </c>
      <c r="BW20" s="4" t="s">
        <v>74</v>
      </c>
      <c r="BX20" s="4" t="s">
        <v>74</v>
      </c>
      <c r="BY20" s="4" t="s">
        <v>74</v>
      </c>
      <c r="BZ20" s="4" t="s">
        <v>74</v>
      </c>
      <c r="CA20" s="4" t="s">
        <v>74</v>
      </c>
      <c r="CB20" s="4" t="s">
        <v>74</v>
      </c>
      <c r="CC20" s="4" t="s">
        <v>74</v>
      </c>
      <c r="CD20" s="4" t="s">
        <v>74</v>
      </c>
      <c r="CE20" s="4" t="s">
        <v>74</v>
      </c>
      <c r="CF20" s="4" t="s">
        <v>74</v>
      </c>
      <c r="CG20" s="4" t="s">
        <v>74</v>
      </c>
      <c r="CH20" s="4" t="s">
        <v>74</v>
      </c>
      <c r="CI20" s="4" t="s">
        <v>74</v>
      </c>
      <c r="CJ20" s="4" t="s">
        <v>74</v>
      </c>
      <c r="CK20" s="4" t="s">
        <v>74</v>
      </c>
      <c r="CL20" s="4" t="s">
        <v>74</v>
      </c>
      <c r="CM20" s="4" t="s">
        <v>74</v>
      </c>
      <c r="CN20" s="4" t="s">
        <v>74</v>
      </c>
      <c r="CO20" s="4" t="s">
        <v>74</v>
      </c>
      <c r="CP20" s="4" t="s">
        <v>74</v>
      </c>
      <c r="CQ20" s="4" t="s">
        <v>74</v>
      </c>
      <c r="CR20" s="4" t="s">
        <v>74</v>
      </c>
      <c r="CS20" s="4" t="s">
        <v>74</v>
      </c>
      <c r="CT20" s="4" t="s">
        <v>74</v>
      </c>
      <c r="CU20" s="4" t="s">
        <v>74</v>
      </c>
      <c r="CV20" s="4" t="s">
        <v>74</v>
      </c>
      <c r="CW20" s="4" t="s">
        <v>74</v>
      </c>
      <c r="CX20" s="4" t="s">
        <v>74</v>
      </c>
      <c r="CY20" s="4" t="s">
        <v>74</v>
      </c>
    </row>
    <row r="21" spans="1:103" ht="34.799999999999997" x14ac:dyDescent="0.25">
      <c r="A21" s="1" t="s">
        <v>92</v>
      </c>
      <c r="B21" s="2" t="s">
        <v>74</v>
      </c>
      <c r="C21" s="2" t="s">
        <v>74</v>
      </c>
      <c r="D21" s="2" t="s">
        <v>74</v>
      </c>
      <c r="E21" s="2" t="s">
        <v>74</v>
      </c>
      <c r="F21" s="2" t="s">
        <v>74</v>
      </c>
      <c r="G21" s="2" t="s">
        <v>74</v>
      </c>
      <c r="H21" s="2" t="s">
        <v>74</v>
      </c>
      <c r="I21" s="2" t="s">
        <v>74</v>
      </c>
      <c r="J21" s="2" t="s">
        <v>74</v>
      </c>
      <c r="K21" s="2" t="s">
        <v>74</v>
      </c>
      <c r="L21" s="2" t="s">
        <v>74</v>
      </c>
      <c r="M21" s="2" t="s">
        <v>74</v>
      </c>
      <c r="N21" s="2" t="s">
        <v>74</v>
      </c>
      <c r="O21" s="2" t="s">
        <v>74</v>
      </c>
      <c r="P21" s="2" t="s">
        <v>74</v>
      </c>
      <c r="Q21" s="2" t="s">
        <v>74</v>
      </c>
      <c r="R21" s="2" t="s">
        <v>74</v>
      </c>
      <c r="S21" s="2" t="s">
        <v>74</v>
      </c>
      <c r="T21" s="2" t="s">
        <v>74</v>
      </c>
      <c r="U21" s="2" t="s">
        <v>74</v>
      </c>
      <c r="V21" s="2" t="s">
        <v>74</v>
      </c>
      <c r="W21" s="2" t="s">
        <v>74</v>
      </c>
      <c r="X21" s="2" t="s">
        <v>74</v>
      </c>
      <c r="Y21" s="2" t="s">
        <v>74</v>
      </c>
      <c r="Z21" s="2" t="s">
        <v>74</v>
      </c>
      <c r="AA21" s="2" t="s">
        <v>74</v>
      </c>
      <c r="AB21" s="2" t="s">
        <v>74</v>
      </c>
      <c r="AC21" s="2" t="s">
        <v>74</v>
      </c>
      <c r="AD21" s="2" t="s">
        <v>74</v>
      </c>
      <c r="AE21" s="2" t="s">
        <v>74</v>
      </c>
      <c r="AF21" s="2" t="s">
        <v>74</v>
      </c>
      <c r="AG21" s="2" t="s">
        <v>74</v>
      </c>
      <c r="AH21" s="2" t="s">
        <v>74</v>
      </c>
      <c r="AI21" s="2" t="s">
        <v>74</v>
      </c>
      <c r="AJ21" s="2" t="s">
        <v>74</v>
      </c>
      <c r="AK21" s="2" t="s">
        <v>74</v>
      </c>
      <c r="AL21" s="2" t="s">
        <v>74</v>
      </c>
      <c r="AM21" s="2" t="s">
        <v>74</v>
      </c>
      <c r="AN21" s="2" t="s">
        <v>74</v>
      </c>
      <c r="AO21" s="2" t="s">
        <v>74</v>
      </c>
      <c r="AP21" s="2" t="s">
        <v>74</v>
      </c>
      <c r="AQ21" s="2" t="s">
        <v>74</v>
      </c>
      <c r="AR21" s="2" t="s">
        <v>74</v>
      </c>
      <c r="AS21" s="2" t="s">
        <v>74</v>
      </c>
      <c r="AT21" s="2" t="s">
        <v>74</v>
      </c>
      <c r="AU21" s="2" t="s">
        <v>74</v>
      </c>
      <c r="AV21" s="2" t="s">
        <v>74</v>
      </c>
      <c r="AW21" s="2" t="s">
        <v>74</v>
      </c>
      <c r="AX21" s="2" t="s">
        <v>74</v>
      </c>
      <c r="AY21" s="2" t="s">
        <v>74</v>
      </c>
      <c r="AZ21" s="2" t="s">
        <v>74</v>
      </c>
      <c r="BA21" s="2" t="s">
        <v>74</v>
      </c>
      <c r="BB21" s="2" t="s">
        <v>74</v>
      </c>
      <c r="BC21" s="2" t="s">
        <v>74</v>
      </c>
      <c r="BD21" s="2" t="s">
        <v>74</v>
      </c>
      <c r="BE21" s="2" t="s">
        <v>74</v>
      </c>
      <c r="BF21" s="2" t="s">
        <v>74</v>
      </c>
      <c r="BG21" s="2" t="s">
        <v>74</v>
      </c>
      <c r="BH21" s="2" t="s">
        <v>74</v>
      </c>
      <c r="BI21" s="2" t="s">
        <v>74</v>
      </c>
      <c r="BJ21" s="2" t="s">
        <v>74</v>
      </c>
      <c r="BK21" s="2" t="s">
        <v>74</v>
      </c>
      <c r="BL21" s="2" t="s">
        <v>74</v>
      </c>
      <c r="BM21" s="2" t="s">
        <v>74</v>
      </c>
      <c r="BN21" s="2" t="s">
        <v>74</v>
      </c>
      <c r="BO21" s="2" t="s">
        <v>74</v>
      </c>
      <c r="BP21" s="2" t="s">
        <v>74</v>
      </c>
      <c r="BQ21" s="2" t="s">
        <v>74</v>
      </c>
      <c r="BR21" s="2" t="s">
        <v>74</v>
      </c>
      <c r="BS21" s="2" t="s">
        <v>74</v>
      </c>
      <c r="BT21" s="2" t="s">
        <v>74</v>
      </c>
      <c r="BU21" s="2" t="s">
        <v>74</v>
      </c>
      <c r="BV21" s="2" t="s">
        <v>74</v>
      </c>
      <c r="BW21" s="2" t="s">
        <v>74</v>
      </c>
      <c r="BX21" s="2" t="s">
        <v>74</v>
      </c>
      <c r="BY21" s="2" t="s">
        <v>74</v>
      </c>
      <c r="BZ21" s="2" t="s">
        <v>74</v>
      </c>
      <c r="CA21" s="2" t="s">
        <v>74</v>
      </c>
      <c r="CB21" s="2" t="s">
        <v>74</v>
      </c>
      <c r="CC21" s="2" t="s">
        <v>74</v>
      </c>
      <c r="CD21" s="2" t="s">
        <v>74</v>
      </c>
      <c r="CE21" s="2" t="s">
        <v>74</v>
      </c>
      <c r="CF21" s="2" t="s">
        <v>74</v>
      </c>
      <c r="CG21" s="2" t="s">
        <v>74</v>
      </c>
      <c r="CH21" s="2" t="s">
        <v>74</v>
      </c>
      <c r="CI21" s="2" t="s">
        <v>74</v>
      </c>
      <c r="CJ21" s="2" t="s">
        <v>74</v>
      </c>
      <c r="CK21" s="2" t="s">
        <v>74</v>
      </c>
      <c r="CL21" s="2" t="s">
        <v>74</v>
      </c>
      <c r="CM21" s="2" t="s">
        <v>74</v>
      </c>
      <c r="CN21" s="2" t="s">
        <v>74</v>
      </c>
      <c r="CO21" s="2" t="s">
        <v>74</v>
      </c>
      <c r="CP21" s="2" t="s">
        <v>74</v>
      </c>
      <c r="CQ21" s="2" t="s">
        <v>74</v>
      </c>
      <c r="CR21" s="2" t="s">
        <v>74</v>
      </c>
      <c r="CS21" s="2" t="s">
        <v>74</v>
      </c>
      <c r="CT21" s="2" t="s">
        <v>74</v>
      </c>
      <c r="CU21" s="2" t="s">
        <v>74</v>
      </c>
      <c r="CV21" s="2" t="s">
        <v>74</v>
      </c>
      <c r="CW21" s="2" t="s">
        <v>74</v>
      </c>
      <c r="CX21" s="2" t="s">
        <v>74</v>
      </c>
      <c r="CY21" s="2" t="s">
        <v>74</v>
      </c>
    </row>
    <row r="22" spans="1:103" ht="17.399999999999999" x14ac:dyDescent="0.25">
      <c r="A22" s="3" t="s">
        <v>93</v>
      </c>
      <c r="B22" s="4" t="s">
        <v>74</v>
      </c>
      <c r="C22" s="4" t="s">
        <v>74</v>
      </c>
      <c r="D22" s="4" t="s">
        <v>74</v>
      </c>
      <c r="E22" s="4" t="s">
        <v>74</v>
      </c>
      <c r="F22" s="4" t="s">
        <v>74</v>
      </c>
      <c r="G22" s="4" t="s">
        <v>74</v>
      </c>
      <c r="H22" s="4" t="s">
        <v>74</v>
      </c>
      <c r="I22" s="4" t="s">
        <v>74</v>
      </c>
      <c r="J22" s="4" t="s">
        <v>74</v>
      </c>
      <c r="K22" s="4" t="s">
        <v>74</v>
      </c>
      <c r="L22" s="4" t="s">
        <v>74</v>
      </c>
      <c r="M22" s="4" t="s">
        <v>74</v>
      </c>
      <c r="N22" s="4" t="s">
        <v>74</v>
      </c>
      <c r="O22" s="4" t="s">
        <v>74</v>
      </c>
      <c r="P22" s="4" t="s">
        <v>74</v>
      </c>
      <c r="Q22" s="4" t="s">
        <v>74</v>
      </c>
      <c r="R22" s="4" t="s">
        <v>74</v>
      </c>
      <c r="S22" s="4" t="s">
        <v>74</v>
      </c>
      <c r="T22" s="4" t="s">
        <v>74</v>
      </c>
      <c r="U22" s="4" t="s">
        <v>74</v>
      </c>
      <c r="V22" s="4" t="s">
        <v>74</v>
      </c>
      <c r="W22" s="4" t="s">
        <v>74</v>
      </c>
      <c r="X22" s="4" t="s">
        <v>74</v>
      </c>
      <c r="Y22" s="4" t="s">
        <v>74</v>
      </c>
      <c r="Z22" s="4" t="s">
        <v>74</v>
      </c>
      <c r="AA22" s="4" t="s">
        <v>74</v>
      </c>
      <c r="AB22" s="4" t="s">
        <v>74</v>
      </c>
      <c r="AC22" s="4" t="s">
        <v>74</v>
      </c>
      <c r="AD22" s="4" t="s">
        <v>74</v>
      </c>
      <c r="AE22" s="4" t="s">
        <v>74</v>
      </c>
      <c r="AF22" s="4" t="s">
        <v>74</v>
      </c>
      <c r="AG22" s="4" t="s">
        <v>74</v>
      </c>
      <c r="AH22" s="4" t="s">
        <v>74</v>
      </c>
      <c r="AI22" s="4" t="s">
        <v>74</v>
      </c>
      <c r="AJ22" s="4" t="s">
        <v>74</v>
      </c>
      <c r="AK22" s="4" t="s">
        <v>74</v>
      </c>
      <c r="AL22" s="4" t="s">
        <v>74</v>
      </c>
      <c r="AM22" s="4" t="s">
        <v>74</v>
      </c>
      <c r="AN22" s="4" t="s">
        <v>74</v>
      </c>
      <c r="AO22" s="4" t="s">
        <v>74</v>
      </c>
      <c r="AP22" s="4" t="s">
        <v>74</v>
      </c>
      <c r="AQ22" s="4" t="s">
        <v>74</v>
      </c>
      <c r="AR22" s="4" t="s">
        <v>74</v>
      </c>
      <c r="AS22" s="4" t="s">
        <v>74</v>
      </c>
      <c r="AT22" s="4" t="s">
        <v>74</v>
      </c>
      <c r="AU22" s="4" t="s">
        <v>74</v>
      </c>
      <c r="AV22" s="4" t="s">
        <v>74</v>
      </c>
      <c r="AW22" s="4" t="s">
        <v>74</v>
      </c>
      <c r="AX22" s="4" t="s">
        <v>74</v>
      </c>
      <c r="AY22" s="4" t="s">
        <v>74</v>
      </c>
      <c r="AZ22" s="4" t="s">
        <v>74</v>
      </c>
      <c r="BA22" s="4" t="s">
        <v>74</v>
      </c>
      <c r="BB22" s="4" t="s">
        <v>74</v>
      </c>
      <c r="BC22" s="4" t="s">
        <v>74</v>
      </c>
      <c r="BD22" s="4" t="s">
        <v>74</v>
      </c>
      <c r="BE22" s="4" t="s">
        <v>74</v>
      </c>
      <c r="BF22" s="4" t="s">
        <v>74</v>
      </c>
      <c r="BG22" s="4" t="s">
        <v>74</v>
      </c>
      <c r="BH22" s="4" t="s">
        <v>74</v>
      </c>
      <c r="BI22" s="4" t="s">
        <v>74</v>
      </c>
      <c r="BJ22" s="4" t="s">
        <v>74</v>
      </c>
      <c r="BK22" s="4" t="s">
        <v>74</v>
      </c>
      <c r="BL22" s="4" t="s">
        <v>74</v>
      </c>
      <c r="BM22" s="4" t="s">
        <v>74</v>
      </c>
      <c r="BN22" s="4" t="s">
        <v>74</v>
      </c>
      <c r="BO22" s="4" t="s">
        <v>74</v>
      </c>
      <c r="BP22" s="4" t="s">
        <v>74</v>
      </c>
      <c r="BQ22" s="4" t="s">
        <v>74</v>
      </c>
      <c r="BR22" s="4" t="s">
        <v>74</v>
      </c>
      <c r="BS22" s="4" t="s">
        <v>74</v>
      </c>
      <c r="BT22" s="4" t="s">
        <v>74</v>
      </c>
      <c r="BU22" s="4" t="s">
        <v>74</v>
      </c>
      <c r="BV22" s="4" t="s">
        <v>74</v>
      </c>
      <c r="BW22" s="4" t="s">
        <v>74</v>
      </c>
      <c r="BX22" s="4" t="s">
        <v>74</v>
      </c>
      <c r="BY22" s="4" t="s">
        <v>74</v>
      </c>
      <c r="BZ22" s="4">
        <v>15</v>
      </c>
      <c r="CA22" s="4">
        <v>94.42</v>
      </c>
      <c r="CB22" s="4">
        <v>5</v>
      </c>
      <c r="CC22" s="4">
        <v>2793</v>
      </c>
      <c r="CD22" s="4">
        <v>5</v>
      </c>
      <c r="CE22" s="4">
        <v>15945</v>
      </c>
      <c r="CF22" s="4">
        <v>5</v>
      </c>
      <c r="CG22" s="4">
        <v>130.22999999999999</v>
      </c>
      <c r="CH22" s="4">
        <v>10</v>
      </c>
      <c r="CI22" s="4">
        <v>8654.5400000000009</v>
      </c>
      <c r="CJ22" s="4">
        <v>6</v>
      </c>
      <c r="CK22" s="4">
        <v>100</v>
      </c>
      <c r="CL22" s="4">
        <v>0</v>
      </c>
      <c r="CM22" s="4">
        <v>100</v>
      </c>
      <c r="CN22" s="4">
        <v>0</v>
      </c>
      <c r="CO22" s="4">
        <v>100</v>
      </c>
      <c r="CP22" s="4">
        <v>0</v>
      </c>
      <c r="CQ22" s="4">
        <v>100</v>
      </c>
      <c r="CR22" s="4">
        <v>0</v>
      </c>
      <c r="CS22" s="4">
        <v>100</v>
      </c>
      <c r="CT22" s="4">
        <v>0</v>
      </c>
      <c r="CU22" s="4">
        <v>100</v>
      </c>
      <c r="CV22" s="4" t="s">
        <v>74</v>
      </c>
      <c r="CW22" s="4" t="s">
        <v>74</v>
      </c>
      <c r="CX22" s="4">
        <v>4</v>
      </c>
      <c r="CY22" s="4">
        <v>100</v>
      </c>
    </row>
    <row r="23" spans="1:103" ht="17.399999999999999" x14ac:dyDescent="0.25">
      <c r="A23" s="1" t="s">
        <v>94</v>
      </c>
      <c r="B23" s="2">
        <v>0</v>
      </c>
      <c r="C23" s="2">
        <v>0</v>
      </c>
      <c r="D23" s="2">
        <v>0</v>
      </c>
      <c r="E23" s="2">
        <v>0</v>
      </c>
      <c r="F23" s="2" t="s">
        <v>74</v>
      </c>
      <c r="G23" s="2" t="s">
        <v>74</v>
      </c>
      <c r="H23" s="2" t="s">
        <v>74</v>
      </c>
      <c r="I23" s="2" t="s">
        <v>74</v>
      </c>
      <c r="J23" s="2" t="s">
        <v>74</v>
      </c>
      <c r="K23" s="2" t="s">
        <v>74</v>
      </c>
      <c r="L23" s="2" t="s">
        <v>74</v>
      </c>
      <c r="M23" s="2" t="s">
        <v>74</v>
      </c>
      <c r="N23" s="2" t="s">
        <v>74</v>
      </c>
      <c r="O23" s="2" t="s">
        <v>74</v>
      </c>
      <c r="P23" s="2">
        <v>0</v>
      </c>
      <c r="Q23" s="2">
        <v>0</v>
      </c>
      <c r="R23" s="2">
        <v>12</v>
      </c>
      <c r="S23" s="2">
        <v>95</v>
      </c>
      <c r="T23" s="2" t="s">
        <v>74</v>
      </c>
      <c r="U23" s="2" t="s">
        <v>74</v>
      </c>
      <c r="V23" s="2" t="s">
        <v>74</v>
      </c>
      <c r="W23" s="2" t="s">
        <v>74</v>
      </c>
      <c r="X23" s="2">
        <v>5</v>
      </c>
      <c r="Y23" s="2">
        <v>95</v>
      </c>
      <c r="Z23" s="2" t="s">
        <v>74</v>
      </c>
      <c r="AA23" s="2" t="s">
        <v>74</v>
      </c>
      <c r="AB23" s="2" t="s">
        <v>74</v>
      </c>
      <c r="AC23" s="2" t="s">
        <v>74</v>
      </c>
      <c r="AD23" s="2">
        <v>10</v>
      </c>
      <c r="AE23" s="2">
        <v>31</v>
      </c>
      <c r="AF23" s="2" t="s">
        <v>74</v>
      </c>
      <c r="AG23" s="2" t="s">
        <v>74</v>
      </c>
      <c r="AH23" s="2" t="s">
        <v>74</v>
      </c>
      <c r="AI23" s="2" t="s">
        <v>74</v>
      </c>
      <c r="AJ23" s="2" t="s">
        <v>74</v>
      </c>
      <c r="AK23" s="2" t="s">
        <v>74</v>
      </c>
      <c r="AL23" s="2">
        <v>5</v>
      </c>
      <c r="AM23" s="2">
        <v>95</v>
      </c>
      <c r="AN23" s="2" t="s">
        <v>74</v>
      </c>
      <c r="AO23" s="2" t="s">
        <v>74</v>
      </c>
      <c r="AP23" s="2" t="s">
        <v>74</v>
      </c>
      <c r="AQ23" s="2" t="s">
        <v>74</v>
      </c>
      <c r="AR23" s="2" t="s">
        <v>74</v>
      </c>
      <c r="AS23" s="2" t="s">
        <v>74</v>
      </c>
      <c r="AT23" s="2" t="s">
        <v>74</v>
      </c>
      <c r="AU23" s="2" t="s">
        <v>74</v>
      </c>
      <c r="AV23" s="2">
        <v>8</v>
      </c>
      <c r="AW23" s="2">
        <v>95</v>
      </c>
      <c r="AX23" s="2" t="s">
        <v>74</v>
      </c>
      <c r="AY23" s="2" t="s">
        <v>74</v>
      </c>
      <c r="AZ23" s="2" t="s">
        <v>74</v>
      </c>
      <c r="BA23" s="2" t="s">
        <v>74</v>
      </c>
      <c r="BB23" s="2">
        <v>5</v>
      </c>
      <c r="BC23" s="2">
        <v>95</v>
      </c>
      <c r="BD23" s="2">
        <v>5</v>
      </c>
      <c r="BE23" s="2">
        <v>95</v>
      </c>
      <c r="BF23" s="2" t="s">
        <v>74</v>
      </c>
      <c r="BG23" s="2" t="s">
        <v>74</v>
      </c>
      <c r="BH23" s="2" t="s">
        <v>74</v>
      </c>
      <c r="BI23" s="2" t="s">
        <v>74</v>
      </c>
      <c r="BJ23" s="2" t="s">
        <v>74</v>
      </c>
      <c r="BK23" s="2" t="s">
        <v>74</v>
      </c>
      <c r="BL23" s="2" t="s">
        <v>74</v>
      </c>
      <c r="BM23" s="2" t="s">
        <v>74</v>
      </c>
      <c r="BN23" s="2">
        <v>10</v>
      </c>
      <c r="BO23" s="2">
        <v>95</v>
      </c>
      <c r="BP23" s="2">
        <v>20</v>
      </c>
      <c r="BQ23" s="2">
        <v>79.03</v>
      </c>
      <c r="BR23" s="2">
        <v>0</v>
      </c>
      <c r="BS23" s="2">
        <v>0</v>
      </c>
      <c r="BT23" s="2">
        <v>5</v>
      </c>
      <c r="BU23" s="2">
        <v>31</v>
      </c>
      <c r="BV23" s="2" t="s">
        <v>74</v>
      </c>
      <c r="BW23" s="2" t="s">
        <v>74</v>
      </c>
      <c r="BX23" s="2">
        <v>15</v>
      </c>
      <c r="BY23" s="2">
        <v>44</v>
      </c>
      <c r="BZ23" s="2" t="s">
        <v>74</v>
      </c>
      <c r="CA23" s="2" t="s">
        <v>74</v>
      </c>
      <c r="CB23" s="2" t="s">
        <v>74</v>
      </c>
      <c r="CC23" s="2" t="s">
        <v>74</v>
      </c>
      <c r="CD23" s="2" t="s">
        <v>74</v>
      </c>
      <c r="CE23" s="2" t="s">
        <v>74</v>
      </c>
      <c r="CF23" s="2" t="s">
        <v>74</v>
      </c>
      <c r="CG23" s="2" t="s">
        <v>74</v>
      </c>
      <c r="CH23" s="2" t="s">
        <v>74</v>
      </c>
      <c r="CI23" s="2" t="s">
        <v>74</v>
      </c>
      <c r="CJ23" s="2" t="s">
        <v>74</v>
      </c>
      <c r="CK23" s="2" t="s">
        <v>74</v>
      </c>
      <c r="CL23" s="2" t="s">
        <v>74</v>
      </c>
      <c r="CM23" s="2" t="s">
        <v>74</v>
      </c>
      <c r="CN23" s="2" t="s">
        <v>74</v>
      </c>
      <c r="CO23" s="2" t="s">
        <v>74</v>
      </c>
      <c r="CP23" s="2" t="s">
        <v>74</v>
      </c>
      <c r="CQ23" s="2" t="s">
        <v>74</v>
      </c>
      <c r="CR23" s="2" t="s">
        <v>74</v>
      </c>
      <c r="CS23" s="2" t="s">
        <v>74</v>
      </c>
      <c r="CT23" s="2" t="s">
        <v>74</v>
      </c>
      <c r="CU23" s="2" t="s">
        <v>74</v>
      </c>
      <c r="CV23" s="2" t="s">
        <v>74</v>
      </c>
      <c r="CW23" s="2" t="s">
        <v>74</v>
      </c>
      <c r="CX23" s="2" t="s">
        <v>74</v>
      </c>
      <c r="CY23" s="2" t="s">
        <v>74</v>
      </c>
    </row>
    <row r="24" spans="1:103" ht="17.399999999999999" x14ac:dyDescent="0.25">
      <c r="A24" s="3" t="s">
        <v>95</v>
      </c>
      <c r="B24" s="4" t="s">
        <v>74</v>
      </c>
      <c r="C24" s="4" t="s">
        <v>74</v>
      </c>
      <c r="D24" s="4" t="s">
        <v>74</v>
      </c>
      <c r="E24" s="4" t="s">
        <v>74</v>
      </c>
      <c r="F24" s="4" t="s">
        <v>74</v>
      </c>
      <c r="G24" s="4" t="s">
        <v>74</v>
      </c>
      <c r="H24" s="4" t="s">
        <v>74</v>
      </c>
      <c r="I24" s="4" t="s">
        <v>74</v>
      </c>
      <c r="J24" s="4" t="s">
        <v>74</v>
      </c>
      <c r="K24" s="4" t="s">
        <v>74</v>
      </c>
      <c r="L24" s="4" t="s">
        <v>74</v>
      </c>
      <c r="M24" s="4" t="s">
        <v>74</v>
      </c>
      <c r="N24" s="4" t="s">
        <v>74</v>
      </c>
      <c r="O24" s="4" t="s">
        <v>74</v>
      </c>
      <c r="P24" s="4" t="s">
        <v>74</v>
      </c>
      <c r="Q24" s="4" t="s">
        <v>74</v>
      </c>
      <c r="R24" s="4" t="s">
        <v>74</v>
      </c>
      <c r="S24" s="4" t="s">
        <v>74</v>
      </c>
      <c r="T24" s="4" t="s">
        <v>74</v>
      </c>
      <c r="U24" s="4" t="s">
        <v>74</v>
      </c>
      <c r="V24" s="4" t="s">
        <v>74</v>
      </c>
      <c r="W24" s="4" t="s">
        <v>74</v>
      </c>
      <c r="X24" s="4" t="s">
        <v>74</v>
      </c>
      <c r="Y24" s="4" t="s">
        <v>74</v>
      </c>
      <c r="Z24" s="4" t="s">
        <v>74</v>
      </c>
      <c r="AA24" s="4" t="s">
        <v>74</v>
      </c>
      <c r="AB24" s="4" t="s">
        <v>74</v>
      </c>
      <c r="AC24" s="4" t="s">
        <v>74</v>
      </c>
      <c r="AD24" s="4" t="s">
        <v>74</v>
      </c>
      <c r="AE24" s="4" t="s">
        <v>74</v>
      </c>
      <c r="AF24" s="4" t="s">
        <v>74</v>
      </c>
      <c r="AG24" s="4" t="s">
        <v>74</v>
      </c>
      <c r="AH24" s="4" t="s">
        <v>74</v>
      </c>
      <c r="AI24" s="4" t="s">
        <v>74</v>
      </c>
      <c r="AJ24" s="4" t="s">
        <v>74</v>
      </c>
      <c r="AK24" s="4" t="s">
        <v>74</v>
      </c>
      <c r="AL24" s="4" t="s">
        <v>74</v>
      </c>
      <c r="AM24" s="4" t="s">
        <v>74</v>
      </c>
      <c r="AN24" s="4" t="s">
        <v>74</v>
      </c>
      <c r="AO24" s="4" t="s">
        <v>74</v>
      </c>
      <c r="AP24" s="4" t="s">
        <v>74</v>
      </c>
      <c r="AQ24" s="4" t="s">
        <v>74</v>
      </c>
      <c r="AR24" s="4" t="s">
        <v>74</v>
      </c>
      <c r="AS24" s="4" t="s">
        <v>74</v>
      </c>
      <c r="AT24" s="4" t="s">
        <v>74</v>
      </c>
      <c r="AU24" s="4" t="s">
        <v>74</v>
      </c>
      <c r="AV24" s="4" t="s">
        <v>74</v>
      </c>
      <c r="AW24" s="4" t="s">
        <v>74</v>
      </c>
      <c r="AX24" s="4" t="s">
        <v>74</v>
      </c>
      <c r="AY24" s="4" t="s">
        <v>74</v>
      </c>
      <c r="AZ24" s="4" t="s">
        <v>74</v>
      </c>
      <c r="BA24" s="4" t="s">
        <v>74</v>
      </c>
      <c r="BB24" s="4" t="s">
        <v>74</v>
      </c>
      <c r="BC24" s="4" t="s">
        <v>74</v>
      </c>
      <c r="BD24" s="4" t="s">
        <v>74</v>
      </c>
      <c r="BE24" s="4" t="s">
        <v>74</v>
      </c>
      <c r="BF24" s="4" t="s">
        <v>74</v>
      </c>
      <c r="BG24" s="4" t="s">
        <v>74</v>
      </c>
      <c r="BH24" s="4" t="s">
        <v>74</v>
      </c>
      <c r="BI24" s="4" t="s">
        <v>74</v>
      </c>
      <c r="BJ24" s="4" t="s">
        <v>74</v>
      </c>
      <c r="BK24" s="4" t="s">
        <v>74</v>
      </c>
      <c r="BL24" s="4" t="s">
        <v>74</v>
      </c>
      <c r="BM24" s="4" t="s">
        <v>74</v>
      </c>
      <c r="BN24" s="4" t="s">
        <v>74</v>
      </c>
      <c r="BO24" s="4" t="s">
        <v>74</v>
      </c>
      <c r="BP24" s="4" t="s">
        <v>74</v>
      </c>
      <c r="BQ24" s="4" t="s">
        <v>74</v>
      </c>
      <c r="BR24" s="4" t="s">
        <v>74</v>
      </c>
      <c r="BS24" s="4" t="s">
        <v>74</v>
      </c>
      <c r="BT24" s="4" t="s">
        <v>74</v>
      </c>
      <c r="BU24" s="4" t="s">
        <v>74</v>
      </c>
      <c r="BV24" s="4" t="s">
        <v>74</v>
      </c>
      <c r="BW24" s="4" t="s">
        <v>74</v>
      </c>
      <c r="BX24" s="4" t="s">
        <v>74</v>
      </c>
      <c r="BY24" s="4" t="s">
        <v>74</v>
      </c>
      <c r="BZ24" s="4">
        <v>15</v>
      </c>
      <c r="CA24" s="4">
        <v>94.42</v>
      </c>
      <c r="CB24" s="4">
        <v>5</v>
      </c>
      <c r="CC24" s="4">
        <v>2793</v>
      </c>
      <c r="CD24" s="4">
        <v>5</v>
      </c>
      <c r="CE24" s="4">
        <v>15945</v>
      </c>
      <c r="CF24" s="4">
        <v>5</v>
      </c>
      <c r="CG24" s="4">
        <v>130.22999999999999</v>
      </c>
      <c r="CH24" s="4">
        <v>10</v>
      </c>
      <c r="CI24" s="4">
        <v>8654.5400000000009</v>
      </c>
      <c r="CJ24" s="4">
        <v>10</v>
      </c>
      <c r="CK24" s="4">
        <v>100</v>
      </c>
      <c r="CL24" s="4">
        <v>0</v>
      </c>
      <c r="CM24" s="4">
        <v>100</v>
      </c>
      <c r="CN24" s="4">
        <v>0</v>
      </c>
      <c r="CO24" s="4">
        <v>100</v>
      </c>
      <c r="CP24" s="4">
        <v>0</v>
      </c>
      <c r="CQ24" s="4">
        <v>100</v>
      </c>
      <c r="CR24" s="4">
        <v>0</v>
      </c>
      <c r="CS24" s="4">
        <v>100</v>
      </c>
      <c r="CT24" s="4">
        <v>0</v>
      </c>
      <c r="CU24" s="4">
        <v>100</v>
      </c>
      <c r="CV24" s="4" t="s">
        <v>74</v>
      </c>
      <c r="CW24" s="4" t="s">
        <v>74</v>
      </c>
      <c r="CX24" s="4" t="s">
        <v>74</v>
      </c>
      <c r="CY24" s="4" t="s">
        <v>74</v>
      </c>
    </row>
    <row r="25" spans="1:103" ht="17.399999999999999" x14ac:dyDescent="0.25">
      <c r="A25" s="1" t="s">
        <v>96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 t="s">
        <v>74</v>
      </c>
      <c r="I25" s="2" t="s">
        <v>74</v>
      </c>
      <c r="J25" s="2" t="s">
        <v>74</v>
      </c>
      <c r="K25" s="2" t="s">
        <v>74</v>
      </c>
      <c r="L25" s="2">
        <v>3</v>
      </c>
      <c r="M25" s="2">
        <v>31803.68</v>
      </c>
      <c r="N25" s="2">
        <v>0</v>
      </c>
      <c r="O25" s="2">
        <v>95</v>
      </c>
      <c r="P25" s="2">
        <v>0</v>
      </c>
      <c r="Q25" s="2">
        <v>0</v>
      </c>
      <c r="R25" s="2" t="s">
        <v>74</v>
      </c>
      <c r="S25" s="2" t="s">
        <v>74</v>
      </c>
      <c r="T25" s="2">
        <v>3</v>
      </c>
      <c r="U25" s="2">
        <v>74.14</v>
      </c>
      <c r="V25" s="2" t="s">
        <v>74</v>
      </c>
      <c r="W25" s="2" t="s">
        <v>74</v>
      </c>
      <c r="X25" s="2" t="s">
        <v>74</v>
      </c>
      <c r="Y25" s="2" t="s">
        <v>74</v>
      </c>
      <c r="Z25" s="2" t="s">
        <v>74</v>
      </c>
      <c r="AA25" s="2" t="s">
        <v>74</v>
      </c>
      <c r="AB25" s="2" t="s">
        <v>74</v>
      </c>
      <c r="AC25" s="2" t="s">
        <v>74</v>
      </c>
      <c r="AD25" s="2" t="s">
        <v>74</v>
      </c>
      <c r="AE25" s="2" t="s">
        <v>74</v>
      </c>
      <c r="AF25" s="2">
        <v>2</v>
      </c>
      <c r="AG25" s="2">
        <v>330.37</v>
      </c>
      <c r="AH25" s="2">
        <v>6</v>
      </c>
      <c r="AI25" s="2">
        <v>150</v>
      </c>
      <c r="AJ25" s="2">
        <v>6</v>
      </c>
      <c r="AK25" s="2">
        <v>555</v>
      </c>
      <c r="AL25" s="2">
        <v>3</v>
      </c>
      <c r="AM25" s="2">
        <v>95</v>
      </c>
      <c r="AN25" s="2">
        <v>3</v>
      </c>
      <c r="AO25" s="2">
        <v>11.11</v>
      </c>
      <c r="AP25" s="2">
        <v>3</v>
      </c>
      <c r="AQ25" s="2">
        <v>2.63</v>
      </c>
      <c r="AR25" s="2">
        <v>2</v>
      </c>
      <c r="AS25" s="2">
        <v>330.37</v>
      </c>
      <c r="AT25" s="2">
        <v>1.5</v>
      </c>
      <c r="AU25" s="2">
        <v>12858.33</v>
      </c>
      <c r="AV25" s="2">
        <v>5</v>
      </c>
      <c r="AW25" s="2">
        <v>95</v>
      </c>
      <c r="AX25" s="2">
        <v>5</v>
      </c>
      <c r="AY25" s="2">
        <v>95</v>
      </c>
      <c r="AZ25" s="2">
        <v>4</v>
      </c>
      <c r="BA25" s="2">
        <v>95</v>
      </c>
      <c r="BB25" s="2">
        <v>3</v>
      </c>
      <c r="BC25" s="2">
        <v>95</v>
      </c>
      <c r="BD25" s="2">
        <v>4</v>
      </c>
      <c r="BE25" s="2">
        <v>95</v>
      </c>
      <c r="BF25" s="2">
        <v>12.5</v>
      </c>
      <c r="BG25" s="2">
        <v>7487.89</v>
      </c>
      <c r="BH25" s="2">
        <v>7</v>
      </c>
      <c r="BI25" s="2">
        <v>6.92</v>
      </c>
      <c r="BJ25" s="2">
        <v>7</v>
      </c>
      <c r="BK25" s="2">
        <v>33.36</v>
      </c>
      <c r="BL25" s="2">
        <v>20</v>
      </c>
      <c r="BM25" s="2">
        <v>54.65</v>
      </c>
      <c r="BN25" s="2" t="s">
        <v>74</v>
      </c>
      <c r="BO25" s="2" t="s">
        <v>74</v>
      </c>
      <c r="BP25" s="2" t="s">
        <v>74</v>
      </c>
      <c r="BQ25" s="2" t="s">
        <v>74</v>
      </c>
      <c r="BR25" s="2">
        <v>0</v>
      </c>
      <c r="BS25" s="2">
        <v>0</v>
      </c>
      <c r="BT25" s="2" t="s">
        <v>74</v>
      </c>
      <c r="BU25" s="2" t="s">
        <v>74</v>
      </c>
      <c r="BV25" s="2" t="s">
        <v>74</v>
      </c>
      <c r="BW25" s="2" t="s">
        <v>74</v>
      </c>
      <c r="BX25" s="2" t="s">
        <v>74</v>
      </c>
      <c r="BY25" s="2" t="s">
        <v>74</v>
      </c>
      <c r="BZ25" s="2" t="s">
        <v>74</v>
      </c>
      <c r="CA25" s="2" t="s">
        <v>74</v>
      </c>
      <c r="CB25" s="2" t="s">
        <v>74</v>
      </c>
      <c r="CC25" s="2" t="s">
        <v>74</v>
      </c>
      <c r="CD25" s="2" t="s">
        <v>74</v>
      </c>
      <c r="CE25" s="2" t="s">
        <v>74</v>
      </c>
      <c r="CF25" s="2" t="s">
        <v>74</v>
      </c>
      <c r="CG25" s="2" t="s">
        <v>74</v>
      </c>
      <c r="CH25" s="2" t="s">
        <v>74</v>
      </c>
      <c r="CI25" s="2" t="s">
        <v>74</v>
      </c>
      <c r="CJ25" s="2" t="s">
        <v>74</v>
      </c>
      <c r="CK25" s="2" t="s">
        <v>74</v>
      </c>
      <c r="CL25" s="2" t="s">
        <v>74</v>
      </c>
      <c r="CM25" s="2" t="s">
        <v>74</v>
      </c>
      <c r="CN25" s="2" t="s">
        <v>74</v>
      </c>
      <c r="CO25" s="2" t="s">
        <v>74</v>
      </c>
      <c r="CP25" s="2" t="s">
        <v>74</v>
      </c>
      <c r="CQ25" s="2" t="s">
        <v>74</v>
      </c>
      <c r="CR25" s="2" t="s">
        <v>74</v>
      </c>
      <c r="CS25" s="2" t="s">
        <v>74</v>
      </c>
      <c r="CT25" s="2" t="s">
        <v>74</v>
      </c>
      <c r="CU25" s="2" t="s">
        <v>74</v>
      </c>
      <c r="CV25" s="2" t="s">
        <v>74</v>
      </c>
      <c r="CW25" s="2" t="s">
        <v>74</v>
      </c>
      <c r="CX25" s="2" t="s">
        <v>74</v>
      </c>
      <c r="CY25" s="2" t="s">
        <v>74</v>
      </c>
    </row>
    <row r="26" spans="1:103" ht="17.399999999999999" x14ac:dyDescent="0.25">
      <c r="A26" s="3" t="s">
        <v>97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 t="s">
        <v>74</v>
      </c>
      <c r="I26" s="4" t="s">
        <v>74</v>
      </c>
      <c r="J26" s="4" t="s">
        <v>74</v>
      </c>
      <c r="K26" s="4" t="s">
        <v>74</v>
      </c>
      <c r="L26" s="4" t="s">
        <v>74</v>
      </c>
      <c r="M26" s="4" t="s">
        <v>74</v>
      </c>
      <c r="N26" s="4">
        <v>0</v>
      </c>
      <c r="O26" s="4">
        <v>95</v>
      </c>
      <c r="P26" s="4">
        <v>0</v>
      </c>
      <c r="Q26" s="4">
        <v>0</v>
      </c>
      <c r="R26" s="4" t="s">
        <v>74</v>
      </c>
      <c r="S26" s="4" t="s">
        <v>74</v>
      </c>
      <c r="T26" s="4" t="s">
        <v>74</v>
      </c>
      <c r="U26" s="4" t="s">
        <v>74</v>
      </c>
      <c r="V26" s="4" t="s">
        <v>74</v>
      </c>
      <c r="W26" s="4" t="s">
        <v>74</v>
      </c>
      <c r="X26" s="4" t="s">
        <v>74</v>
      </c>
      <c r="Y26" s="4" t="s">
        <v>74</v>
      </c>
      <c r="Z26" s="4" t="s">
        <v>74</v>
      </c>
      <c r="AA26" s="4" t="s">
        <v>74</v>
      </c>
      <c r="AB26" s="4" t="s">
        <v>74</v>
      </c>
      <c r="AC26" s="4" t="s">
        <v>74</v>
      </c>
      <c r="AD26" s="4" t="s">
        <v>74</v>
      </c>
      <c r="AE26" s="4" t="s">
        <v>74</v>
      </c>
      <c r="AF26" s="4">
        <v>0</v>
      </c>
      <c r="AG26" s="4">
        <v>375.99</v>
      </c>
      <c r="AH26" s="4" t="s">
        <v>74</v>
      </c>
      <c r="AI26" s="4" t="s">
        <v>74</v>
      </c>
      <c r="AJ26" s="4">
        <v>10</v>
      </c>
      <c r="AK26" s="4">
        <v>1685</v>
      </c>
      <c r="AL26" s="4">
        <v>3</v>
      </c>
      <c r="AM26" s="4">
        <v>95</v>
      </c>
      <c r="AN26" s="4" t="s">
        <v>74</v>
      </c>
      <c r="AO26" s="4" t="s">
        <v>74</v>
      </c>
      <c r="AP26" s="4" t="s">
        <v>74</v>
      </c>
      <c r="AQ26" s="4" t="s">
        <v>74</v>
      </c>
      <c r="AR26" s="4">
        <v>0</v>
      </c>
      <c r="AS26" s="4">
        <v>375.99</v>
      </c>
      <c r="AT26" s="4" t="s">
        <v>74</v>
      </c>
      <c r="AU26" s="4" t="s">
        <v>74</v>
      </c>
      <c r="AV26" s="4">
        <v>5</v>
      </c>
      <c r="AW26" s="4">
        <v>95</v>
      </c>
      <c r="AX26" s="4" t="s">
        <v>74</v>
      </c>
      <c r="AY26" s="4" t="s">
        <v>74</v>
      </c>
      <c r="AZ26" s="4">
        <v>5</v>
      </c>
      <c r="BA26" s="4">
        <v>95</v>
      </c>
      <c r="BB26" s="4">
        <v>5</v>
      </c>
      <c r="BC26" s="4">
        <v>95</v>
      </c>
      <c r="BD26" s="4">
        <v>4</v>
      </c>
      <c r="BE26" s="4">
        <v>95</v>
      </c>
      <c r="BF26" s="4" t="s">
        <v>74</v>
      </c>
      <c r="BG26" s="4" t="s">
        <v>74</v>
      </c>
      <c r="BH26" s="4" t="s">
        <v>74</v>
      </c>
      <c r="BI26" s="4" t="s">
        <v>74</v>
      </c>
      <c r="BJ26" s="4" t="s">
        <v>74</v>
      </c>
      <c r="BK26" s="4" t="s">
        <v>74</v>
      </c>
      <c r="BL26" s="4" t="s">
        <v>74</v>
      </c>
      <c r="BM26" s="4" t="s">
        <v>74</v>
      </c>
      <c r="BN26" s="4" t="s">
        <v>74</v>
      </c>
      <c r="BO26" s="4" t="s">
        <v>74</v>
      </c>
      <c r="BP26" s="4">
        <v>20</v>
      </c>
      <c r="BQ26" s="4">
        <v>30.31</v>
      </c>
      <c r="BR26" s="4">
        <v>0</v>
      </c>
      <c r="BS26" s="4">
        <v>0</v>
      </c>
      <c r="BT26" s="4">
        <v>8</v>
      </c>
      <c r="BU26" s="4">
        <v>2.74</v>
      </c>
      <c r="BV26" s="4" t="s">
        <v>74</v>
      </c>
      <c r="BW26" s="4" t="s">
        <v>74</v>
      </c>
      <c r="BX26" s="4">
        <v>40</v>
      </c>
      <c r="BY26" s="4">
        <v>63.98</v>
      </c>
      <c r="BZ26" s="4" t="s">
        <v>74</v>
      </c>
      <c r="CA26" s="4" t="s">
        <v>74</v>
      </c>
      <c r="CB26" s="4" t="s">
        <v>74</v>
      </c>
      <c r="CC26" s="4" t="s">
        <v>74</v>
      </c>
      <c r="CD26" s="4" t="s">
        <v>74</v>
      </c>
      <c r="CE26" s="4" t="s">
        <v>74</v>
      </c>
      <c r="CF26" s="4" t="s">
        <v>74</v>
      </c>
      <c r="CG26" s="4" t="s">
        <v>74</v>
      </c>
      <c r="CH26" s="4" t="s">
        <v>74</v>
      </c>
      <c r="CI26" s="4" t="s">
        <v>74</v>
      </c>
      <c r="CJ26" s="4" t="s">
        <v>74</v>
      </c>
      <c r="CK26" s="4" t="s">
        <v>74</v>
      </c>
      <c r="CL26" s="4" t="s">
        <v>74</v>
      </c>
      <c r="CM26" s="4" t="s">
        <v>74</v>
      </c>
      <c r="CN26" s="4" t="s">
        <v>74</v>
      </c>
      <c r="CO26" s="4" t="s">
        <v>74</v>
      </c>
      <c r="CP26" s="4" t="s">
        <v>74</v>
      </c>
      <c r="CQ26" s="4" t="s">
        <v>74</v>
      </c>
      <c r="CR26" s="4" t="s">
        <v>74</v>
      </c>
      <c r="CS26" s="4" t="s">
        <v>74</v>
      </c>
      <c r="CT26" s="4" t="s">
        <v>74</v>
      </c>
      <c r="CU26" s="4" t="s">
        <v>74</v>
      </c>
      <c r="CV26" s="4" t="s">
        <v>74</v>
      </c>
      <c r="CW26" s="4" t="s">
        <v>74</v>
      </c>
      <c r="CX26" s="4" t="s">
        <v>74</v>
      </c>
      <c r="CY26" s="4" t="s">
        <v>74</v>
      </c>
    </row>
    <row r="27" spans="1:103" ht="17.399999999999999" x14ac:dyDescent="0.25">
      <c r="A27" s="1" t="s">
        <v>98</v>
      </c>
      <c r="B27" s="2" t="s">
        <v>74</v>
      </c>
      <c r="C27" s="2" t="s">
        <v>74</v>
      </c>
      <c r="D27" s="2" t="s">
        <v>74</v>
      </c>
      <c r="E27" s="2" t="s">
        <v>74</v>
      </c>
      <c r="F27" s="2" t="s">
        <v>74</v>
      </c>
      <c r="G27" s="2" t="s">
        <v>74</v>
      </c>
      <c r="H27" s="2" t="s">
        <v>74</v>
      </c>
      <c r="I27" s="2" t="s">
        <v>74</v>
      </c>
      <c r="J27" s="2" t="s">
        <v>74</v>
      </c>
      <c r="K27" s="2" t="s">
        <v>74</v>
      </c>
      <c r="L27" s="2" t="s">
        <v>74</v>
      </c>
      <c r="M27" s="2" t="s">
        <v>74</v>
      </c>
      <c r="N27" s="2" t="s">
        <v>74</v>
      </c>
      <c r="O27" s="2" t="s">
        <v>74</v>
      </c>
      <c r="P27" s="2" t="s">
        <v>74</v>
      </c>
      <c r="Q27" s="2" t="s">
        <v>74</v>
      </c>
      <c r="R27" s="2" t="s">
        <v>74</v>
      </c>
      <c r="S27" s="2" t="s">
        <v>74</v>
      </c>
      <c r="T27" s="2" t="s">
        <v>74</v>
      </c>
      <c r="U27" s="2" t="s">
        <v>74</v>
      </c>
      <c r="V27" s="2" t="s">
        <v>74</v>
      </c>
      <c r="W27" s="2" t="s">
        <v>74</v>
      </c>
      <c r="X27" s="2" t="s">
        <v>74</v>
      </c>
      <c r="Y27" s="2" t="s">
        <v>74</v>
      </c>
      <c r="Z27" s="2" t="s">
        <v>74</v>
      </c>
      <c r="AA27" s="2" t="s">
        <v>74</v>
      </c>
      <c r="AB27" s="2" t="s">
        <v>74</v>
      </c>
      <c r="AC27" s="2" t="s">
        <v>74</v>
      </c>
      <c r="AD27" s="2" t="s">
        <v>74</v>
      </c>
      <c r="AE27" s="2" t="s">
        <v>74</v>
      </c>
      <c r="AF27" s="2" t="s">
        <v>74</v>
      </c>
      <c r="AG27" s="2" t="s">
        <v>74</v>
      </c>
      <c r="AH27" s="2" t="s">
        <v>74</v>
      </c>
      <c r="AI27" s="2" t="s">
        <v>74</v>
      </c>
      <c r="AJ27" s="2" t="s">
        <v>74</v>
      </c>
      <c r="AK27" s="2" t="s">
        <v>74</v>
      </c>
      <c r="AL27" s="2" t="s">
        <v>74</v>
      </c>
      <c r="AM27" s="2" t="s">
        <v>74</v>
      </c>
      <c r="AN27" s="2" t="s">
        <v>74</v>
      </c>
      <c r="AO27" s="2" t="s">
        <v>74</v>
      </c>
      <c r="AP27" s="2" t="s">
        <v>74</v>
      </c>
      <c r="AQ27" s="2" t="s">
        <v>74</v>
      </c>
      <c r="AR27" s="2" t="s">
        <v>74</v>
      </c>
      <c r="AS27" s="2" t="s">
        <v>74</v>
      </c>
      <c r="AT27" s="2" t="s">
        <v>74</v>
      </c>
      <c r="AU27" s="2" t="s">
        <v>74</v>
      </c>
      <c r="AV27" s="2" t="s">
        <v>74</v>
      </c>
      <c r="AW27" s="2" t="s">
        <v>74</v>
      </c>
      <c r="AX27" s="2" t="s">
        <v>74</v>
      </c>
      <c r="AY27" s="2" t="s">
        <v>74</v>
      </c>
      <c r="AZ27" s="2" t="s">
        <v>74</v>
      </c>
      <c r="BA27" s="2" t="s">
        <v>74</v>
      </c>
      <c r="BB27" s="2" t="s">
        <v>74</v>
      </c>
      <c r="BC27" s="2" t="s">
        <v>74</v>
      </c>
      <c r="BD27" s="2" t="s">
        <v>74</v>
      </c>
      <c r="BE27" s="2" t="s">
        <v>74</v>
      </c>
      <c r="BF27" s="2" t="s">
        <v>74</v>
      </c>
      <c r="BG27" s="2" t="s">
        <v>74</v>
      </c>
      <c r="BH27" s="2" t="s">
        <v>74</v>
      </c>
      <c r="BI27" s="2" t="s">
        <v>74</v>
      </c>
      <c r="BJ27" s="2" t="s">
        <v>74</v>
      </c>
      <c r="BK27" s="2" t="s">
        <v>74</v>
      </c>
      <c r="BL27" s="2" t="s">
        <v>74</v>
      </c>
      <c r="BM27" s="2" t="s">
        <v>74</v>
      </c>
      <c r="BN27" s="2" t="s">
        <v>74</v>
      </c>
      <c r="BO27" s="2" t="s">
        <v>74</v>
      </c>
      <c r="BP27" s="2" t="s">
        <v>74</v>
      </c>
      <c r="BQ27" s="2" t="s">
        <v>74</v>
      </c>
      <c r="BR27" s="2" t="s">
        <v>74</v>
      </c>
      <c r="BS27" s="2" t="s">
        <v>74</v>
      </c>
      <c r="BT27" s="2" t="s">
        <v>74</v>
      </c>
      <c r="BU27" s="2" t="s">
        <v>74</v>
      </c>
      <c r="BV27" s="2" t="s">
        <v>74</v>
      </c>
      <c r="BW27" s="2" t="s">
        <v>74</v>
      </c>
      <c r="BX27" s="2" t="s">
        <v>74</v>
      </c>
      <c r="BY27" s="2" t="s">
        <v>74</v>
      </c>
      <c r="BZ27" s="2" t="s">
        <v>74</v>
      </c>
      <c r="CA27" s="2" t="s">
        <v>74</v>
      </c>
      <c r="CB27" s="2" t="s">
        <v>74</v>
      </c>
      <c r="CC27" s="2" t="s">
        <v>74</v>
      </c>
      <c r="CD27" s="2" t="s">
        <v>74</v>
      </c>
      <c r="CE27" s="2" t="s">
        <v>74</v>
      </c>
      <c r="CF27" s="2" t="s">
        <v>74</v>
      </c>
      <c r="CG27" s="2" t="s">
        <v>74</v>
      </c>
      <c r="CH27" s="2" t="s">
        <v>74</v>
      </c>
      <c r="CI27" s="2" t="s">
        <v>74</v>
      </c>
      <c r="CJ27" s="2" t="s">
        <v>74</v>
      </c>
      <c r="CK27" s="2" t="s">
        <v>74</v>
      </c>
      <c r="CL27" s="2" t="s">
        <v>74</v>
      </c>
      <c r="CM27" s="2" t="s">
        <v>74</v>
      </c>
      <c r="CN27" s="2" t="s">
        <v>74</v>
      </c>
      <c r="CO27" s="2" t="s">
        <v>74</v>
      </c>
      <c r="CP27" s="2" t="s">
        <v>74</v>
      </c>
      <c r="CQ27" s="2" t="s">
        <v>74</v>
      </c>
      <c r="CR27" s="2" t="s">
        <v>74</v>
      </c>
      <c r="CS27" s="2" t="s">
        <v>74</v>
      </c>
      <c r="CT27" s="2" t="s">
        <v>74</v>
      </c>
      <c r="CU27" s="2" t="s">
        <v>74</v>
      </c>
      <c r="CV27" s="2">
        <v>100</v>
      </c>
      <c r="CW27" s="2">
        <v>100</v>
      </c>
      <c r="CX27" s="2" t="s">
        <v>74</v>
      </c>
      <c r="CY27" s="2" t="s">
        <v>74</v>
      </c>
    </row>
    <row r="28" spans="1:103" ht="34.799999999999997" x14ac:dyDescent="0.25">
      <c r="A28" s="3" t="s">
        <v>99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 t="s">
        <v>74</v>
      </c>
      <c r="I28" s="4" t="s">
        <v>74</v>
      </c>
      <c r="J28" s="4" t="s">
        <v>74</v>
      </c>
      <c r="K28" s="4" t="s">
        <v>74</v>
      </c>
      <c r="L28" s="4">
        <v>3</v>
      </c>
      <c r="M28" s="4">
        <v>31369.34</v>
      </c>
      <c r="N28" s="4">
        <v>0</v>
      </c>
      <c r="O28" s="4">
        <v>95</v>
      </c>
      <c r="P28" s="4">
        <v>0</v>
      </c>
      <c r="Q28" s="4">
        <v>0</v>
      </c>
      <c r="R28" s="4" t="s">
        <v>74</v>
      </c>
      <c r="S28" s="4" t="s">
        <v>74</v>
      </c>
      <c r="T28" s="4">
        <v>3</v>
      </c>
      <c r="U28" s="4">
        <v>27.22</v>
      </c>
      <c r="V28" s="4" t="s">
        <v>74</v>
      </c>
      <c r="W28" s="4" t="s">
        <v>74</v>
      </c>
      <c r="X28" s="4" t="s">
        <v>74</v>
      </c>
      <c r="Y28" s="4" t="s">
        <v>74</v>
      </c>
      <c r="Z28" s="4" t="s">
        <v>74</v>
      </c>
      <c r="AA28" s="4" t="s">
        <v>74</v>
      </c>
      <c r="AB28" s="4" t="s">
        <v>74</v>
      </c>
      <c r="AC28" s="4" t="s">
        <v>74</v>
      </c>
      <c r="AD28" s="4" t="s">
        <v>74</v>
      </c>
      <c r="AE28" s="4" t="s">
        <v>74</v>
      </c>
      <c r="AF28" s="4">
        <v>2</v>
      </c>
      <c r="AG28" s="4">
        <v>189.24</v>
      </c>
      <c r="AH28" s="4">
        <v>6</v>
      </c>
      <c r="AI28" s="4">
        <v>53</v>
      </c>
      <c r="AJ28" s="4">
        <v>6</v>
      </c>
      <c r="AK28" s="4">
        <v>83</v>
      </c>
      <c r="AL28" s="4">
        <v>3</v>
      </c>
      <c r="AM28" s="4">
        <v>95</v>
      </c>
      <c r="AN28" s="4">
        <v>3</v>
      </c>
      <c r="AO28" s="4">
        <v>12.57</v>
      </c>
      <c r="AP28" s="4">
        <v>3</v>
      </c>
      <c r="AQ28" s="4">
        <v>1.82</v>
      </c>
      <c r="AR28" s="4">
        <v>2</v>
      </c>
      <c r="AS28" s="4">
        <v>189.24</v>
      </c>
      <c r="AT28" s="4">
        <v>1.5</v>
      </c>
      <c r="AU28" s="4">
        <v>15944.65</v>
      </c>
      <c r="AV28" s="4">
        <v>5</v>
      </c>
      <c r="AW28" s="4">
        <v>95</v>
      </c>
      <c r="AX28" s="4">
        <v>5</v>
      </c>
      <c r="AY28" s="4">
        <v>95</v>
      </c>
      <c r="AZ28" s="4">
        <v>4</v>
      </c>
      <c r="BA28" s="4">
        <v>95</v>
      </c>
      <c r="BB28" s="4">
        <v>3</v>
      </c>
      <c r="BC28" s="4">
        <v>95</v>
      </c>
      <c r="BD28" s="4">
        <v>4</v>
      </c>
      <c r="BE28" s="4">
        <v>95</v>
      </c>
      <c r="BF28" s="4">
        <v>12.5</v>
      </c>
      <c r="BG28" s="4">
        <v>8517.69</v>
      </c>
      <c r="BH28" s="4">
        <v>7</v>
      </c>
      <c r="BI28" s="4">
        <v>19.64</v>
      </c>
      <c r="BJ28" s="4">
        <v>7</v>
      </c>
      <c r="BK28" s="4">
        <v>30.37</v>
      </c>
      <c r="BL28" s="4">
        <v>20</v>
      </c>
      <c r="BM28" s="4">
        <v>67.17</v>
      </c>
      <c r="BN28" s="4" t="s">
        <v>74</v>
      </c>
      <c r="BO28" s="4" t="s">
        <v>74</v>
      </c>
      <c r="BP28" s="4" t="s">
        <v>74</v>
      </c>
      <c r="BQ28" s="4" t="s">
        <v>74</v>
      </c>
      <c r="BR28" s="4">
        <v>0</v>
      </c>
      <c r="BS28" s="4">
        <v>0</v>
      </c>
      <c r="BT28" s="4" t="s">
        <v>74</v>
      </c>
      <c r="BU28" s="4" t="s">
        <v>74</v>
      </c>
      <c r="BV28" s="4" t="s">
        <v>74</v>
      </c>
      <c r="BW28" s="4" t="s">
        <v>74</v>
      </c>
      <c r="BX28" s="4" t="s">
        <v>74</v>
      </c>
      <c r="BY28" s="4" t="s">
        <v>74</v>
      </c>
      <c r="BZ28" s="4" t="s">
        <v>74</v>
      </c>
      <c r="CA28" s="4" t="s">
        <v>74</v>
      </c>
      <c r="CB28" s="4" t="s">
        <v>74</v>
      </c>
      <c r="CC28" s="4" t="s">
        <v>74</v>
      </c>
      <c r="CD28" s="4" t="s">
        <v>74</v>
      </c>
      <c r="CE28" s="4" t="s">
        <v>74</v>
      </c>
      <c r="CF28" s="4" t="s">
        <v>74</v>
      </c>
      <c r="CG28" s="4" t="s">
        <v>74</v>
      </c>
      <c r="CH28" s="4" t="s">
        <v>74</v>
      </c>
      <c r="CI28" s="4" t="s">
        <v>74</v>
      </c>
      <c r="CJ28" s="4" t="s">
        <v>74</v>
      </c>
      <c r="CK28" s="4" t="s">
        <v>74</v>
      </c>
      <c r="CL28" s="4" t="s">
        <v>74</v>
      </c>
      <c r="CM28" s="4" t="s">
        <v>74</v>
      </c>
      <c r="CN28" s="4" t="s">
        <v>74</v>
      </c>
      <c r="CO28" s="4" t="s">
        <v>74</v>
      </c>
      <c r="CP28" s="4" t="s">
        <v>74</v>
      </c>
      <c r="CQ28" s="4" t="s">
        <v>74</v>
      </c>
      <c r="CR28" s="4" t="s">
        <v>74</v>
      </c>
      <c r="CS28" s="4" t="s">
        <v>74</v>
      </c>
      <c r="CT28" s="4" t="s">
        <v>74</v>
      </c>
      <c r="CU28" s="4" t="s">
        <v>74</v>
      </c>
      <c r="CV28" s="4" t="s">
        <v>74</v>
      </c>
      <c r="CW28" s="4" t="s">
        <v>74</v>
      </c>
      <c r="CX28" s="4" t="s">
        <v>74</v>
      </c>
      <c r="CY28" s="4" t="s">
        <v>74</v>
      </c>
    </row>
    <row r="29" spans="1:103" ht="34.799999999999997" x14ac:dyDescent="0.25">
      <c r="A29" s="1" t="s">
        <v>100</v>
      </c>
      <c r="B29" s="2" t="s">
        <v>74</v>
      </c>
      <c r="C29" s="2" t="s">
        <v>74</v>
      </c>
      <c r="D29" s="2" t="s">
        <v>74</v>
      </c>
      <c r="E29" s="2" t="s">
        <v>74</v>
      </c>
      <c r="F29" s="2" t="s">
        <v>74</v>
      </c>
      <c r="G29" s="2" t="s">
        <v>74</v>
      </c>
      <c r="H29" s="2" t="s">
        <v>74</v>
      </c>
      <c r="I29" s="2" t="s">
        <v>74</v>
      </c>
      <c r="J29" s="2" t="s">
        <v>74</v>
      </c>
      <c r="K29" s="2" t="s">
        <v>74</v>
      </c>
      <c r="L29" s="2" t="s">
        <v>74</v>
      </c>
      <c r="M29" s="2" t="s">
        <v>74</v>
      </c>
      <c r="N29" s="2" t="s">
        <v>74</v>
      </c>
      <c r="O29" s="2" t="s">
        <v>74</v>
      </c>
      <c r="P29" s="2" t="s">
        <v>74</v>
      </c>
      <c r="Q29" s="2" t="s">
        <v>74</v>
      </c>
      <c r="R29" s="2" t="s">
        <v>74</v>
      </c>
      <c r="S29" s="2" t="s">
        <v>74</v>
      </c>
      <c r="T29" s="2" t="s">
        <v>74</v>
      </c>
      <c r="U29" s="2" t="s">
        <v>74</v>
      </c>
      <c r="V29" s="2" t="s">
        <v>74</v>
      </c>
      <c r="W29" s="2" t="s">
        <v>74</v>
      </c>
      <c r="X29" s="2" t="s">
        <v>74</v>
      </c>
      <c r="Y29" s="2" t="s">
        <v>74</v>
      </c>
      <c r="Z29" s="2" t="s">
        <v>74</v>
      </c>
      <c r="AA29" s="2" t="s">
        <v>74</v>
      </c>
      <c r="AB29" s="2" t="s">
        <v>74</v>
      </c>
      <c r="AC29" s="2" t="s">
        <v>74</v>
      </c>
      <c r="AD29" s="2" t="s">
        <v>74</v>
      </c>
      <c r="AE29" s="2" t="s">
        <v>74</v>
      </c>
      <c r="AF29" s="2" t="s">
        <v>74</v>
      </c>
      <c r="AG29" s="2" t="s">
        <v>74</v>
      </c>
      <c r="AH29" s="2" t="s">
        <v>74</v>
      </c>
      <c r="AI29" s="2" t="s">
        <v>74</v>
      </c>
      <c r="AJ29" s="2" t="s">
        <v>74</v>
      </c>
      <c r="AK29" s="2" t="s">
        <v>74</v>
      </c>
      <c r="AL29" s="2" t="s">
        <v>74</v>
      </c>
      <c r="AM29" s="2" t="s">
        <v>74</v>
      </c>
      <c r="AN29" s="2" t="s">
        <v>74</v>
      </c>
      <c r="AO29" s="2" t="s">
        <v>74</v>
      </c>
      <c r="AP29" s="2" t="s">
        <v>74</v>
      </c>
      <c r="AQ29" s="2" t="s">
        <v>74</v>
      </c>
      <c r="AR29" s="2" t="s">
        <v>74</v>
      </c>
      <c r="AS29" s="2" t="s">
        <v>74</v>
      </c>
      <c r="AT29" s="2" t="s">
        <v>74</v>
      </c>
      <c r="AU29" s="2" t="s">
        <v>74</v>
      </c>
      <c r="AV29" s="2" t="s">
        <v>74</v>
      </c>
      <c r="AW29" s="2" t="s">
        <v>74</v>
      </c>
      <c r="AX29" s="2" t="s">
        <v>74</v>
      </c>
      <c r="AY29" s="2" t="s">
        <v>74</v>
      </c>
      <c r="AZ29" s="2" t="s">
        <v>74</v>
      </c>
      <c r="BA29" s="2" t="s">
        <v>74</v>
      </c>
      <c r="BB29" s="2" t="s">
        <v>74</v>
      </c>
      <c r="BC29" s="2" t="s">
        <v>74</v>
      </c>
      <c r="BD29" s="2" t="s">
        <v>74</v>
      </c>
      <c r="BE29" s="2" t="s">
        <v>74</v>
      </c>
      <c r="BF29" s="2" t="s">
        <v>74</v>
      </c>
      <c r="BG29" s="2" t="s">
        <v>74</v>
      </c>
      <c r="BH29" s="2" t="s">
        <v>74</v>
      </c>
      <c r="BI29" s="2" t="s">
        <v>74</v>
      </c>
      <c r="BJ29" s="2" t="s">
        <v>74</v>
      </c>
      <c r="BK29" s="2" t="s">
        <v>74</v>
      </c>
      <c r="BL29" s="2" t="s">
        <v>74</v>
      </c>
      <c r="BM29" s="2" t="s">
        <v>74</v>
      </c>
      <c r="BN29" s="2" t="s">
        <v>74</v>
      </c>
      <c r="BO29" s="2" t="s">
        <v>74</v>
      </c>
      <c r="BP29" s="2" t="s">
        <v>74</v>
      </c>
      <c r="BQ29" s="2" t="s">
        <v>74</v>
      </c>
      <c r="BR29" s="2" t="s">
        <v>74</v>
      </c>
      <c r="BS29" s="2" t="s">
        <v>74</v>
      </c>
      <c r="BT29" s="2" t="s">
        <v>74</v>
      </c>
      <c r="BU29" s="2" t="s">
        <v>74</v>
      </c>
      <c r="BV29" s="2" t="s">
        <v>74</v>
      </c>
      <c r="BW29" s="2" t="s">
        <v>74</v>
      </c>
      <c r="BX29" s="2" t="s">
        <v>74</v>
      </c>
      <c r="BY29" s="2" t="s">
        <v>74</v>
      </c>
      <c r="BZ29" s="2" t="s">
        <v>74</v>
      </c>
      <c r="CA29" s="2" t="s">
        <v>74</v>
      </c>
      <c r="CB29" s="2" t="s">
        <v>74</v>
      </c>
      <c r="CC29" s="2" t="s">
        <v>74</v>
      </c>
      <c r="CD29" s="2" t="s">
        <v>74</v>
      </c>
      <c r="CE29" s="2" t="s">
        <v>74</v>
      </c>
      <c r="CF29" s="2" t="s">
        <v>74</v>
      </c>
      <c r="CG29" s="2" t="s">
        <v>74</v>
      </c>
      <c r="CH29" s="2" t="s">
        <v>74</v>
      </c>
      <c r="CI29" s="2" t="s">
        <v>74</v>
      </c>
      <c r="CJ29" s="2" t="s">
        <v>74</v>
      </c>
      <c r="CK29" s="2" t="s">
        <v>74</v>
      </c>
      <c r="CL29" s="2" t="s">
        <v>74</v>
      </c>
      <c r="CM29" s="2" t="s">
        <v>74</v>
      </c>
      <c r="CN29" s="2" t="s">
        <v>74</v>
      </c>
      <c r="CO29" s="2" t="s">
        <v>74</v>
      </c>
      <c r="CP29" s="2" t="s">
        <v>74</v>
      </c>
      <c r="CQ29" s="2" t="s">
        <v>74</v>
      </c>
      <c r="CR29" s="2" t="s">
        <v>74</v>
      </c>
      <c r="CS29" s="2" t="s">
        <v>74</v>
      </c>
      <c r="CT29" s="2" t="s">
        <v>74</v>
      </c>
      <c r="CU29" s="2" t="s">
        <v>74</v>
      </c>
      <c r="CV29" s="2" t="s">
        <v>74</v>
      </c>
      <c r="CW29" s="2" t="s">
        <v>74</v>
      </c>
      <c r="CX29" s="2" t="s">
        <v>74</v>
      </c>
      <c r="CY29" s="2" t="s">
        <v>74</v>
      </c>
    </row>
    <row r="30" spans="1:103" ht="34.799999999999997" x14ac:dyDescent="0.25">
      <c r="A30" s="3" t="s">
        <v>101</v>
      </c>
      <c r="B30" s="4" t="s">
        <v>74</v>
      </c>
      <c r="C30" s="4" t="s">
        <v>74</v>
      </c>
      <c r="D30" s="4" t="s">
        <v>74</v>
      </c>
      <c r="E30" s="4" t="s">
        <v>74</v>
      </c>
      <c r="F30" s="4" t="s">
        <v>74</v>
      </c>
      <c r="G30" s="4" t="s">
        <v>74</v>
      </c>
      <c r="H30" s="4" t="s">
        <v>74</v>
      </c>
      <c r="I30" s="4" t="s">
        <v>74</v>
      </c>
      <c r="J30" s="4" t="s">
        <v>74</v>
      </c>
      <c r="K30" s="4" t="s">
        <v>74</v>
      </c>
      <c r="L30" s="4" t="s">
        <v>74</v>
      </c>
      <c r="M30" s="4" t="s">
        <v>74</v>
      </c>
      <c r="N30" s="4" t="s">
        <v>74</v>
      </c>
      <c r="O30" s="4" t="s">
        <v>74</v>
      </c>
      <c r="P30" s="4" t="s">
        <v>74</v>
      </c>
      <c r="Q30" s="4" t="s">
        <v>74</v>
      </c>
      <c r="R30" s="4" t="s">
        <v>74</v>
      </c>
      <c r="S30" s="4" t="s">
        <v>74</v>
      </c>
      <c r="T30" s="4" t="s">
        <v>74</v>
      </c>
      <c r="U30" s="4" t="s">
        <v>74</v>
      </c>
      <c r="V30" s="4" t="s">
        <v>74</v>
      </c>
      <c r="W30" s="4" t="s">
        <v>74</v>
      </c>
      <c r="X30" s="4" t="s">
        <v>74</v>
      </c>
      <c r="Y30" s="4" t="s">
        <v>74</v>
      </c>
      <c r="Z30" s="4" t="s">
        <v>74</v>
      </c>
      <c r="AA30" s="4" t="s">
        <v>74</v>
      </c>
      <c r="AB30" s="4" t="s">
        <v>74</v>
      </c>
      <c r="AC30" s="4" t="s">
        <v>74</v>
      </c>
      <c r="AD30" s="4" t="s">
        <v>74</v>
      </c>
      <c r="AE30" s="4" t="s">
        <v>74</v>
      </c>
      <c r="AF30" s="4" t="s">
        <v>74</v>
      </c>
      <c r="AG30" s="4" t="s">
        <v>74</v>
      </c>
      <c r="AH30" s="4" t="s">
        <v>74</v>
      </c>
      <c r="AI30" s="4" t="s">
        <v>74</v>
      </c>
      <c r="AJ30" s="4" t="s">
        <v>74</v>
      </c>
      <c r="AK30" s="4" t="s">
        <v>74</v>
      </c>
      <c r="AL30" s="4" t="s">
        <v>74</v>
      </c>
      <c r="AM30" s="4" t="s">
        <v>74</v>
      </c>
      <c r="AN30" s="4" t="s">
        <v>74</v>
      </c>
      <c r="AO30" s="4" t="s">
        <v>74</v>
      </c>
      <c r="AP30" s="4" t="s">
        <v>74</v>
      </c>
      <c r="AQ30" s="4" t="s">
        <v>74</v>
      </c>
      <c r="AR30" s="4" t="s">
        <v>74</v>
      </c>
      <c r="AS30" s="4" t="s">
        <v>74</v>
      </c>
      <c r="AT30" s="4" t="s">
        <v>74</v>
      </c>
      <c r="AU30" s="4" t="s">
        <v>74</v>
      </c>
      <c r="AV30" s="4" t="s">
        <v>74</v>
      </c>
      <c r="AW30" s="4" t="s">
        <v>74</v>
      </c>
      <c r="AX30" s="4" t="s">
        <v>74</v>
      </c>
      <c r="AY30" s="4" t="s">
        <v>74</v>
      </c>
      <c r="AZ30" s="4" t="s">
        <v>74</v>
      </c>
      <c r="BA30" s="4" t="s">
        <v>74</v>
      </c>
      <c r="BB30" s="4" t="s">
        <v>74</v>
      </c>
      <c r="BC30" s="4" t="s">
        <v>74</v>
      </c>
      <c r="BD30" s="4" t="s">
        <v>74</v>
      </c>
      <c r="BE30" s="4" t="s">
        <v>74</v>
      </c>
      <c r="BF30" s="4" t="s">
        <v>74</v>
      </c>
      <c r="BG30" s="4" t="s">
        <v>74</v>
      </c>
      <c r="BH30" s="4" t="s">
        <v>74</v>
      </c>
      <c r="BI30" s="4" t="s">
        <v>74</v>
      </c>
      <c r="BJ30" s="4" t="s">
        <v>74</v>
      </c>
      <c r="BK30" s="4" t="s">
        <v>74</v>
      </c>
      <c r="BL30" s="4" t="s">
        <v>74</v>
      </c>
      <c r="BM30" s="4" t="s">
        <v>74</v>
      </c>
      <c r="BN30" s="4" t="s">
        <v>74</v>
      </c>
      <c r="BO30" s="4" t="s">
        <v>74</v>
      </c>
      <c r="BP30" s="4" t="s">
        <v>74</v>
      </c>
      <c r="BQ30" s="4" t="s">
        <v>74</v>
      </c>
      <c r="BR30" s="4" t="s">
        <v>74</v>
      </c>
      <c r="BS30" s="4" t="s">
        <v>74</v>
      </c>
      <c r="BT30" s="4" t="s">
        <v>74</v>
      </c>
      <c r="BU30" s="4" t="s">
        <v>74</v>
      </c>
      <c r="BV30" s="4" t="s">
        <v>74</v>
      </c>
      <c r="BW30" s="4" t="s">
        <v>74</v>
      </c>
      <c r="BX30" s="4" t="s">
        <v>74</v>
      </c>
      <c r="BY30" s="4" t="s">
        <v>74</v>
      </c>
      <c r="BZ30" s="4">
        <v>15</v>
      </c>
      <c r="CA30" s="4">
        <v>94.42</v>
      </c>
      <c r="CB30" s="4">
        <v>5</v>
      </c>
      <c r="CC30" s="4">
        <v>2793</v>
      </c>
      <c r="CD30" s="4">
        <v>5</v>
      </c>
      <c r="CE30" s="4">
        <v>15945</v>
      </c>
      <c r="CF30" s="4">
        <v>5</v>
      </c>
      <c r="CG30" s="4">
        <v>130.22999999999999</v>
      </c>
      <c r="CH30" s="4">
        <v>10</v>
      </c>
      <c r="CI30" s="4">
        <v>8654.5400000000009</v>
      </c>
      <c r="CJ30" s="4">
        <v>6</v>
      </c>
      <c r="CK30" s="4">
        <v>100</v>
      </c>
      <c r="CL30" s="4">
        <v>0</v>
      </c>
      <c r="CM30" s="4">
        <v>100</v>
      </c>
      <c r="CN30" s="4">
        <v>0</v>
      </c>
      <c r="CO30" s="4">
        <v>100</v>
      </c>
      <c r="CP30" s="4">
        <v>0</v>
      </c>
      <c r="CQ30" s="4">
        <v>100</v>
      </c>
      <c r="CR30" s="4">
        <v>0</v>
      </c>
      <c r="CS30" s="4">
        <v>100</v>
      </c>
      <c r="CT30" s="4">
        <v>0</v>
      </c>
      <c r="CU30" s="4">
        <v>100</v>
      </c>
      <c r="CV30" s="4" t="s">
        <v>74</v>
      </c>
      <c r="CW30" s="4" t="s">
        <v>74</v>
      </c>
      <c r="CX30" s="4">
        <v>4</v>
      </c>
      <c r="CY30" s="4">
        <v>100</v>
      </c>
    </row>
    <row r="31" spans="1:103" ht="17.399999999999999" x14ac:dyDescent="0.25">
      <c r="A31" s="1" t="s">
        <v>102</v>
      </c>
      <c r="B31" s="2">
        <v>0</v>
      </c>
      <c r="C31" s="2">
        <v>0</v>
      </c>
      <c r="D31" s="2">
        <v>0</v>
      </c>
      <c r="E31" s="2">
        <v>0</v>
      </c>
      <c r="F31" s="2" t="s">
        <v>74</v>
      </c>
      <c r="G31" s="2" t="s">
        <v>74</v>
      </c>
      <c r="H31" s="2" t="s">
        <v>74</v>
      </c>
      <c r="I31" s="2" t="s">
        <v>74</v>
      </c>
      <c r="J31" s="2" t="s">
        <v>74</v>
      </c>
      <c r="K31" s="2" t="s">
        <v>74</v>
      </c>
      <c r="L31" s="2" t="s">
        <v>74</v>
      </c>
      <c r="M31" s="2" t="s">
        <v>74</v>
      </c>
      <c r="N31" s="2" t="s">
        <v>74</v>
      </c>
      <c r="O31" s="2" t="s">
        <v>74</v>
      </c>
      <c r="P31" s="2">
        <v>0</v>
      </c>
      <c r="Q31" s="2">
        <v>0</v>
      </c>
      <c r="R31" s="2">
        <v>12</v>
      </c>
      <c r="S31" s="2">
        <v>95</v>
      </c>
      <c r="T31" s="2" t="s">
        <v>74</v>
      </c>
      <c r="U31" s="2" t="s">
        <v>74</v>
      </c>
      <c r="V31" s="2" t="s">
        <v>74</v>
      </c>
      <c r="W31" s="2" t="s">
        <v>74</v>
      </c>
      <c r="X31" s="2">
        <v>5</v>
      </c>
      <c r="Y31" s="2">
        <v>95</v>
      </c>
      <c r="Z31" s="2" t="s">
        <v>74</v>
      </c>
      <c r="AA31" s="2" t="s">
        <v>74</v>
      </c>
      <c r="AB31" s="2" t="s">
        <v>74</v>
      </c>
      <c r="AC31" s="2" t="s">
        <v>74</v>
      </c>
      <c r="AD31" s="2" t="s">
        <v>74</v>
      </c>
      <c r="AE31" s="2" t="s">
        <v>74</v>
      </c>
      <c r="AF31" s="2" t="s">
        <v>74</v>
      </c>
      <c r="AG31" s="2" t="s">
        <v>74</v>
      </c>
      <c r="AH31" s="2" t="s">
        <v>74</v>
      </c>
      <c r="AI31" s="2" t="s">
        <v>74</v>
      </c>
      <c r="AJ31" s="2" t="s">
        <v>74</v>
      </c>
      <c r="AK31" s="2" t="s">
        <v>74</v>
      </c>
      <c r="AL31" s="2">
        <v>5</v>
      </c>
      <c r="AM31" s="2">
        <v>95</v>
      </c>
      <c r="AN31" s="2" t="s">
        <v>74</v>
      </c>
      <c r="AO31" s="2" t="s">
        <v>74</v>
      </c>
      <c r="AP31" s="2" t="s">
        <v>74</v>
      </c>
      <c r="AQ31" s="2" t="s">
        <v>74</v>
      </c>
      <c r="AR31" s="2" t="s">
        <v>74</v>
      </c>
      <c r="AS31" s="2" t="s">
        <v>74</v>
      </c>
      <c r="AT31" s="2" t="s">
        <v>74</v>
      </c>
      <c r="AU31" s="2" t="s">
        <v>74</v>
      </c>
      <c r="AV31" s="2">
        <v>8</v>
      </c>
      <c r="AW31" s="2">
        <v>95</v>
      </c>
      <c r="AX31" s="2" t="s">
        <v>74</v>
      </c>
      <c r="AY31" s="2" t="s">
        <v>74</v>
      </c>
      <c r="AZ31" s="2" t="s">
        <v>74</v>
      </c>
      <c r="BA31" s="2" t="s">
        <v>74</v>
      </c>
      <c r="BB31" s="2">
        <v>5</v>
      </c>
      <c r="BC31" s="2">
        <v>95</v>
      </c>
      <c r="BD31" s="2">
        <v>5</v>
      </c>
      <c r="BE31" s="2">
        <v>95</v>
      </c>
      <c r="BF31" s="2" t="s">
        <v>74</v>
      </c>
      <c r="BG31" s="2" t="s">
        <v>74</v>
      </c>
      <c r="BH31" s="2" t="s">
        <v>74</v>
      </c>
      <c r="BI31" s="2" t="s">
        <v>74</v>
      </c>
      <c r="BJ31" s="2" t="s">
        <v>74</v>
      </c>
      <c r="BK31" s="2" t="s">
        <v>74</v>
      </c>
      <c r="BL31" s="2" t="s">
        <v>74</v>
      </c>
      <c r="BM31" s="2" t="s">
        <v>74</v>
      </c>
      <c r="BN31" s="2">
        <v>10</v>
      </c>
      <c r="BO31" s="2">
        <v>95</v>
      </c>
      <c r="BP31" s="2">
        <v>20</v>
      </c>
      <c r="BQ31" s="2">
        <v>51.69</v>
      </c>
      <c r="BR31" s="2">
        <v>0</v>
      </c>
      <c r="BS31" s="2">
        <v>0</v>
      </c>
      <c r="BT31" s="2">
        <v>15</v>
      </c>
      <c r="BU31" s="2">
        <v>1.56</v>
      </c>
      <c r="BV31" s="2" t="s">
        <v>74</v>
      </c>
      <c r="BW31" s="2" t="s">
        <v>74</v>
      </c>
      <c r="BX31" s="2">
        <v>15</v>
      </c>
      <c r="BY31" s="2">
        <v>47.75</v>
      </c>
      <c r="BZ31" s="2" t="s">
        <v>74</v>
      </c>
      <c r="CA31" s="2" t="s">
        <v>74</v>
      </c>
      <c r="CB31" s="2" t="s">
        <v>74</v>
      </c>
      <c r="CC31" s="2" t="s">
        <v>74</v>
      </c>
      <c r="CD31" s="2" t="s">
        <v>74</v>
      </c>
      <c r="CE31" s="2" t="s">
        <v>74</v>
      </c>
      <c r="CF31" s="2" t="s">
        <v>74</v>
      </c>
      <c r="CG31" s="2" t="s">
        <v>74</v>
      </c>
      <c r="CH31" s="2" t="s">
        <v>74</v>
      </c>
      <c r="CI31" s="2" t="s">
        <v>74</v>
      </c>
      <c r="CJ31" s="2" t="s">
        <v>74</v>
      </c>
      <c r="CK31" s="2" t="s">
        <v>74</v>
      </c>
      <c r="CL31" s="2" t="s">
        <v>74</v>
      </c>
      <c r="CM31" s="2" t="s">
        <v>74</v>
      </c>
      <c r="CN31" s="2" t="s">
        <v>74</v>
      </c>
      <c r="CO31" s="2" t="s">
        <v>74</v>
      </c>
      <c r="CP31" s="2" t="s">
        <v>74</v>
      </c>
      <c r="CQ31" s="2" t="s">
        <v>74</v>
      </c>
      <c r="CR31" s="2" t="s">
        <v>74</v>
      </c>
      <c r="CS31" s="2" t="s">
        <v>74</v>
      </c>
      <c r="CT31" s="2" t="s">
        <v>74</v>
      </c>
      <c r="CU31" s="2" t="s">
        <v>74</v>
      </c>
      <c r="CV31" s="2" t="s">
        <v>74</v>
      </c>
      <c r="CW31" s="2" t="s">
        <v>74</v>
      </c>
      <c r="CX31" s="2" t="s">
        <v>74</v>
      </c>
      <c r="CY31" s="2" t="s">
        <v>74</v>
      </c>
    </row>
    <row r="32" spans="1:103" ht="34.799999999999997" x14ac:dyDescent="0.25">
      <c r="A32" s="3" t="s">
        <v>103</v>
      </c>
      <c r="B32" s="4" t="s">
        <v>74</v>
      </c>
      <c r="C32" s="4" t="s">
        <v>74</v>
      </c>
      <c r="D32" s="4" t="s">
        <v>74</v>
      </c>
      <c r="E32" s="4" t="s">
        <v>74</v>
      </c>
      <c r="F32" s="4" t="s">
        <v>74</v>
      </c>
      <c r="G32" s="4" t="s">
        <v>74</v>
      </c>
      <c r="H32" s="4" t="s">
        <v>74</v>
      </c>
      <c r="I32" s="4" t="s">
        <v>74</v>
      </c>
      <c r="J32" s="4" t="s">
        <v>74</v>
      </c>
      <c r="K32" s="4" t="s">
        <v>74</v>
      </c>
      <c r="L32" s="4" t="s">
        <v>74</v>
      </c>
      <c r="M32" s="4" t="s">
        <v>74</v>
      </c>
      <c r="N32" s="4" t="s">
        <v>74</v>
      </c>
      <c r="O32" s="4" t="s">
        <v>74</v>
      </c>
      <c r="P32" s="4" t="s">
        <v>74</v>
      </c>
      <c r="Q32" s="4" t="s">
        <v>74</v>
      </c>
      <c r="R32" s="4" t="s">
        <v>74</v>
      </c>
      <c r="S32" s="4" t="s">
        <v>74</v>
      </c>
      <c r="T32" s="4" t="s">
        <v>74</v>
      </c>
      <c r="U32" s="4" t="s">
        <v>74</v>
      </c>
      <c r="V32" s="4" t="s">
        <v>74</v>
      </c>
      <c r="W32" s="4" t="s">
        <v>74</v>
      </c>
      <c r="X32" s="4" t="s">
        <v>74</v>
      </c>
      <c r="Y32" s="4" t="s">
        <v>74</v>
      </c>
      <c r="Z32" s="4" t="s">
        <v>74</v>
      </c>
      <c r="AA32" s="4" t="s">
        <v>74</v>
      </c>
      <c r="AB32" s="4" t="s">
        <v>74</v>
      </c>
      <c r="AC32" s="4" t="s">
        <v>74</v>
      </c>
      <c r="AD32" s="4" t="s">
        <v>74</v>
      </c>
      <c r="AE32" s="4" t="s">
        <v>74</v>
      </c>
      <c r="AF32" s="4" t="s">
        <v>74</v>
      </c>
      <c r="AG32" s="4" t="s">
        <v>74</v>
      </c>
      <c r="AH32" s="4" t="s">
        <v>74</v>
      </c>
      <c r="AI32" s="4" t="s">
        <v>74</v>
      </c>
      <c r="AJ32" s="4" t="s">
        <v>74</v>
      </c>
      <c r="AK32" s="4" t="s">
        <v>74</v>
      </c>
      <c r="AL32" s="4" t="s">
        <v>74</v>
      </c>
      <c r="AM32" s="4" t="s">
        <v>74</v>
      </c>
      <c r="AN32" s="4" t="s">
        <v>74</v>
      </c>
      <c r="AO32" s="4" t="s">
        <v>74</v>
      </c>
      <c r="AP32" s="4" t="s">
        <v>74</v>
      </c>
      <c r="AQ32" s="4" t="s">
        <v>74</v>
      </c>
      <c r="AR32" s="4" t="s">
        <v>74</v>
      </c>
      <c r="AS32" s="4" t="s">
        <v>74</v>
      </c>
      <c r="AT32" s="4" t="s">
        <v>74</v>
      </c>
      <c r="AU32" s="4" t="s">
        <v>74</v>
      </c>
      <c r="AV32" s="4" t="s">
        <v>74</v>
      </c>
      <c r="AW32" s="4" t="s">
        <v>74</v>
      </c>
      <c r="AX32" s="4" t="s">
        <v>74</v>
      </c>
      <c r="AY32" s="4" t="s">
        <v>74</v>
      </c>
      <c r="AZ32" s="4" t="s">
        <v>74</v>
      </c>
      <c r="BA32" s="4" t="s">
        <v>74</v>
      </c>
      <c r="BB32" s="4" t="s">
        <v>74</v>
      </c>
      <c r="BC32" s="4" t="s">
        <v>74</v>
      </c>
      <c r="BD32" s="4" t="s">
        <v>74</v>
      </c>
      <c r="BE32" s="4" t="s">
        <v>74</v>
      </c>
      <c r="BF32" s="4" t="s">
        <v>74</v>
      </c>
      <c r="BG32" s="4" t="s">
        <v>74</v>
      </c>
      <c r="BH32" s="4" t="s">
        <v>74</v>
      </c>
      <c r="BI32" s="4" t="s">
        <v>74</v>
      </c>
      <c r="BJ32" s="4" t="s">
        <v>74</v>
      </c>
      <c r="BK32" s="4" t="s">
        <v>74</v>
      </c>
      <c r="BL32" s="4" t="s">
        <v>74</v>
      </c>
      <c r="BM32" s="4" t="s">
        <v>74</v>
      </c>
      <c r="BN32" s="4" t="s">
        <v>74</v>
      </c>
      <c r="BO32" s="4" t="s">
        <v>74</v>
      </c>
      <c r="BP32" s="4" t="s">
        <v>74</v>
      </c>
      <c r="BQ32" s="4" t="s">
        <v>74</v>
      </c>
      <c r="BR32" s="4" t="s">
        <v>74</v>
      </c>
      <c r="BS32" s="4" t="s">
        <v>74</v>
      </c>
      <c r="BT32" s="4" t="s">
        <v>74</v>
      </c>
      <c r="BU32" s="4" t="s">
        <v>74</v>
      </c>
      <c r="BV32" s="4" t="s">
        <v>74</v>
      </c>
      <c r="BW32" s="4" t="s">
        <v>74</v>
      </c>
      <c r="BX32" s="4" t="s">
        <v>74</v>
      </c>
      <c r="BY32" s="4" t="s">
        <v>74</v>
      </c>
      <c r="BZ32" s="4">
        <v>15</v>
      </c>
      <c r="CA32" s="4">
        <v>94.42</v>
      </c>
      <c r="CB32" s="4">
        <v>5</v>
      </c>
      <c r="CC32" s="4">
        <v>2793</v>
      </c>
      <c r="CD32" s="4">
        <v>5</v>
      </c>
      <c r="CE32" s="4">
        <v>15945</v>
      </c>
      <c r="CF32" s="4">
        <v>5</v>
      </c>
      <c r="CG32" s="4">
        <v>130.22999999999999</v>
      </c>
      <c r="CH32" s="4">
        <v>10</v>
      </c>
      <c r="CI32" s="4">
        <v>8654.5400000000009</v>
      </c>
      <c r="CJ32" s="4">
        <v>10</v>
      </c>
      <c r="CK32" s="4">
        <v>100</v>
      </c>
      <c r="CL32" s="4">
        <v>0</v>
      </c>
      <c r="CM32" s="4">
        <v>100</v>
      </c>
      <c r="CN32" s="4">
        <v>0</v>
      </c>
      <c r="CO32" s="4">
        <v>100</v>
      </c>
      <c r="CP32" s="4">
        <v>0</v>
      </c>
      <c r="CQ32" s="4">
        <v>100</v>
      </c>
      <c r="CR32" s="4">
        <v>0</v>
      </c>
      <c r="CS32" s="4">
        <v>100</v>
      </c>
      <c r="CT32" s="4">
        <v>0</v>
      </c>
      <c r="CU32" s="4">
        <v>100</v>
      </c>
      <c r="CV32" s="4" t="s">
        <v>74</v>
      </c>
      <c r="CW32" s="4" t="s">
        <v>74</v>
      </c>
      <c r="CX32" s="4" t="s">
        <v>74</v>
      </c>
      <c r="CY32" s="4" t="s">
        <v>74</v>
      </c>
    </row>
    <row r="33" spans="1:103" ht="17.399999999999999" x14ac:dyDescent="0.25">
      <c r="A33" s="1" t="s">
        <v>104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 t="s">
        <v>74</v>
      </c>
      <c r="I33" s="2" t="s">
        <v>74</v>
      </c>
      <c r="J33" s="2" t="s">
        <v>74</v>
      </c>
      <c r="K33" s="2" t="s">
        <v>74</v>
      </c>
      <c r="L33" s="2">
        <v>3</v>
      </c>
      <c r="M33" s="2">
        <v>39842.120000000003</v>
      </c>
      <c r="N33" s="2">
        <v>0</v>
      </c>
      <c r="O33" s="2">
        <v>95</v>
      </c>
      <c r="P33" s="2">
        <v>0</v>
      </c>
      <c r="Q33" s="2">
        <v>0</v>
      </c>
      <c r="R33" s="2" t="s">
        <v>74</v>
      </c>
      <c r="S33" s="2" t="s">
        <v>74</v>
      </c>
      <c r="T33" s="2">
        <v>3</v>
      </c>
      <c r="U33" s="2">
        <v>37.67</v>
      </c>
      <c r="V33" s="2" t="s">
        <v>74</v>
      </c>
      <c r="W33" s="2" t="s">
        <v>74</v>
      </c>
      <c r="X33" s="2" t="s">
        <v>74</v>
      </c>
      <c r="Y33" s="2" t="s">
        <v>74</v>
      </c>
      <c r="Z33" s="2" t="s">
        <v>74</v>
      </c>
      <c r="AA33" s="2" t="s">
        <v>74</v>
      </c>
      <c r="AB33" s="2" t="s">
        <v>74</v>
      </c>
      <c r="AC33" s="2" t="s">
        <v>74</v>
      </c>
      <c r="AD33" s="2" t="s">
        <v>74</v>
      </c>
      <c r="AE33" s="2" t="s">
        <v>74</v>
      </c>
      <c r="AF33" s="2">
        <v>2</v>
      </c>
      <c r="AG33" s="2">
        <v>328.15</v>
      </c>
      <c r="AH33" s="2">
        <v>6</v>
      </c>
      <c r="AI33" s="2">
        <v>73</v>
      </c>
      <c r="AJ33" s="2">
        <v>6</v>
      </c>
      <c r="AK33" s="2">
        <v>274</v>
      </c>
      <c r="AL33" s="2">
        <v>3</v>
      </c>
      <c r="AM33" s="2">
        <v>95</v>
      </c>
      <c r="AN33" s="2">
        <v>3</v>
      </c>
      <c r="AO33" s="2">
        <v>12.45</v>
      </c>
      <c r="AP33" s="2">
        <v>3</v>
      </c>
      <c r="AQ33" s="2">
        <v>2.79</v>
      </c>
      <c r="AR33" s="2">
        <v>2</v>
      </c>
      <c r="AS33" s="2">
        <v>328.15</v>
      </c>
      <c r="AT33" s="2">
        <v>1.5</v>
      </c>
      <c r="AU33" s="2">
        <v>14323.93</v>
      </c>
      <c r="AV33" s="2">
        <v>5</v>
      </c>
      <c r="AW33" s="2">
        <v>95</v>
      </c>
      <c r="AX33" s="2">
        <v>5</v>
      </c>
      <c r="AY33" s="2">
        <v>95</v>
      </c>
      <c r="AZ33" s="2">
        <v>4</v>
      </c>
      <c r="BA33" s="2">
        <v>95</v>
      </c>
      <c r="BB33" s="2">
        <v>3</v>
      </c>
      <c r="BC33" s="2">
        <v>95</v>
      </c>
      <c r="BD33" s="2">
        <v>4</v>
      </c>
      <c r="BE33" s="2">
        <v>95</v>
      </c>
      <c r="BF33" s="2">
        <v>12.5</v>
      </c>
      <c r="BG33" s="2">
        <v>9084.16</v>
      </c>
      <c r="BH33" s="2">
        <v>7</v>
      </c>
      <c r="BI33" s="2">
        <v>22.38</v>
      </c>
      <c r="BJ33" s="2">
        <v>7</v>
      </c>
      <c r="BK33" s="2">
        <v>37.5</v>
      </c>
      <c r="BL33" s="2">
        <v>20</v>
      </c>
      <c r="BM33" s="2">
        <v>55.36</v>
      </c>
      <c r="BN33" s="2" t="s">
        <v>74</v>
      </c>
      <c r="BO33" s="2" t="s">
        <v>74</v>
      </c>
      <c r="BP33" s="2" t="s">
        <v>74</v>
      </c>
      <c r="BQ33" s="2" t="s">
        <v>74</v>
      </c>
      <c r="BR33" s="2">
        <v>0</v>
      </c>
      <c r="BS33" s="2">
        <v>0</v>
      </c>
      <c r="BT33" s="2" t="s">
        <v>74</v>
      </c>
      <c r="BU33" s="2" t="s">
        <v>74</v>
      </c>
      <c r="BV33" s="2" t="s">
        <v>74</v>
      </c>
      <c r="BW33" s="2" t="s">
        <v>74</v>
      </c>
      <c r="BX33" s="2" t="s">
        <v>74</v>
      </c>
      <c r="BY33" s="2" t="s">
        <v>74</v>
      </c>
      <c r="BZ33" s="2" t="s">
        <v>74</v>
      </c>
      <c r="CA33" s="2" t="s">
        <v>74</v>
      </c>
      <c r="CB33" s="2" t="s">
        <v>74</v>
      </c>
      <c r="CC33" s="2" t="s">
        <v>74</v>
      </c>
      <c r="CD33" s="2" t="s">
        <v>74</v>
      </c>
      <c r="CE33" s="2" t="s">
        <v>74</v>
      </c>
      <c r="CF33" s="2" t="s">
        <v>74</v>
      </c>
      <c r="CG33" s="2" t="s">
        <v>74</v>
      </c>
      <c r="CH33" s="2" t="s">
        <v>74</v>
      </c>
      <c r="CI33" s="2" t="s">
        <v>74</v>
      </c>
      <c r="CJ33" s="2" t="s">
        <v>74</v>
      </c>
      <c r="CK33" s="2" t="s">
        <v>74</v>
      </c>
      <c r="CL33" s="2" t="s">
        <v>74</v>
      </c>
      <c r="CM33" s="2" t="s">
        <v>74</v>
      </c>
      <c r="CN33" s="2" t="s">
        <v>74</v>
      </c>
      <c r="CO33" s="2" t="s">
        <v>74</v>
      </c>
      <c r="CP33" s="2" t="s">
        <v>74</v>
      </c>
      <c r="CQ33" s="2" t="s">
        <v>74</v>
      </c>
      <c r="CR33" s="2" t="s">
        <v>74</v>
      </c>
      <c r="CS33" s="2" t="s">
        <v>74</v>
      </c>
      <c r="CT33" s="2" t="s">
        <v>74</v>
      </c>
      <c r="CU33" s="2" t="s">
        <v>74</v>
      </c>
      <c r="CV33" s="2" t="s">
        <v>74</v>
      </c>
      <c r="CW33" s="2" t="s">
        <v>74</v>
      </c>
      <c r="CX33" s="2" t="s">
        <v>74</v>
      </c>
      <c r="CY33" s="2" t="s">
        <v>74</v>
      </c>
    </row>
    <row r="34" spans="1:103" ht="17.399999999999999" x14ac:dyDescent="0.25">
      <c r="A34" s="3" t="s">
        <v>105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 t="s">
        <v>74</v>
      </c>
      <c r="I34" s="4" t="s">
        <v>74</v>
      </c>
      <c r="J34" s="4" t="s">
        <v>74</v>
      </c>
      <c r="K34" s="4" t="s">
        <v>74</v>
      </c>
      <c r="L34" s="4" t="s">
        <v>74</v>
      </c>
      <c r="M34" s="4" t="s">
        <v>74</v>
      </c>
      <c r="N34" s="4">
        <v>0</v>
      </c>
      <c r="O34" s="4">
        <v>95</v>
      </c>
      <c r="P34" s="4">
        <v>0</v>
      </c>
      <c r="Q34" s="4">
        <v>0</v>
      </c>
      <c r="R34" s="4" t="s">
        <v>74</v>
      </c>
      <c r="S34" s="4" t="s">
        <v>74</v>
      </c>
      <c r="T34" s="4" t="s">
        <v>74</v>
      </c>
      <c r="U34" s="4" t="s">
        <v>74</v>
      </c>
      <c r="V34" s="4" t="s">
        <v>74</v>
      </c>
      <c r="W34" s="4" t="s">
        <v>74</v>
      </c>
      <c r="X34" s="4" t="s">
        <v>74</v>
      </c>
      <c r="Y34" s="4" t="s">
        <v>74</v>
      </c>
      <c r="Z34" s="4" t="s">
        <v>74</v>
      </c>
      <c r="AA34" s="4" t="s">
        <v>74</v>
      </c>
      <c r="AB34" s="4" t="s">
        <v>74</v>
      </c>
      <c r="AC34" s="4" t="s">
        <v>74</v>
      </c>
      <c r="AD34" s="4" t="s">
        <v>74</v>
      </c>
      <c r="AE34" s="4" t="s">
        <v>74</v>
      </c>
      <c r="AF34" s="4">
        <v>2.5</v>
      </c>
      <c r="AG34" s="4">
        <v>227.24</v>
      </c>
      <c r="AH34" s="4" t="s">
        <v>74</v>
      </c>
      <c r="AI34" s="4" t="s">
        <v>74</v>
      </c>
      <c r="AJ34" s="4">
        <v>10</v>
      </c>
      <c r="AK34" s="4">
        <v>142</v>
      </c>
      <c r="AL34" s="4">
        <v>3</v>
      </c>
      <c r="AM34" s="4">
        <v>95</v>
      </c>
      <c r="AN34" s="4" t="s">
        <v>74</v>
      </c>
      <c r="AO34" s="4" t="s">
        <v>74</v>
      </c>
      <c r="AP34" s="4" t="s">
        <v>74</v>
      </c>
      <c r="AQ34" s="4" t="s">
        <v>74</v>
      </c>
      <c r="AR34" s="4">
        <v>2.5</v>
      </c>
      <c r="AS34" s="4">
        <v>227.24</v>
      </c>
      <c r="AT34" s="4" t="s">
        <v>74</v>
      </c>
      <c r="AU34" s="4" t="s">
        <v>74</v>
      </c>
      <c r="AV34" s="4">
        <v>5</v>
      </c>
      <c r="AW34" s="4">
        <v>95</v>
      </c>
      <c r="AX34" s="4" t="s">
        <v>74</v>
      </c>
      <c r="AY34" s="4" t="s">
        <v>74</v>
      </c>
      <c r="AZ34" s="4">
        <v>5</v>
      </c>
      <c r="BA34" s="4">
        <v>95</v>
      </c>
      <c r="BB34" s="4">
        <v>5</v>
      </c>
      <c r="BC34" s="4">
        <v>95</v>
      </c>
      <c r="BD34" s="4">
        <v>4</v>
      </c>
      <c r="BE34" s="4">
        <v>95</v>
      </c>
      <c r="BF34" s="4" t="s">
        <v>74</v>
      </c>
      <c r="BG34" s="4" t="s">
        <v>74</v>
      </c>
      <c r="BH34" s="4" t="s">
        <v>74</v>
      </c>
      <c r="BI34" s="4" t="s">
        <v>74</v>
      </c>
      <c r="BJ34" s="4" t="s">
        <v>74</v>
      </c>
      <c r="BK34" s="4" t="s">
        <v>74</v>
      </c>
      <c r="BL34" s="4" t="s">
        <v>74</v>
      </c>
      <c r="BM34" s="4" t="s">
        <v>74</v>
      </c>
      <c r="BN34" s="4" t="s">
        <v>74</v>
      </c>
      <c r="BO34" s="4" t="s">
        <v>74</v>
      </c>
      <c r="BP34" s="4">
        <v>15</v>
      </c>
      <c r="BQ34" s="4">
        <v>35.64</v>
      </c>
      <c r="BR34" s="4">
        <v>0</v>
      </c>
      <c r="BS34" s="4">
        <v>0</v>
      </c>
      <c r="BT34" s="4">
        <v>8</v>
      </c>
      <c r="BU34" s="4">
        <v>2.27</v>
      </c>
      <c r="BV34" s="4">
        <v>10</v>
      </c>
      <c r="BW34" s="4">
        <v>0.84</v>
      </c>
      <c r="BX34" s="4">
        <v>30</v>
      </c>
      <c r="BY34" s="4">
        <v>90.24</v>
      </c>
      <c r="BZ34" s="4" t="s">
        <v>74</v>
      </c>
      <c r="CA34" s="4" t="s">
        <v>74</v>
      </c>
      <c r="CB34" s="4" t="s">
        <v>74</v>
      </c>
      <c r="CC34" s="4" t="s">
        <v>74</v>
      </c>
      <c r="CD34" s="4" t="s">
        <v>74</v>
      </c>
      <c r="CE34" s="4" t="s">
        <v>74</v>
      </c>
      <c r="CF34" s="4" t="s">
        <v>74</v>
      </c>
      <c r="CG34" s="4" t="s">
        <v>74</v>
      </c>
      <c r="CH34" s="4" t="s">
        <v>74</v>
      </c>
      <c r="CI34" s="4" t="s">
        <v>74</v>
      </c>
      <c r="CJ34" s="4" t="s">
        <v>74</v>
      </c>
      <c r="CK34" s="4" t="s">
        <v>74</v>
      </c>
      <c r="CL34" s="4" t="s">
        <v>74</v>
      </c>
      <c r="CM34" s="4" t="s">
        <v>74</v>
      </c>
      <c r="CN34" s="4" t="s">
        <v>74</v>
      </c>
      <c r="CO34" s="4" t="s">
        <v>74</v>
      </c>
      <c r="CP34" s="4" t="s">
        <v>74</v>
      </c>
      <c r="CQ34" s="4" t="s">
        <v>74</v>
      </c>
      <c r="CR34" s="4" t="s">
        <v>74</v>
      </c>
      <c r="CS34" s="4" t="s">
        <v>74</v>
      </c>
      <c r="CT34" s="4" t="s">
        <v>74</v>
      </c>
      <c r="CU34" s="4" t="s">
        <v>74</v>
      </c>
      <c r="CV34" s="4" t="s">
        <v>74</v>
      </c>
      <c r="CW34" s="4" t="s">
        <v>74</v>
      </c>
      <c r="CX34" s="4" t="s">
        <v>74</v>
      </c>
      <c r="CY34" s="4" t="s">
        <v>74</v>
      </c>
    </row>
    <row r="35" spans="1:103" ht="17.399999999999999" x14ac:dyDescent="0.25">
      <c r="A35" s="1" t="s">
        <v>106</v>
      </c>
      <c r="B35" s="2" t="s">
        <v>74</v>
      </c>
      <c r="C35" s="2" t="s">
        <v>74</v>
      </c>
      <c r="D35" s="2" t="s">
        <v>74</v>
      </c>
      <c r="E35" s="2" t="s">
        <v>74</v>
      </c>
      <c r="F35" s="2" t="s">
        <v>74</v>
      </c>
      <c r="G35" s="2" t="s">
        <v>74</v>
      </c>
      <c r="H35" s="2" t="s">
        <v>74</v>
      </c>
      <c r="I35" s="2" t="s">
        <v>74</v>
      </c>
      <c r="J35" s="2" t="s">
        <v>74</v>
      </c>
      <c r="K35" s="2" t="s">
        <v>74</v>
      </c>
      <c r="L35" s="2" t="s">
        <v>74</v>
      </c>
      <c r="M35" s="2" t="s">
        <v>74</v>
      </c>
      <c r="N35" s="2" t="s">
        <v>74</v>
      </c>
      <c r="O35" s="2" t="s">
        <v>74</v>
      </c>
      <c r="P35" s="2" t="s">
        <v>74</v>
      </c>
      <c r="Q35" s="2" t="s">
        <v>74</v>
      </c>
      <c r="R35" s="2" t="s">
        <v>74</v>
      </c>
      <c r="S35" s="2" t="s">
        <v>74</v>
      </c>
      <c r="T35" s="2" t="s">
        <v>74</v>
      </c>
      <c r="U35" s="2" t="s">
        <v>74</v>
      </c>
      <c r="V35" s="2" t="s">
        <v>74</v>
      </c>
      <c r="W35" s="2" t="s">
        <v>74</v>
      </c>
      <c r="X35" s="2" t="s">
        <v>74</v>
      </c>
      <c r="Y35" s="2" t="s">
        <v>74</v>
      </c>
      <c r="Z35" s="2" t="s">
        <v>74</v>
      </c>
      <c r="AA35" s="2" t="s">
        <v>74</v>
      </c>
      <c r="AB35" s="2" t="s">
        <v>74</v>
      </c>
      <c r="AC35" s="2" t="s">
        <v>74</v>
      </c>
      <c r="AD35" s="2" t="s">
        <v>74</v>
      </c>
      <c r="AE35" s="2" t="s">
        <v>74</v>
      </c>
      <c r="AF35" s="2" t="s">
        <v>74</v>
      </c>
      <c r="AG35" s="2" t="s">
        <v>74</v>
      </c>
      <c r="AH35" s="2" t="s">
        <v>74</v>
      </c>
      <c r="AI35" s="2" t="s">
        <v>74</v>
      </c>
      <c r="AJ35" s="2" t="s">
        <v>74</v>
      </c>
      <c r="AK35" s="2" t="s">
        <v>74</v>
      </c>
      <c r="AL35" s="2" t="s">
        <v>74</v>
      </c>
      <c r="AM35" s="2" t="s">
        <v>74</v>
      </c>
      <c r="AN35" s="2" t="s">
        <v>74</v>
      </c>
      <c r="AO35" s="2" t="s">
        <v>74</v>
      </c>
      <c r="AP35" s="2" t="s">
        <v>74</v>
      </c>
      <c r="AQ35" s="2" t="s">
        <v>74</v>
      </c>
      <c r="AR35" s="2" t="s">
        <v>74</v>
      </c>
      <c r="AS35" s="2" t="s">
        <v>74</v>
      </c>
      <c r="AT35" s="2" t="s">
        <v>74</v>
      </c>
      <c r="AU35" s="2" t="s">
        <v>74</v>
      </c>
      <c r="AV35" s="2" t="s">
        <v>74</v>
      </c>
      <c r="AW35" s="2" t="s">
        <v>74</v>
      </c>
      <c r="AX35" s="2" t="s">
        <v>74</v>
      </c>
      <c r="AY35" s="2" t="s">
        <v>74</v>
      </c>
      <c r="AZ35" s="2" t="s">
        <v>74</v>
      </c>
      <c r="BA35" s="2" t="s">
        <v>74</v>
      </c>
      <c r="BB35" s="2" t="s">
        <v>74</v>
      </c>
      <c r="BC35" s="2" t="s">
        <v>74</v>
      </c>
      <c r="BD35" s="2" t="s">
        <v>74</v>
      </c>
      <c r="BE35" s="2" t="s">
        <v>74</v>
      </c>
      <c r="BF35" s="2" t="s">
        <v>74</v>
      </c>
      <c r="BG35" s="2" t="s">
        <v>74</v>
      </c>
      <c r="BH35" s="2" t="s">
        <v>74</v>
      </c>
      <c r="BI35" s="2" t="s">
        <v>74</v>
      </c>
      <c r="BJ35" s="2" t="s">
        <v>74</v>
      </c>
      <c r="BK35" s="2" t="s">
        <v>74</v>
      </c>
      <c r="BL35" s="2" t="s">
        <v>74</v>
      </c>
      <c r="BM35" s="2" t="s">
        <v>74</v>
      </c>
      <c r="BN35" s="2" t="s">
        <v>74</v>
      </c>
      <c r="BO35" s="2" t="s">
        <v>74</v>
      </c>
      <c r="BP35" s="2" t="s">
        <v>74</v>
      </c>
      <c r="BQ35" s="2" t="s">
        <v>74</v>
      </c>
      <c r="BR35" s="2" t="s">
        <v>74</v>
      </c>
      <c r="BS35" s="2" t="s">
        <v>74</v>
      </c>
      <c r="BT35" s="2" t="s">
        <v>74</v>
      </c>
      <c r="BU35" s="2" t="s">
        <v>74</v>
      </c>
      <c r="BV35" s="2" t="s">
        <v>74</v>
      </c>
      <c r="BW35" s="2" t="s">
        <v>74</v>
      </c>
      <c r="BX35" s="2" t="s">
        <v>74</v>
      </c>
      <c r="BY35" s="2" t="s">
        <v>74</v>
      </c>
      <c r="BZ35" s="2" t="s">
        <v>74</v>
      </c>
      <c r="CA35" s="2" t="s">
        <v>74</v>
      </c>
      <c r="CB35" s="2" t="s">
        <v>74</v>
      </c>
      <c r="CC35" s="2" t="s">
        <v>74</v>
      </c>
      <c r="CD35" s="2" t="s">
        <v>74</v>
      </c>
      <c r="CE35" s="2" t="s">
        <v>74</v>
      </c>
      <c r="CF35" s="2" t="s">
        <v>74</v>
      </c>
      <c r="CG35" s="2" t="s">
        <v>74</v>
      </c>
      <c r="CH35" s="2" t="s">
        <v>74</v>
      </c>
      <c r="CI35" s="2" t="s">
        <v>74</v>
      </c>
      <c r="CJ35" s="2" t="s">
        <v>74</v>
      </c>
      <c r="CK35" s="2" t="s">
        <v>74</v>
      </c>
      <c r="CL35" s="2" t="s">
        <v>74</v>
      </c>
      <c r="CM35" s="2" t="s">
        <v>74</v>
      </c>
      <c r="CN35" s="2" t="s">
        <v>74</v>
      </c>
      <c r="CO35" s="2" t="s">
        <v>74</v>
      </c>
      <c r="CP35" s="2" t="s">
        <v>74</v>
      </c>
      <c r="CQ35" s="2" t="s">
        <v>74</v>
      </c>
      <c r="CR35" s="2" t="s">
        <v>74</v>
      </c>
      <c r="CS35" s="2" t="s">
        <v>74</v>
      </c>
      <c r="CT35" s="2" t="s">
        <v>74</v>
      </c>
      <c r="CU35" s="2" t="s">
        <v>74</v>
      </c>
      <c r="CV35" s="2">
        <v>100</v>
      </c>
      <c r="CW35" s="2">
        <v>100</v>
      </c>
      <c r="CX35" s="2" t="s">
        <v>74</v>
      </c>
      <c r="CY35" s="2" t="s">
        <v>74</v>
      </c>
    </row>
    <row r="36" spans="1:103" ht="17.399999999999999" x14ac:dyDescent="0.25">
      <c r="A36" s="3" t="s">
        <v>107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 t="s">
        <v>74</v>
      </c>
      <c r="I36" s="4" t="s">
        <v>74</v>
      </c>
      <c r="J36" s="4" t="s">
        <v>74</v>
      </c>
      <c r="K36" s="4" t="s">
        <v>74</v>
      </c>
      <c r="L36" s="4">
        <v>3</v>
      </c>
      <c r="M36" s="4">
        <v>38173.360000000001</v>
      </c>
      <c r="N36" s="4">
        <v>0</v>
      </c>
      <c r="O36" s="4">
        <v>95</v>
      </c>
      <c r="P36" s="4">
        <v>0</v>
      </c>
      <c r="Q36" s="4">
        <v>0</v>
      </c>
      <c r="R36" s="4" t="s">
        <v>74</v>
      </c>
      <c r="S36" s="4" t="s">
        <v>74</v>
      </c>
      <c r="T36" s="4">
        <v>3</v>
      </c>
      <c r="U36" s="4">
        <v>26.04</v>
      </c>
      <c r="V36" s="4" t="s">
        <v>74</v>
      </c>
      <c r="W36" s="4" t="s">
        <v>74</v>
      </c>
      <c r="X36" s="4" t="s">
        <v>74</v>
      </c>
      <c r="Y36" s="4" t="s">
        <v>74</v>
      </c>
      <c r="Z36" s="4" t="s">
        <v>74</v>
      </c>
      <c r="AA36" s="4" t="s">
        <v>74</v>
      </c>
      <c r="AB36" s="4" t="s">
        <v>74</v>
      </c>
      <c r="AC36" s="4" t="s">
        <v>74</v>
      </c>
      <c r="AD36" s="4" t="s">
        <v>74</v>
      </c>
      <c r="AE36" s="4" t="s">
        <v>74</v>
      </c>
      <c r="AF36" s="4">
        <v>2</v>
      </c>
      <c r="AG36" s="4">
        <v>176.29</v>
      </c>
      <c r="AH36" s="4">
        <v>6</v>
      </c>
      <c r="AI36" s="4">
        <v>130</v>
      </c>
      <c r="AJ36" s="4">
        <v>6</v>
      </c>
      <c r="AK36" s="4">
        <v>145</v>
      </c>
      <c r="AL36" s="4">
        <v>3</v>
      </c>
      <c r="AM36" s="4">
        <v>95</v>
      </c>
      <c r="AN36" s="4">
        <v>3</v>
      </c>
      <c r="AO36" s="4">
        <v>8</v>
      </c>
      <c r="AP36" s="4">
        <v>3</v>
      </c>
      <c r="AQ36" s="4">
        <v>4.26</v>
      </c>
      <c r="AR36" s="4">
        <v>2</v>
      </c>
      <c r="AS36" s="4">
        <v>176.29</v>
      </c>
      <c r="AT36" s="4">
        <v>1.5</v>
      </c>
      <c r="AU36" s="4">
        <v>6720.64</v>
      </c>
      <c r="AV36" s="4">
        <v>5</v>
      </c>
      <c r="AW36" s="4">
        <v>95</v>
      </c>
      <c r="AX36" s="4">
        <v>5</v>
      </c>
      <c r="AY36" s="4">
        <v>95</v>
      </c>
      <c r="AZ36" s="4">
        <v>4</v>
      </c>
      <c r="BA36" s="4">
        <v>95</v>
      </c>
      <c r="BB36" s="4">
        <v>3</v>
      </c>
      <c r="BC36" s="4">
        <v>95</v>
      </c>
      <c r="BD36" s="4">
        <v>4</v>
      </c>
      <c r="BE36" s="4">
        <v>95</v>
      </c>
      <c r="BF36" s="4">
        <v>12.5</v>
      </c>
      <c r="BG36" s="4">
        <v>3013.72</v>
      </c>
      <c r="BH36" s="4">
        <v>7</v>
      </c>
      <c r="BI36" s="4">
        <v>1.91</v>
      </c>
      <c r="BJ36" s="4">
        <v>7</v>
      </c>
      <c r="BK36" s="4">
        <v>31.07</v>
      </c>
      <c r="BL36" s="4">
        <v>20</v>
      </c>
      <c r="BM36" s="4">
        <v>65.22</v>
      </c>
      <c r="BN36" s="4" t="s">
        <v>74</v>
      </c>
      <c r="BO36" s="4" t="s">
        <v>74</v>
      </c>
      <c r="BP36" s="4" t="s">
        <v>74</v>
      </c>
      <c r="BQ36" s="4" t="s">
        <v>74</v>
      </c>
      <c r="BR36" s="4">
        <v>0</v>
      </c>
      <c r="BS36" s="4">
        <v>0</v>
      </c>
      <c r="BT36" s="4" t="s">
        <v>74</v>
      </c>
      <c r="BU36" s="4" t="s">
        <v>74</v>
      </c>
      <c r="BV36" s="4" t="s">
        <v>74</v>
      </c>
      <c r="BW36" s="4" t="s">
        <v>74</v>
      </c>
      <c r="BX36" s="4" t="s">
        <v>74</v>
      </c>
      <c r="BY36" s="4" t="s">
        <v>74</v>
      </c>
      <c r="BZ36" s="4" t="s">
        <v>74</v>
      </c>
      <c r="CA36" s="4" t="s">
        <v>74</v>
      </c>
      <c r="CB36" s="4" t="s">
        <v>74</v>
      </c>
      <c r="CC36" s="4" t="s">
        <v>74</v>
      </c>
      <c r="CD36" s="4" t="s">
        <v>74</v>
      </c>
      <c r="CE36" s="4" t="s">
        <v>74</v>
      </c>
      <c r="CF36" s="4" t="s">
        <v>74</v>
      </c>
      <c r="CG36" s="4" t="s">
        <v>74</v>
      </c>
      <c r="CH36" s="4" t="s">
        <v>74</v>
      </c>
      <c r="CI36" s="4" t="s">
        <v>74</v>
      </c>
      <c r="CJ36" s="4" t="s">
        <v>74</v>
      </c>
      <c r="CK36" s="4" t="s">
        <v>74</v>
      </c>
      <c r="CL36" s="4" t="s">
        <v>74</v>
      </c>
      <c r="CM36" s="4" t="s">
        <v>74</v>
      </c>
      <c r="CN36" s="4" t="s">
        <v>74</v>
      </c>
      <c r="CO36" s="4" t="s">
        <v>74</v>
      </c>
      <c r="CP36" s="4" t="s">
        <v>74</v>
      </c>
      <c r="CQ36" s="4" t="s">
        <v>74</v>
      </c>
      <c r="CR36" s="4" t="s">
        <v>74</v>
      </c>
      <c r="CS36" s="4" t="s">
        <v>74</v>
      </c>
      <c r="CT36" s="4" t="s">
        <v>74</v>
      </c>
      <c r="CU36" s="4" t="s">
        <v>74</v>
      </c>
      <c r="CV36" s="4" t="s">
        <v>74</v>
      </c>
      <c r="CW36" s="4" t="s">
        <v>74</v>
      </c>
      <c r="CX36" s="4" t="s">
        <v>74</v>
      </c>
      <c r="CY36" s="4" t="s">
        <v>74</v>
      </c>
    </row>
    <row r="37" spans="1:103" ht="17.399999999999999" x14ac:dyDescent="0.25">
      <c r="A37" s="1" t="s">
        <v>108</v>
      </c>
      <c r="B37" s="2" t="s">
        <v>74</v>
      </c>
      <c r="C37" s="2" t="s">
        <v>74</v>
      </c>
      <c r="D37" s="2" t="s">
        <v>74</v>
      </c>
      <c r="E37" s="2" t="s">
        <v>74</v>
      </c>
      <c r="F37" s="2" t="s">
        <v>74</v>
      </c>
      <c r="G37" s="2" t="s">
        <v>74</v>
      </c>
      <c r="H37" s="2" t="s">
        <v>74</v>
      </c>
      <c r="I37" s="2" t="s">
        <v>74</v>
      </c>
      <c r="J37" s="2" t="s">
        <v>74</v>
      </c>
      <c r="K37" s="2" t="s">
        <v>74</v>
      </c>
      <c r="L37" s="2" t="s">
        <v>74</v>
      </c>
      <c r="M37" s="2" t="s">
        <v>74</v>
      </c>
      <c r="N37" s="2" t="s">
        <v>74</v>
      </c>
      <c r="O37" s="2" t="s">
        <v>74</v>
      </c>
      <c r="P37" s="2" t="s">
        <v>74</v>
      </c>
      <c r="Q37" s="2" t="s">
        <v>74</v>
      </c>
      <c r="R37" s="2" t="s">
        <v>74</v>
      </c>
      <c r="S37" s="2" t="s">
        <v>74</v>
      </c>
      <c r="T37" s="2" t="s">
        <v>74</v>
      </c>
      <c r="U37" s="2" t="s">
        <v>74</v>
      </c>
      <c r="V37" s="2" t="s">
        <v>74</v>
      </c>
      <c r="W37" s="2" t="s">
        <v>74</v>
      </c>
      <c r="X37" s="2" t="s">
        <v>74</v>
      </c>
      <c r="Y37" s="2" t="s">
        <v>74</v>
      </c>
      <c r="Z37" s="2" t="s">
        <v>74</v>
      </c>
      <c r="AA37" s="2" t="s">
        <v>74</v>
      </c>
      <c r="AB37" s="2" t="s">
        <v>74</v>
      </c>
      <c r="AC37" s="2" t="s">
        <v>74</v>
      </c>
      <c r="AD37" s="2" t="s">
        <v>74</v>
      </c>
      <c r="AE37" s="2" t="s">
        <v>74</v>
      </c>
      <c r="AF37" s="2" t="s">
        <v>74</v>
      </c>
      <c r="AG37" s="2" t="s">
        <v>74</v>
      </c>
      <c r="AH37" s="2" t="s">
        <v>74</v>
      </c>
      <c r="AI37" s="2" t="s">
        <v>74</v>
      </c>
      <c r="AJ37" s="2" t="s">
        <v>74</v>
      </c>
      <c r="AK37" s="2" t="s">
        <v>74</v>
      </c>
      <c r="AL37" s="2" t="s">
        <v>74</v>
      </c>
      <c r="AM37" s="2" t="s">
        <v>74</v>
      </c>
      <c r="AN37" s="2" t="s">
        <v>74</v>
      </c>
      <c r="AO37" s="2" t="s">
        <v>74</v>
      </c>
      <c r="AP37" s="2" t="s">
        <v>74</v>
      </c>
      <c r="AQ37" s="2" t="s">
        <v>74</v>
      </c>
      <c r="AR37" s="2" t="s">
        <v>74</v>
      </c>
      <c r="AS37" s="2" t="s">
        <v>74</v>
      </c>
      <c r="AT37" s="2" t="s">
        <v>74</v>
      </c>
      <c r="AU37" s="2" t="s">
        <v>74</v>
      </c>
      <c r="AV37" s="2" t="s">
        <v>74</v>
      </c>
      <c r="AW37" s="2" t="s">
        <v>74</v>
      </c>
      <c r="AX37" s="2" t="s">
        <v>74</v>
      </c>
      <c r="AY37" s="2" t="s">
        <v>74</v>
      </c>
      <c r="AZ37" s="2" t="s">
        <v>74</v>
      </c>
      <c r="BA37" s="2" t="s">
        <v>74</v>
      </c>
      <c r="BB37" s="2" t="s">
        <v>74</v>
      </c>
      <c r="BC37" s="2" t="s">
        <v>74</v>
      </c>
      <c r="BD37" s="2" t="s">
        <v>74</v>
      </c>
      <c r="BE37" s="2" t="s">
        <v>74</v>
      </c>
      <c r="BF37" s="2" t="s">
        <v>74</v>
      </c>
      <c r="BG37" s="2" t="s">
        <v>74</v>
      </c>
      <c r="BH37" s="2" t="s">
        <v>74</v>
      </c>
      <c r="BI37" s="2" t="s">
        <v>74</v>
      </c>
      <c r="BJ37" s="2" t="s">
        <v>74</v>
      </c>
      <c r="BK37" s="2" t="s">
        <v>74</v>
      </c>
      <c r="BL37" s="2" t="s">
        <v>74</v>
      </c>
      <c r="BM37" s="2" t="s">
        <v>74</v>
      </c>
      <c r="BN37" s="2" t="s">
        <v>74</v>
      </c>
      <c r="BO37" s="2" t="s">
        <v>74</v>
      </c>
      <c r="BP37" s="2" t="s">
        <v>74</v>
      </c>
      <c r="BQ37" s="2" t="s">
        <v>74</v>
      </c>
      <c r="BR37" s="2" t="s">
        <v>74</v>
      </c>
      <c r="BS37" s="2" t="s">
        <v>74</v>
      </c>
      <c r="BT37" s="2" t="s">
        <v>74</v>
      </c>
      <c r="BU37" s="2" t="s">
        <v>74</v>
      </c>
      <c r="BV37" s="2" t="s">
        <v>74</v>
      </c>
      <c r="BW37" s="2" t="s">
        <v>74</v>
      </c>
      <c r="BX37" s="2" t="s">
        <v>74</v>
      </c>
      <c r="BY37" s="2" t="s">
        <v>74</v>
      </c>
      <c r="BZ37" s="2" t="s">
        <v>74</v>
      </c>
      <c r="CA37" s="2" t="s">
        <v>74</v>
      </c>
      <c r="CB37" s="2" t="s">
        <v>74</v>
      </c>
      <c r="CC37" s="2" t="s">
        <v>74</v>
      </c>
      <c r="CD37" s="2" t="s">
        <v>74</v>
      </c>
      <c r="CE37" s="2" t="s">
        <v>74</v>
      </c>
      <c r="CF37" s="2" t="s">
        <v>74</v>
      </c>
      <c r="CG37" s="2" t="s">
        <v>74</v>
      </c>
      <c r="CH37" s="2" t="s">
        <v>74</v>
      </c>
      <c r="CI37" s="2" t="s">
        <v>74</v>
      </c>
      <c r="CJ37" s="2" t="s">
        <v>74</v>
      </c>
      <c r="CK37" s="2" t="s">
        <v>74</v>
      </c>
      <c r="CL37" s="2" t="s">
        <v>74</v>
      </c>
      <c r="CM37" s="2" t="s">
        <v>74</v>
      </c>
      <c r="CN37" s="2" t="s">
        <v>74</v>
      </c>
      <c r="CO37" s="2" t="s">
        <v>74</v>
      </c>
      <c r="CP37" s="2" t="s">
        <v>74</v>
      </c>
      <c r="CQ37" s="2" t="s">
        <v>74</v>
      </c>
      <c r="CR37" s="2" t="s">
        <v>74</v>
      </c>
      <c r="CS37" s="2" t="s">
        <v>74</v>
      </c>
      <c r="CT37" s="2" t="s">
        <v>74</v>
      </c>
      <c r="CU37" s="2" t="s">
        <v>74</v>
      </c>
      <c r="CV37" s="2" t="s">
        <v>74</v>
      </c>
      <c r="CW37" s="2" t="s">
        <v>74</v>
      </c>
      <c r="CX37" s="2" t="s">
        <v>74</v>
      </c>
      <c r="CY37" s="2" t="s">
        <v>74</v>
      </c>
    </row>
    <row r="38" spans="1:103" ht="17.399999999999999" x14ac:dyDescent="0.25">
      <c r="A38" s="3" t="s">
        <v>109</v>
      </c>
      <c r="B38" s="4" t="s">
        <v>74</v>
      </c>
      <c r="C38" s="4" t="s">
        <v>74</v>
      </c>
      <c r="D38" s="4" t="s">
        <v>74</v>
      </c>
      <c r="E38" s="4" t="s">
        <v>74</v>
      </c>
      <c r="F38" s="4" t="s">
        <v>74</v>
      </c>
      <c r="G38" s="4" t="s">
        <v>74</v>
      </c>
      <c r="H38" s="4" t="s">
        <v>74</v>
      </c>
      <c r="I38" s="4" t="s">
        <v>74</v>
      </c>
      <c r="J38" s="4" t="s">
        <v>74</v>
      </c>
      <c r="K38" s="4" t="s">
        <v>74</v>
      </c>
      <c r="L38" s="4" t="s">
        <v>74</v>
      </c>
      <c r="M38" s="4" t="s">
        <v>74</v>
      </c>
      <c r="N38" s="4" t="s">
        <v>74</v>
      </c>
      <c r="O38" s="4" t="s">
        <v>74</v>
      </c>
      <c r="P38" s="4" t="s">
        <v>74</v>
      </c>
      <c r="Q38" s="4" t="s">
        <v>74</v>
      </c>
      <c r="R38" s="4" t="s">
        <v>74</v>
      </c>
      <c r="S38" s="4" t="s">
        <v>74</v>
      </c>
      <c r="T38" s="4" t="s">
        <v>74</v>
      </c>
      <c r="U38" s="4" t="s">
        <v>74</v>
      </c>
      <c r="V38" s="4" t="s">
        <v>74</v>
      </c>
      <c r="W38" s="4" t="s">
        <v>74</v>
      </c>
      <c r="X38" s="4" t="s">
        <v>74</v>
      </c>
      <c r="Y38" s="4" t="s">
        <v>74</v>
      </c>
      <c r="Z38" s="4" t="s">
        <v>74</v>
      </c>
      <c r="AA38" s="4" t="s">
        <v>74</v>
      </c>
      <c r="AB38" s="4" t="s">
        <v>74</v>
      </c>
      <c r="AC38" s="4" t="s">
        <v>74</v>
      </c>
      <c r="AD38" s="4" t="s">
        <v>74</v>
      </c>
      <c r="AE38" s="4" t="s">
        <v>74</v>
      </c>
      <c r="AF38" s="4" t="s">
        <v>74</v>
      </c>
      <c r="AG38" s="4" t="s">
        <v>74</v>
      </c>
      <c r="AH38" s="4" t="s">
        <v>74</v>
      </c>
      <c r="AI38" s="4" t="s">
        <v>74</v>
      </c>
      <c r="AJ38" s="4" t="s">
        <v>74</v>
      </c>
      <c r="AK38" s="4" t="s">
        <v>74</v>
      </c>
      <c r="AL38" s="4" t="s">
        <v>74</v>
      </c>
      <c r="AM38" s="4" t="s">
        <v>74</v>
      </c>
      <c r="AN38" s="4" t="s">
        <v>74</v>
      </c>
      <c r="AO38" s="4" t="s">
        <v>74</v>
      </c>
      <c r="AP38" s="4" t="s">
        <v>74</v>
      </c>
      <c r="AQ38" s="4" t="s">
        <v>74</v>
      </c>
      <c r="AR38" s="4" t="s">
        <v>74</v>
      </c>
      <c r="AS38" s="4" t="s">
        <v>74</v>
      </c>
      <c r="AT38" s="4" t="s">
        <v>74</v>
      </c>
      <c r="AU38" s="4" t="s">
        <v>74</v>
      </c>
      <c r="AV38" s="4" t="s">
        <v>74</v>
      </c>
      <c r="AW38" s="4" t="s">
        <v>74</v>
      </c>
      <c r="AX38" s="4" t="s">
        <v>74</v>
      </c>
      <c r="AY38" s="4" t="s">
        <v>74</v>
      </c>
      <c r="AZ38" s="4" t="s">
        <v>74</v>
      </c>
      <c r="BA38" s="4" t="s">
        <v>74</v>
      </c>
      <c r="BB38" s="4" t="s">
        <v>74</v>
      </c>
      <c r="BC38" s="4" t="s">
        <v>74</v>
      </c>
      <c r="BD38" s="4" t="s">
        <v>74</v>
      </c>
      <c r="BE38" s="4" t="s">
        <v>74</v>
      </c>
      <c r="BF38" s="4" t="s">
        <v>74</v>
      </c>
      <c r="BG38" s="4" t="s">
        <v>74</v>
      </c>
      <c r="BH38" s="4" t="s">
        <v>74</v>
      </c>
      <c r="BI38" s="4" t="s">
        <v>74</v>
      </c>
      <c r="BJ38" s="4" t="s">
        <v>74</v>
      </c>
      <c r="BK38" s="4" t="s">
        <v>74</v>
      </c>
      <c r="BL38" s="4" t="s">
        <v>74</v>
      </c>
      <c r="BM38" s="4" t="s">
        <v>74</v>
      </c>
      <c r="BN38" s="4" t="s">
        <v>74</v>
      </c>
      <c r="BO38" s="4" t="s">
        <v>74</v>
      </c>
      <c r="BP38" s="4" t="s">
        <v>74</v>
      </c>
      <c r="BQ38" s="4" t="s">
        <v>74</v>
      </c>
      <c r="BR38" s="4" t="s">
        <v>74</v>
      </c>
      <c r="BS38" s="4" t="s">
        <v>74</v>
      </c>
      <c r="BT38" s="4" t="s">
        <v>74</v>
      </c>
      <c r="BU38" s="4" t="s">
        <v>74</v>
      </c>
      <c r="BV38" s="4" t="s">
        <v>74</v>
      </c>
      <c r="BW38" s="4" t="s">
        <v>74</v>
      </c>
      <c r="BX38" s="4" t="s">
        <v>74</v>
      </c>
      <c r="BY38" s="4" t="s">
        <v>74</v>
      </c>
      <c r="BZ38" s="4">
        <v>15</v>
      </c>
      <c r="CA38" s="4">
        <v>94.42</v>
      </c>
      <c r="CB38" s="4">
        <v>5</v>
      </c>
      <c r="CC38" s="4">
        <v>2793</v>
      </c>
      <c r="CD38" s="4">
        <v>5</v>
      </c>
      <c r="CE38" s="4">
        <v>15945</v>
      </c>
      <c r="CF38" s="4">
        <v>5</v>
      </c>
      <c r="CG38" s="4">
        <v>130.22999999999999</v>
      </c>
      <c r="CH38" s="4">
        <v>10</v>
      </c>
      <c r="CI38" s="4">
        <v>8654.5400000000009</v>
      </c>
      <c r="CJ38" s="4">
        <v>10</v>
      </c>
      <c r="CK38" s="4">
        <v>100</v>
      </c>
      <c r="CL38" s="4">
        <v>0</v>
      </c>
      <c r="CM38" s="4">
        <v>100</v>
      </c>
      <c r="CN38" s="4">
        <v>0</v>
      </c>
      <c r="CO38" s="4">
        <v>100</v>
      </c>
      <c r="CP38" s="4">
        <v>0</v>
      </c>
      <c r="CQ38" s="4">
        <v>100</v>
      </c>
      <c r="CR38" s="4">
        <v>0</v>
      </c>
      <c r="CS38" s="4">
        <v>100</v>
      </c>
      <c r="CT38" s="4">
        <v>0</v>
      </c>
      <c r="CU38" s="4">
        <v>100</v>
      </c>
      <c r="CV38" s="4" t="s">
        <v>74</v>
      </c>
      <c r="CW38" s="4" t="s">
        <v>74</v>
      </c>
      <c r="CX38" s="4" t="s">
        <v>74</v>
      </c>
      <c r="CY38" s="4" t="s">
        <v>74</v>
      </c>
    </row>
    <row r="39" spans="1:103" ht="17.399999999999999" x14ac:dyDescent="0.25">
      <c r="A39" s="1" t="s">
        <v>110</v>
      </c>
      <c r="B39" s="2">
        <v>0</v>
      </c>
      <c r="C39" s="2">
        <v>0</v>
      </c>
      <c r="D39" s="2">
        <v>0</v>
      </c>
      <c r="E39" s="2">
        <v>0</v>
      </c>
      <c r="F39" s="2" t="s">
        <v>74</v>
      </c>
      <c r="G39" s="2" t="s">
        <v>74</v>
      </c>
      <c r="H39" s="2" t="s">
        <v>74</v>
      </c>
      <c r="I39" s="2" t="s">
        <v>74</v>
      </c>
      <c r="J39" s="2" t="s">
        <v>74</v>
      </c>
      <c r="K39" s="2" t="s">
        <v>74</v>
      </c>
      <c r="L39" s="2" t="s">
        <v>74</v>
      </c>
      <c r="M39" s="2" t="s">
        <v>74</v>
      </c>
      <c r="N39" s="2" t="s">
        <v>74</v>
      </c>
      <c r="O39" s="2" t="s">
        <v>74</v>
      </c>
      <c r="P39" s="2">
        <v>0</v>
      </c>
      <c r="Q39" s="2">
        <v>0</v>
      </c>
      <c r="R39" s="2">
        <v>12</v>
      </c>
      <c r="S39" s="2">
        <v>95</v>
      </c>
      <c r="T39" s="2" t="s">
        <v>74</v>
      </c>
      <c r="U39" s="2" t="s">
        <v>74</v>
      </c>
      <c r="V39" s="2" t="s">
        <v>74</v>
      </c>
      <c r="W39" s="2" t="s">
        <v>74</v>
      </c>
      <c r="X39" s="2">
        <v>5</v>
      </c>
      <c r="Y39" s="2">
        <v>95</v>
      </c>
      <c r="Z39" s="2" t="s">
        <v>74</v>
      </c>
      <c r="AA39" s="2" t="s">
        <v>74</v>
      </c>
      <c r="AB39" s="2" t="s">
        <v>74</v>
      </c>
      <c r="AC39" s="2" t="s">
        <v>74</v>
      </c>
      <c r="AD39" s="2">
        <v>0</v>
      </c>
      <c r="AE39" s="2">
        <v>0</v>
      </c>
      <c r="AF39" s="2" t="s">
        <v>74</v>
      </c>
      <c r="AG39" s="2" t="s">
        <v>74</v>
      </c>
      <c r="AH39" s="2" t="s">
        <v>74</v>
      </c>
      <c r="AI39" s="2" t="s">
        <v>74</v>
      </c>
      <c r="AJ39" s="2" t="s">
        <v>74</v>
      </c>
      <c r="AK39" s="2" t="s">
        <v>74</v>
      </c>
      <c r="AL39" s="2">
        <v>5</v>
      </c>
      <c r="AM39" s="2">
        <v>95</v>
      </c>
      <c r="AN39" s="2" t="s">
        <v>74</v>
      </c>
      <c r="AO39" s="2" t="s">
        <v>74</v>
      </c>
      <c r="AP39" s="2" t="s">
        <v>74</v>
      </c>
      <c r="AQ39" s="2" t="s">
        <v>74</v>
      </c>
      <c r="AR39" s="2" t="s">
        <v>74</v>
      </c>
      <c r="AS39" s="2" t="s">
        <v>74</v>
      </c>
      <c r="AT39" s="2" t="s">
        <v>74</v>
      </c>
      <c r="AU39" s="2" t="s">
        <v>74</v>
      </c>
      <c r="AV39" s="2">
        <v>8</v>
      </c>
      <c r="AW39" s="2">
        <v>95</v>
      </c>
      <c r="AX39" s="2" t="s">
        <v>74</v>
      </c>
      <c r="AY39" s="2" t="s">
        <v>74</v>
      </c>
      <c r="AZ39" s="2" t="s">
        <v>74</v>
      </c>
      <c r="BA39" s="2" t="s">
        <v>74</v>
      </c>
      <c r="BB39" s="2">
        <v>5</v>
      </c>
      <c r="BC39" s="2">
        <v>95</v>
      </c>
      <c r="BD39" s="2">
        <v>5</v>
      </c>
      <c r="BE39" s="2">
        <v>95</v>
      </c>
      <c r="BF39" s="2" t="s">
        <v>74</v>
      </c>
      <c r="BG39" s="2" t="s">
        <v>74</v>
      </c>
      <c r="BH39" s="2" t="s">
        <v>74</v>
      </c>
      <c r="BI39" s="2" t="s">
        <v>74</v>
      </c>
      <c r="BJ39" s="2" t="s">
        <v>74</v>
      </c>
      <c r="BK39" s="2" t="s">
        <v>74</v>
      </c>
      <c r="BL39" s="2" t="s">
        <v>74</v>
      </c>
      <c r="BM39" s="2" t="s">
        <v>74</v>
      </c>
      <c r="BN39" s="2">
        <v>10</v>
      </c>
      <c r="BO39" s="2">
        <v>95</v>
      </c>
      <c r="BP39" s="2">
        <v>20</v>
      </c>
      <c r="BQ39" s="2">
        <v>10.55</v>
      </c>
      <c r="BR39" s="2">
        <v>0</v>
      </c>
      <c r="BS39" s="2">
        <v>0</v>
      </c>
      <c r="BT39" s="2">
        <v>15</v>
      </c>
      <c r="BU39" s="2">
        <v>45.47</v>
      </c>
      <c r="BV39" s="2" t="s">
        <v>74</v>
      </c>
      <c r="BW39" s="2" t="s">
        <v>74</v>
      </c>
      <c r="BX39" s="2">
        <v>15</v>
      </c>
      <c r="BY39" s="2">
        <v>82.35</v>
      </c>
      <c r="BZ39" s="2" t="s">
        <v>74</v>
      </c>
      <c r="CA39" s="2" t="s">
        <v>74</v>
      </c>
      <c r="CB39" s="2" t="s">
        <v>74</v>
      </c>
      <c r="CC39" s="2" t="s">
        <v>74</v>
      </c>
      <c r="CD39" s="2" t="s">
        <v>74</v>
      </c>
      <c r="CE39" s="2" t="s">
        <v>74</v>
      </c>
      <c r="CF39" s="2" t="s">
        <v>74</v>
      </c>
      <c r="CG39" s="2" t="s">
        <v>74</v>
      </c>
      <c r="CH39" s="2" t="s">
        <v>74</v>
      </c>
      <c r="CI39" s="2" t="s">
        <v>74</v>
      </c>
      <c r="CJ39" s="2" t="s">
        <v>74</v>
      </c>
      <c r="CK39" s="2" t="s">
        <v>74</v>
      </c>
      <c r="CL39" s="2" t="s">
        <v>74</v>
      </c>
      <c r="CM39" s="2" t="s">
        <v>74</v>
      </c>
      <c r="CN39" s="2" t="s">
        <v>74</v>
      </c>
      <c r="CO39" s="2" t="s">
        <v>74</v>
      </c>
      <c r="CP39" s="2" t="s">
        <v>74</v>
      </c>
      <c r="CQ39" s="2" t="s">
        <v>74</v>
      </c>
      <c r="CR39" s="2" t="s">
        <v>74</v>
      </c>
      <c r="CS39" s="2" t="s">
        <v>74</v>
      </c>
      <c r="CT39" s="2" t="s">
        <v>74</v>
      </c>
      <c r="CU39" s="2" t="s">
        <v>74</v>
      </c>
      <c r="CV39" s="2" t="s">
        <v>74</v>
      </c>
      <c r="CW39" s="2" t="s">
        <v>74</v>
      </c>
      <c r="CX39" s="2" t="s">
        <v>74</v>
      </c>
      <c r="CY39" s="2" t="s">
        <v>74</v>
      </c>
    </row>
    <row r="40" spans="1:103" ht="17.399999999999999" x14ac:dyDescent="0.25">
      <c r="A40" s="3" t="s">
        <v>111</v>
      </c>
      <c r="B40" s="4" t="s">
        <v>74</v>
      </c>
      <c r="C40" s="4" t="s">
        <v>74</v>
      </c>
      <c r="D40" s="4" t="s">
        <v>74</v>
      </c>
      <c r="E40" s="4" t="s">
        <v>74</v>
      </c>
      <c r="F40" s="4" t="s">
        <v>74</v>
      </c>
      <c r="G40" s="4" t="s">
        <v>74</v>
      </c>
      <c r="H40" s="4" t="s">
        <v>74</v>
      </c>
      <c r="I40" s="4" t="s">
        <v>74</v>
      </c>
      <c r="J40" s="4" t="s">
        <v>74</v>
      </c>
      <c r="K40" s="4" t="s">
        <v>74</v>
      </c>
      <c r="L40" s="4" t="s">
        <v>74</v>
      </c>
      <c r="M40" s="4" t="s">
        <v>74</v>
      </c>
      <c r="N40" s="4" t="s">
        <v>74</v>
      </c>
      <c r="O40" s="4" t="s">
        <v>74</v>
      </c>
      <c r="P40" s="4" t="s">
        <v>74</v>
      </c>
      <c r="Q40" s="4" t="s">
        <v>74</v>
      </c>
      <c r="R40" s="4" t="s">
        <v>74</v>
      </c>
      <c r="S40" s="4" t="s">
        <v>74</v>
      </c>
      <c r="T40" s="4" t="s">
        <v>74</v>
      </c>
      <c r="U40" s="4" t="s">
        <v>74</v>
      </c>
      <c r="V40" s="4" t="s">
        <v>74</v>
      </c>
      <c r="W40" s="4" t="s">
        <v>74</v>
      </c>
      <c r="X40" s="4" t="s">
        <v>74</v>
      </c>
      <c r="Y40" s="4" t="s">
        <v>74</v>
      </c>
      <c r="Z40" s="4" t="s">
        <v>74</v>
      </c>
      <c r="AA40" s="4" t="s">
        <v>74</v>
      </c>
      <c r="AB40" s="4" t="s">
        <v>74</v>
      </c>
      <c r="AC40" s="4" t="s">
        <v>74</v>
      </c>
      <c r="AD40" s="4" t="s">
        <v>74</v>
      </c>
      <c r="AE40" s="4" t="s">
        <v>74</v>
      </c>
      <c r="AF40" s="4" t="s">
        <v>74</v>
      </c>
      <c r="AG40" s="4" t="s">
        <v>74</v>
      </c>
      <c r="AH40" s="4" t="s">
        <v>74</v>
      </c>
      <c r="AI40" s="4" t="s">
        <v>74</v>
      </c>
      <c r="AJ40" s="4" t="s">
        <v>74</v>
      </c>
      <c r="AK40" s="4" t="s">
        <v>74</v>
      </c>
      <c r="AL40" s="4" t="s">
        <v>74</v>
      </c>
      <c r="AM40" s="4" t="s">
        <v>74</v>
      </c>
      <c r="AN40" s="4" t="s">
        <v>74</v>
      </c>
      <c r="AO40" s="4" t="s">
        <v>74</v>
      </c>
      <c r="AP40" s="4" t="s">
        <v>74</v>
      </c>
      <c r="AQ40" s="4" t="s">
        <v>74</v>
      </c>
      <c r="AR40" s="4" t="s">
        <v>74</v>
      </c>
      <c r="AS40" s="4" t="s">
        <v>74</v>
      </c>
      <c r="AT40" s="4" t="s">
        <v>74</v>
      </c>
      <c r="AU40" s="4" t="s">
        <v>74</v>
      </c>
      <c r="AV40" s="4" t="s">
        <v>74</v>
      </c>
      <c r="AW40" s="4" t="s">
        <v>74</v>
      </c>
      <c r="AX40" s="4" t="s">
        <v>74</v>
      </c>
      <c r="AY40" s="4" t="s">
        <v>74</v>
      </c>
      <c r="AZ40" s="4" t="s">
        <v>74</v>
      </c>
      <c r="BA40" s="4" t="s">
        <v>74</v>
      </c>
      <c r="BB40" s="4" t="s">
        <v>74</v>
      </c>
      <c r="BC40" s="4" t="s">
        <v>74</v>
      </c>
      <c r="BD40" s="4" t="s">
        <v>74</v>
      </c>
      <c r="BE40" s="4" t="s">
        <v>74</v>
      </c>
      <c r="BF40" s="4" t="s">
        <v>74</v>
      </c>
      <c r="BG40" s="4" t="s">
        <v>74</v>
      </c>
      <c r="BH40" s="4" t="s">
        <v>74</v>
      </c>
      <c r="BI40" s="4" t="s">
        <v>74</v>
      </c>
      <c r="BJ40" s="4" t="s">
        <v>74</v>
      </c>
      <c r="BK40" s="4" t="s">
        <v>74</v>
      </c>
      <c r="BL40" s="4" t="s">
        <v>74</v>
      </c>
      <c r="BM40" s="4" t="s">
        <v>74</v>
      </c>
      <c r="BN40" s="4" t="s">
        <v>74</v>
      </c>
      <c r="BO40" s="4" t="s">
        <v>74</v>
      </c>
      <c r="BP40" s="4" t="s">
        <v>74</v>
      </c>
      <c r="BQ40" s="4" t="s">
        <v>74</v>
      </c>
      <c r="BR40" s="4" t="s">
        <v>74</v>
      </c>
      <c r="BS40" s="4" t="s">
        <v>74</v>
      </c>
      <c r="BT40" s="4" t="s">
        <v>74</v>
      </c>
      <c r="BU40" s="4" t="s">
        <v>74</v>
      </c>
      <c r="BV40" s="4" t="s">
        <v>74</v>
      </c>
      <c r="BW40" s="4" t="s">
        <v>74</v>
      </c>
      <c r="BX40" s="4" t="s">
        <v>74</v>
      </c>
      <c r="BY40" s="4" t="s">
        <v>74</v>
      </c>
      <c r="BZ40" s="4">
        <v>15</v>
      </c>
      <c r="CA40" s="4">
        <v>94.42</v>
      </c>
      <c r="CB40" s="4">
        <v>5</v>
      </c>
      <c r="CC40" s="4">
        <v>2793</v>
      </c>
      <c r="CD40" s="4">
        <v>5</v>
      </c>
      <c r="CE40" s="4">
        <v>15945</v>
      </c>
      <c r="CF40" s="4">
        <v>5</v>
      </c>
      <c r="CG40" s="4">
        <v>130.22999999999999</v>
      </c>
      <c r="CH40" s="4">
        <v>10</v>
      </c>
      <c r="CI40" s="4">
        <v>8654.5400000000009</v>
      </c>
      <c r="CJ40" s="4">
        <v>10</v>
      </c>
      <c r="CK40" s="4">
        <v>100</v>
      </c>
      <c r="CL40" s="4">
        <v>0</v>
      </c>
      <c r="CM40" s="4">
        <v>100</v>
      </c>
      <c r="CN40" s="4">
        <v>0</v>
      </c>
      <c r="CO40" s="4">
        <v>100</v>
      </c>
      <c r="CP40" s="4">
        <v>0</v>
      </c>
      <c r="CQ40" s="4">
        <v>100</v>
      </c>
      <c r="CR40" s="4">
        <v>0</v>
      </c>
      <c r="CS40" s="4">
        <v>100</v>
      </c>
      <c r="CT40" s="4">
        <v>0</v>
      </c>
      <c r="CU40" s="4">
        <v>100</v>
      </c>
      <c r="CV40" s="4" t="s">
        <v>74</v>
      </c>
      <c r="CW40" s="4" t="s">
        <v>74</v>
      </c>
      <c r="CX40" s="4" t="s">
        <v>74</v>
      </c>
      <c r="CY40" s="4" t="s">
        <v>74</v>
      </c>
    </row>
    <row r="41" spans="1:103" ht="34.799999999999997" x14ac:dyDescent="0.25">
      <c r="A41" s="1" t="s">
        <v>112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 t="s">
        <v>74</v>
      </c>
      <c r="I41" s="2" t="s">
        <v>74</v>
      </c>
      <c r="J41" s="2" t="s">
        <v>74</v>
      </c>
      <c r="K41" s="2" t="s">
        <v>74</v>
      </c>
      <c r="L41" s="2">
        <v>3</v>
      </c>
      <c r="M41" s="2">
        <v>28039.62</v>
      </c>
      <c r="N41" s="2">
        <v>0</v>
      </c>
      <c r="O41" s="2">
        <v>95</v>
      </c>
      <c r="P41" s="2">
        <v>0</v>
      </c>
      <c r="Q41" s="2">
        <v>0</v>
      </c>
      <c r="R41" s="2" t="s">
        <v>74</v>
      </c>
      <c r="S41" s="2" t="s">
        <v>74</v>
      </c>
      <c r="T41" s="2">
        <v>3</v>
      </c>
      <c r="U41" s="2">
        <v>63.21</v>
      </c>
      <c r="V41" s="2" t="s">
        <v>74</v>
      </c>
      <c r="W41" s="2" t="s">
        <v>74</v>
      </c>
      <c r="X41" s="2" t="s">
        <v>74</v>
      </c>
      <c r="Y41" s="2" t="s">
        <v>74</v>
      </c>
      <c r="Z41" s="2" t="s">
        <v>74</v>
      </c>
      <c r="AA41" s="2" t="s">
        <v>74</v>
      </c>
      <c r="AB41" s="2" t="s">
        <v>74</v>
      </c>
      <c r="AC41" s="2" t="s">
        <v>74</v>
      </c>
      <c r="AD41" s="2" t="s">
        <v>74</v>
      </c>
      <c r="AE41" s="2" t="s">
        <v>74</v>
      </c>
      <c r="AF41" s="2">
        <v>2</v>
      </c>
      <c r="AG41" s="2">
        <v>160.84</v>
      </c>
      <c r="AH41" s="2">
        <v>6</v>
      </c>
      <c r="AI41" s="2">
        <v>113</v>
      </c>
      <c r="AJ41" s="2">
        <v>6</v>
      </c>
      <c r="AK41" s="2">
        <v>362</v>
      </c>
      <c r="AL41" s="2">
        <v>3</v>
      </c>
      <c r="AM41" s="2">
        <v>95</v>
      </c>
      <c r="AN41" s="2">
        <v>3</v>
      </c>
      <c r="AO41" s="2">
        <v>15.42</v>
      </c>
      <c r="AP41" s="2">
        <v>3</v>
      </c>
      <c r="AQ41" s="2">
        <v>1.98</v>
      </c>
      <c r="AR41" s="2">
        <v>2</v>
      </c>
      <c r="AS41" s="2">
        <v>160.84</v>
      </c>
      <c r="AT41" s="2">
        <v>1.5</v>
      </c>
      <c r="AU41" s="2">
        <v>13541.62</v>
      </c>
      <c r="AV41" s="2">
        <v>5</v>
      </c>
      <c r="AW41" s="2">
        <v>95</v>
      </c>
      <c r="AX41" s="2">
        <v>5</v>
      </c>
      <c r="AY41" s="2">
        <v>95</v>
      </c>
      <c r="AZ41" s="2">
        <v>4</v>
      </c>
      <c r="BA41" s="2">
        <v>95</v>
      </c>
      <c r="BB41" s="2">
        <v>3</v>
      </c>
      <c r="BC41" s="2">
        <v>95</v>
      </c>
      <c r="BD41" s="2">
        <v>4</v>
      </c>
      <c r="BE41" s="2">
        <v>95</v>
      </c>
      <c r="BF41" s="2">
        <v>12.5</v>
      </c>
      <c r="BG41" s="2">
        <v>8394.18</v>
      </c>
      <c r="BH41" s="2">
        <v>7</v>
      </c>
      <c r="BI41" s="2">
        <v>18.670000000000002</v>
      </c>
      <c r="BJ41" s="2">
        <v>7</v>
      </c>
      <c r="BK41" s="2">
        <v>31.05</v>
      </c>
      <c r="BL41" s="2">
        <v>20</v>
      </c>
      <c r="BM41" s="2">
        <v>71.89</v>
      </c>
      <c r="BN41" s="2" t="s">
        <v>74</v>
      </c>
      <c r="BO41" s="2" t="s">
        <v>74</v>
      </c>
      <c r="BP41" s="2" t="s">
        <v>74</v>
      </c>
      <c r="BQ41" s="2" t="s">
        <v>74</v>
      </c>
      <c r="BR41" s="2">
        <v>0</v>
      </c>
      <c r="BS41" s="2">
        <v>0</v>
      </c>
      <c r="BT41" s="2" t="s">
        <v>74</v>
      </c>
      <c r="BU41" s="2" t="s">
        <v>74</v>
      </c>
      <c r="BV41" s="2" t="s">
        <v>74</v>
      </c>
      <c r="BW41" s="2" t="s">
        <v>74</v>
      </c>
      <c r="BX41" s="2" t="s">
        <v>74</v>
      </c>
      <c r="BY41" s="2" t="s">
        <v>74</v>
      </c>
      <c r="BZ41" s="2" t="s">
        <v>74</v>
      </c>
      <c r="CA41" s="2" t="s">
        <v>74</v>
      </c>
      <c r="CB41" s="2" t="s">
        <v>74</v>
      </c>
      <c r="CC41" s="2" t="s">
        <v>74</v>
      </c>
      <c r="CD41" s="2" t="s">
        <v>74</v>
      </c>
      <c r="CE41" s="2" t="s">
        <v>74</v>
      </c>
      <c r="CF41" s="2" t="s">
        <v>74</v>
      </c>
      <c r="CG41" s="2" t="s">
        <v>74</v>
      </c>
      <c r="CH41" s="2" t="s">
        <v>74</v>
      </c>
      <c r="CI41" s="2" t="s">
        <v>74</v>
      </c>
      <c r="CJ41" s="2" t="s">
        <v>74</v>
      </c>
      <c r="CK41" s="2" t="s">
        <v>74</v>
      </c>
      <c r="CL41" s="2" t="s">
        <v>74</v>
      </c>
      <c r="CM41" s="2" t="s">
        <v>74</v>
      </c>
      <c r="CN41" s="2" t="s">
        <v>74</v>
      </c>
      <c r="CO41" s="2" t="s">
        <v>74</v>
      </c>
      <c r="CP41" s="2" t="s">
        <v>74</v>
      </c>
      <c r="CQ41" s="2" t="s">
        <v>74</v>
      </c>
      <c r="CR41" s="2" t="s">
        <v>74</v>
      </c>
      <c r="CS41" s="2" t="s">
        <v>74</v>
      </c>
      <c r="CT41" s="2" t="s">
        <v>74</v>
      </c>
      <c r="CU41" s="2" t="s">
        <v>74</v>
      </c>
      <c r="CV41" s="2" t="s">
        <v>74</v>
      </c>
      <c r="CW41" s="2" t="s">
        <v>74</v>
      </c>
      <c r="CX41" s="2" t="s">
        <v>74</v>
      </c>
      <c r="CY41" s="2" t="s">
        <v>74</v>
      </c>
    </row>
    <row r="42" spans="1:103" ht="17.399999999999999" x14ac:dyDescent="0.25">
      <c r="A42" s="3" t="s">
        <v>113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10</v>
      </c>
      <c r="I42" s="4">
        <v>237</v>
      </c>
      <c r="J42" s="4">
        <v>0</v>
      </c>
      <c r="K42" s="4">
        <v>594</v>
      </c>
      <c r="L42" s="4">
        <v>3</v>
      </c>
      <c r="M42" s="4">
        <v>23389.26</v>
      </c>
      <c r="N42" s="4">
        <v>0</v>
      </c>
      <c r="O42" s="4">
        <v>95</v>
      </c>
      <c r="P42" s="4">
        <v>0</v>
      </c>
      <c r="Q42" s="4">
        <v>0</v>
      </c>
      <c r="R42" s="4">
        <v>4</v>
      </c>
      <c r="S42" s="4">
        <v>95</v>
      </c>
      <c r="T42" s="4" t="s">
        <v>74</v>
      </c>
      <c r="U42" s="4" t="s">
        <v>74</v>
      </c>
      <c r="V42" s="4" t="s">
        <v>74</v>
      </c>
      <c r="W42" s="4" t="s">
        <v>74</v>
      </c>
      <c r="X42" s="4" t="s">
        <v>74</v>
      </c>
      <c r="Y42" s="4" t="s">
        <v>74</v>
      </c>
      <c r="Z42" s="4" t="s">
        <v>74</v>
      </c>
      <c r="AA42" s="4" t="s">
        <v>74</v>
      </c>
      <c r="AB42" s="4" t="s">
        <v>74</v>
      </c>
      <c r="AC42" s="4" t="s">
        <v>74</v>
      </c>
      <c r="AD42" s="4" t="s">
        <v>74</v>
      </c>
      <c r="AE42" s="4" t="s">
        <v>74</v>
      </c>
      <c r="AF42" s="4" t="s">
        <v>74</v>
      </c>
      <c r="AG42" s="4" t="s">
        <v>74</v>
      </c>
      <c r="AH42" s="4" t="s">
        <v>74</v>
      </c>
      <c r="AI42" s="4" t="s">
        <v>74</v>
      </c>
      <c r="AJ42" s="4" t="s">
        <v>74</v>
      </c>
      <c r="AK42" s="4" t="s">
        <v>74</v>
      </c>
      <c r="AL42" s="4">
        <v>3</v>
      </c>
      <c r="AM42" s="4">
        <v>95</v>
      </c>
      <c r="AN42" s="4" t="s">
        <v>74</v>
      </c>
      <c r="AO42" s="4" t="s">
        <v>74</v>
      </c>
      <c r="AP42" s="4" t="s">
        <v>74</v>
      </c>
      <c r="AQ42" s="4" t="s">
        <v>74</v>
      </c>
      <c r="AR42" s="4" t="s">
        <v>74</v>
      </c>
      <c r="AS42" s="4" t="s">
        <v>74</v>
      </c>
      <c r="AT42" s="4" t="s">
        <v>74</v>
      </c>
      <c r="AU42" s="4" t="s">
        <v>74</v>
      </c>
      <c r="AV42" s="4">
        <v>6</v>
      </c>
      <c r="AW42" s="4">
        <v>95</v>
      </c>
      <c r="AX42" s="4">
        <v>5</v>
      </c>
      <c r="AY42" s="4">
        <v>95</v>
      </c>
      <c r="AZ42" s="4">
        <v>4</v>
      </c>
      <c r="BA42" s="4">
        <v>95</v>
      </c>
      <c r="BB42" s="4">
        <v>5</v>
      </c>
      <c r="BC42" s="4">
        <v>95</v>
      </c>
      <c r="BD42" s="4">
        <v>5</v>
      </c>
      <c r="BE42" s="4">
        <v>95</v>
      </c>
      <c r="BF42" s="4" t="s">
        <v>74</v>
      </c>
      <c r="BG42" s="4" t="s">
        <v>74</v>
      </c>
      <c r="BH42" s="4" t="s">
        <v>74</v>
      </c>
      <c r="BI42" s="4" t="s">
        <v>74</v>
      </c>
      <c r="BJ42" s="4">
        <v>10</v>
      </c>
      <c r="BK42" s="4">
        <v>31.88</v>
      </c>
      <c r="BL42" s="4" t="s">
        <v>74</v>
      </c>
      <c r="BM42" s="4" t="s">
        <v>74</v>
      </c>
      <c r="BN42" s="4" t="s">
        <v>74</v>
      </c>
      <c r="BO42" s="4" t="s">
        <v>74</v>
      </c>
      <c r="BP42" s="4">
        <v>10</v>
      </c>
      <c r="BQ42" s="4">
        <v>299.44</v>
      </c>
      <c r="BR42" s="4">
        <v>0</v>
      </c>
      <c r="BS42" s="4">
        <v>0</v>
      </c>
      <c r="BT42" s="4">
        <v>10</v>
      </c>
      <c r="BU42" s="4">
        <v>27.51</v>
      </c>
      <c r="BV42" s="4" t="s">
        <v>74</v>
      </c>
      <c r="BW42" s="4" t="s">
        <v>74</v>
      </c>
      <c r="BX42" s="4">
        <v>25</v>
      </c>
      <c r="BY42" s="4">
        <v>171.74</v>
      </c>
      <c r="BZ42" s="4" t="s">
        <v>74</v>
      </c>
      <c r="CA42" s="4" t="s">
        <v>74</v>
      </c>
      <c r="CB42" s="4" t="s">
        <v>74</v>
      </c>
      <c r="CC42" s="4" t="s">
        <v>74</v>
      </c>
      <c r="CD42" s="4" t="s">
        <v>74</v>
      </c>
      <c r="CE42" s="4" t="s">
        <v>74</v>
      </c>
      <c r="CF42" s="4" t="s">
        <v>74</v>
      </c>
      <c r="CG42" s="4" t="s">
        <v>74</v>
      </c>
      <c r="CH42" s="4" t="s">
        <v>74</v>
      </c>
      <c r="CI42" s="4" t="s">
        <v>74</v>
      </c>
      <c r="CJ42" s="4" t="s">
        <v>74</v>
      </c>
      <c r="CK42" s="4" t="s">
        <v>74</v>
      </c>
      <c r="CL42" s="4" t="s">
        <v>74</v>
      </c>
      <c r="CM42" s="4" t="s">
        <v>74</v>
      </c>
      <c r="CN42" s="4" t="s">
        <v>74</v>
      </c>
      <c r="CO42" s="4" t="s">
        <v>74</v>
      </c>
      <c r="CP42" s="4" t="s">
        <v>74</v>
      </c>
      <c r="CQ42" s="4" t="s">
        <v>74</v>
      </c>
      <c r="CR42" s="4" t="s">
        <v>74</v>
      </c>
      <c r="CS42" s="4" t="s">
        <v>74</v>
      </c>
      <c r="CT42" s="4" t="s">
        <v>74</v>
      </c>
      <c r="CU42" s="4" t="s">
        <v>74</v>
      </c>
      <c r="CV42" s="4" t="s">
        <v>74</v>
      </c>
      <c r="CW42" s="4" t="s">
        <v>74</v>
      </c>
      <c r="CX42" s="4" t="s">
        <v>74</v>
      </c>
      <c r="CY42" s="4" t="s">
        <v>74</v>
      </c>
    </row>
    <row r="43" spans="1:103" ht="17.399999999999999" x14ac:dyDescent="0.25">
      <c r="A43" s="1" t="s">
        <v>114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 t="s">
        <v>74</v>
      </c>
      <c r="I43" s="2" t="s">
        <v>74</v>
      </c>
      <c r="J43" s="2" t="s">
        <v>74</v>
      </c>
      <c r="K43" s="2" t="s">
        <v>74</v>
      </c>
      <c r="L43" s="2">
        <v>3</v>
      </c>
      <c r="M43" s="2">
        <v>73533.03</v>
      </c>
      <c r="N43" s="2">
        <v>0</v>
      </c>
      <c r="O43" s="2">
        <v>95</v>
      </c>
      <c r="P43" s="2">
        <v>0</v>
      </c>
      <c r="Q43" s="2">
        <v>0</v>
      </c>
      <c r="R43" s="2" t="s">
        <v>74</v>
      </c>
      <c r="S43" s="2" t="s">
        <v>74</v>
      </c>
      <c r="T43" s="2">
        <v>2</v>
      </c>
      <c r="U43" s="2">
        <v>117.79</v>
      </c>
      <c r="V43" s="2">
        <v>10</v>
      </c>
      <c r="W43" s="2">
        <v>17.25</v>
      </c>
      <c r="X43" s="2" t="s">
        <v>74</v>
      </c>
      <c r="Y43" s="2" t="s">
        <v>74</v>
      </c>
      <c r="Z43" s="2" t="s">
        <v>74</v>
      </c>
      <c r="AA43" s="2" t="s">
        <v>74</v>
      </c>
      <c r="AB43" s="2" t="s">
        <v>74</v>
      </c>
      <c r="AC43" s="2" t="s">
        <v>74</v>
      </c>
      <c r="AD43" s="2" t="s">
        <v>74</v>
      </c>
      <c r="AE43" s="2" t="s">
        <v>74</v>
      </c>
      <c r="AF43" s="2">
        <v>1.5</v>
      </c>
      <c r="AG43" s="2">
        <v>466.21</v>
      </c>
      <c r="AH43" s="2">
        <v>5</v>
      </c>
      <c r="AI43" s="2">
        <v>309</v>
      </c>
      <c r="AJ43" s="2">
        <v>5</v>
      </c>
      <c r="AK43" s="2">
        <v>807</v>
      </c>
      <c r="AL43" s="2">
        <v>2</v>
      </c>
      <c r="AM43" s="2">
        <v>95</v>
      </c>
      <c r="AN43" s="2">
        <v>2</v>
      </c>
      <c r="AO43" s="2">
        <v>24.93</v>
      </c>
      <c r="AP43" s="2">
        <v>3</v>
      </c>
      <c r="AQ43" s="2">
        <v>2.04</v>
      </c>
      <c r="AR43" s="2">
        <v>1.5</v>
      </c>
      <c r="AS43" s="2">
        <v>466.21</v>
      </c>
      <c r="AT43" s="2">
        <v>1.5</v>
      </c>
      <c r="AU43" s="2">
        <v>32435.74</v>
      </c>
      <c r="AV43" s="2">
        <v>5</v>
      </c>
      <c r="AW43" s="2">
        <v>95</v>
      </c>
      <c r="AX43" s="2">
        <v>5</v>
      </c>
      <c r="AY43" s="2">
        <v>95</v>
      </c>
      <c r="AZ43" s="2">
        <v>4</v>
      </c>
      <c r="BA43" s="2">
        <v>95</v>
      </c>
      <c r="BB43" s="2">
        <v>3</v>
      </c>
      <c r="BC43" s="2">
        <v>95</v>
      </c>
      <c r="BD43" s="2">
        <v>3</v>
      </c>
      <c r="BE43" s="2">
        <v>95</v>
      </c>
      <c r="BF43" s="2">
        <v>10.5</v>
      </c>
      <c r="BG43" s="2">
        <v>26405.72</v>
      </c>
      <c r="BH43" s="2">
        <v>5</v>
      </c>
      <c r="BI43" s="2">
        <v>1.94</v>
      </c>
      <c r="BJ43" s="2">
        <v>5</v>
      </c>
      <c r="BK43" s="2">
        <v>18.23</v>
      </c>
      <c r="BL43" s="2">
        <v>15</v>
      </c>
      <c r="BM43" s="2">
        <v>41.97</v>
      </c>
      <c r="BN43" s="2" t="s">
        <v>74</v>
      </c>
      <c r="BO43" s="2" t="s">
        <v>74</v>
      </c>
      <c r="BP43" s="2">
        <v>8</v>
      </c>
      <c r="BQ43" s="2">
        <v>493.45</v>
      </c>
      <c r="BR43" s="2">
        <v>0</v>
      </c>
      <c r="BS43" s="2">
        <v>0</v>
      </c>
      <c r="BT43" s="2" t="s">
        <v>74</v>
      </c>
      <c r="BU43" s="2" t="s">
        <v>74</v>
      </c>
      <c r="BV43" s="2" t="s">
        <v>74</v>
      </c>
      <c r="BW43" s="2" t="s">
        <v>74</v>
      </c>
      <c r="BX43" s="2" t="s">
        <v>74</v>
      </c>
      <c r="BY43" s="2" t="s">
        <v>74</v>
      </c>
      <c r="BZ43" s="2" t="s">
        <v>74</v>
      </c>
      <c r="CA43" s="2" t="s">
        <v>74</v>
      </c>
      <c r="CB43" s="2" t="s">
        <v>74</v>
      </c>
      <c r="CC43" s="2" t="s">
        <v>74</v>
      </c>
      <c r="CD43" s="2" t="s">
        <v>74</v>
      </c>
      <c r="CE43" s="2" t="s">
        <v>74</v>
      </c>
      <c r="CF43" s="2" t="s">
        <v>74</v>
      </c>
      <c r="CG43" s="2" t="s">
        <v>74</v>
      </c>
      <c r="CH43" s="2" t="s">
        <v>74</v>
      </c>
      <c r="CI43" s="2" t="s">
        <v>74</v>
      </c>
      <c r="CJ43" s="2" t="s">
        <v>74</v>
      </c>
      <c r="CK43" s="2" t="s">
        <v>74</v>
      </c>
      <c r="CL43" s="2" t="s">
        <v>74</v>
      </c>
      <c r="CM43" s="2" t="s">
        <v>74</v>
      </c>
      <c r="CN43" s="2" t="s">
        <v>74</v>
      </c>
      <c r="CO43" s="2" t="s">
        <v>74</v>
      </c>
      <c r="CP43" s="2" t="s">
        <v>74</v>
      </c>
      <c r="CQ43" s="2" t="s">
        <v>74</v>
      </c>
      <c r="CR43" s="2" t="s">
        <v>74</v>
      </c>
      <c r="CS43" s="2" t="s">
        <v>74</v>
      </c>
      <c r="CT43" s="2" t="s">
        <v>74</v>
      </c>
      <c r="CU43" s="2" t="s">
        <v>74</v>
      </c>
      <c r="CV43" s="2" t="s">
        <v>74</v>
      </c>
      <c r="CW43" s="2" t="s">
        <v>74</v>
      </c>
      <c r="CX43" s="2" t="s">
        <v>74</v>
      </c>
      <c r="CY43" s="2" t="s">
        <v>74</v>
      </c>
    </row>
    <row r="44" spans="1:103" ht="17.399999999999999" x14ac:dyDescent="0.25">
      <c r="A44" s="3" t="s">
        <v>115</v>
      </c>
      <c r="B44" s="4" t="s">
        <v>74</v>
      </c>
      <c r="C44" s="4" t="s">
        <v>74</v>
      </c>
      <c r="D44" s="4" t="s">
        <v>74</v>
      </c>
      <c r="E44" s="4" t="s">
        <v>74</v>
      </c>
      <c r="F44" s="4" t="s">
        <v>74</v>
      </c>
      <c r="G44" s="4" t="s">
        <v>74</v>
      </c>
      <c r="H44" s="4" t="s">
        <v>74</v>
      </c>
      <c r="I44" s="4" t="s">
        <v>74</v>
      </c>
      <c r="J44" s="4" t="s">
        <v>74</v>
      </c>
      <c r="K44" s="4" t="s">
        <v>74</v>
      </c>
      <c r="L44" s="4" t="s">
        <v>74</v>
      </c>
      <c r="M44" s="4" t="s">
        <v>74</v>
      </c>
      <c r="N44" s="4" t="s">
        <v>74</v>
      </c>
      <c r="O44" s="4" t="s">
        <v>74</v>
      </c>
      <c r="P44" s="4" t="s">
        <v>74</v>
      </c>
      <c r="Q44" s="4" t="s">
        <v>74</v>
      </c>
      <c r="R44" s="4" t="s">
        <v>74</v>
      </c>
      <c r="S44" s="4" t="s">
        <v>74</v>
      </c>
      <c r="T44" s="4" t="s">
        <v>74</v>
      </c>
      <c r="U44" s="4" t="s">
        <v>74</v>
      </c>
      <c r="V44" s="4" t="s">
        <v>74</v>
      </c>
      <c r="W44" s="4" t="s">
        <v>74</v>
      </c>
      <c r="X44" s="4" t="s">
        <v>74</v>
      </c>
      <c r="Y44" s="4" t="s">
        <v>74</v>
      </c>
      <c r="Z44" s="4" t="s">
        <v>74</v>
      </c>
      <c r="AA44" s="4" t="s">
        <v>74</v>
      </c>
      <c r="AB44" s="4" t="s">
        <v>74</v>
      </c>
      <c r="AC44" s="4" t="s">
        <v>74</v>
      </c>
      <c r="AD44" s="4" t="s">
        <v>74</v>
      </c>
      <c r="AE44" s="4" t="s">
        <v>74</v>
      </c>
      <c r="AF44" s="4" t="s">
        <v>74</v>
      </c>
      <c r="AG44" s="4" t="s">
        <v>74</v>
      </c>
      <c r="AH44" s="4" t="s">
        <v>74</v>
      </c>
      <c r="AI44" s="4" t="s">
        <v>74</v>
      </c>
      <c r="AJ44" s="4" t="s">
        <v>74</v>
      </c>
      <c r="AK44" s="4" t="s">
        <v>74</v>
      </c>
      <c r="AL44" s="4" t="s">
        <v>74</v>
      </c>
      <c r="AM44" s="4" t="s">
        <v>74</v>
      </c>
      <c r="AN44" s="4" t="s">
        <v>74</v>
      </c>
      <c r="AO44" s="4" t="s">
        <v>74</v>
      </c>
      <c r="AP44" s="4" t="s">
        <v>74</v>
      </c>
      <c r="AQ44" s="4" t="s">
        <v>74</v>
      </c>
      <c r="AR44" s="4" t="s">
        <v>74</v>
      </c>
      <c r="AS44" s="4" t="s">
        <v>74</v>
      </c>
      <c r="AT44" s="4" t="s">
        <v>74</v>
      </c>
      <c r="AU44" s="4" t="s">
        <v>74</v>
      </c>
      <c r="AV44" s="4" t="s">
        <v>74</v>
      </c>
      <c r="AW44" s="4" t="s">
        <v>74</v>
      </c>
      <c r="AX44" s="4" t="s">
        <v>74</v>
      </c>
      <c r="AY44" s="4" t="s">
        <v>74</v>
      </c>
      <c r="AZ44" s="4" t="s">
        <v>74</v>
      </c>
      <c r="BA44" s="4" t="s">
        <v>74</v>
      </c>
      <c r="BB44" s="4" t="s">
        <v>74</v>
      </c>
      <c r="BC44" s="4" t="s">
        <v>74</v>
      </c>
      <c r="BD44" s="4" t="s">
        <v>74</v>
      </c>
      <c r="BE44" s="4" t="s">
        <v>74</v>
      </c>
      <c r="BF44" s="4" t="s">
        <v>74</v>
      </c>
      <c r="BG44" s="4" t="s">
        <v>74</v>
      </c>
      <c r="BH44" s="4" t="s">
        <v>74</v>
      </c>
      <c r="BI44" s="4" t="s">
        <v>74</v>
      </c>
      <c r="BJ44" s="4" t="s">
        <v>74</v>
      </c>
      <c r="BK44" s="4" t="s">
        <v>74</v>
      </c>
      <c r="BL44" s="4" t="s">
        <v>74</v>
      </c>
      <c r="BM44" s="4" t="s">
        <v>74</v>
      </c>
      <c r="BN44" s="4" t="s">
        <v>74</v>
      </c>
      <c r="BO44" s="4" t="s">
        <v>74</v>
      </c>
      <c r="BP44" s="4" t="s">
        <v>74</v>
      </c>
      <c r="BQ44" s="4" t="s">
        <v>74</v>
      </c>
      <c r="BR44" s="4" t="s">
        <v>74</v>
      </c>
      <c r="BS44" s="4" t="s">
        <v>74</v>
      </c>
      <c r="BT44" s="4" t="s">
        <v>74</v>
      </c>
      <c r="BU44" s="4" t="s">
        <v>74</v>
      </c>
      <c r="BV44" s="4" t="s">
        <v>74</v>
      </c>
      <c r="BW44" s="4" t="s">
        <v>74</v>
      </c>
      <c r="BX44" s="4" t="s">
        <v>74</v>
      </c>
      <c r="BY44" s="4" t="s">
        <v>74</v>
      </c>
      <c r="BZ44" s="4">
        <v>15</v>
      </c>
      <c r="CA44" s="4">
        <v>94.42</v>
      </c>
      <c r="CB44" s="4">
        <v>5</v>
      </c>
      <c r="CC44" s="4">
        <v>2793</v>
      </c>
      <c r="CD44" s="4">
        <v>5</v>
      </c>
      <c r="CE44" s="4">
        <v>15945</v>
      </c>
      <c r="CF44" s="4">
        <v>5</v>
      </c>
      <c r="CG44" s="4">
        <v>130.22999999999999</v>
      </c>
      <c r="CH44" s="4">
        <v>10</v>
      </c>
      <c r="CI44" s="4">
        <v>8654.5400000000009</v>
      </c>
      <c r="CJ44" s="4">
        <v>10</v>
      </c>
      <c r="CK44" s="4">
        <v>100</v>
      </c>
      <c r="CL44" s="4">
        <v>0</v>
      </c>
      <c r="CM44" s="4">
        <v>100</v>
      </c>
      <c r="CN44" s="4">
        <v>0</v>
      </c>
      <c r="CO44" s="4">
        <v>100</v>
      </c>
      <c r="CP44" s="4">
        <v>0</v>
      </c>
      <c r="CQ44" s="4">
        <v>100</v>
      </c>
      <c r="CR44" s="4">
        <v>0</v>
      </c>
      <c r="CS44" s="4">
        <v>100</v>
      </c>
      <c r="CT44" s="4">
        <v>0</v>
      </c>
      <c r="CU44" s="4">
        <v>100</v>
      </c>
      <c r="CV44" s="4" t="s">
        <v>74</v>
      </c>
      <c r="CW44" s="4" t="s">
        <v>74</v>
      </c>
      <c r="CX44" s="4" t="s">
        <v>74</v>
      </c>
      <c r="CY44" s="4" t="s">
        <v>74</v>
      </c>
    </row>
    <row r="45" spans="1:103" ht="17.399999999999999" x14ac:dyDescent="0.25">
      <c r="A45" s="1" t="s">
        <v>116</v>
      </c>
      <c r="B45" s="2" t="s">
        <v>74</v>
      </c>
      <c r="C45" s="2" t="s">
        <v>74</v>
      </c>
      <c r="D45" s="2" t="s">
        <v>74</v>
      </c>
      <c r="E45" s="2" t="s">
        <v>74</v>
      </c>
      <c r="F45" s="2" t="s">
        <v>74</v>
      </c>
      <c r="G45" s="2" t="s">
        <v>74</v>
      </c>
      <c r="H45" s="2" t="s">
        <v>74</v>
      </c>
      <c r="I45" s="2" t="s">
        <v>74</v>
      </c>
      <c r="J45" s="2" t="s">
        <v>74</v>
      </c>
      <c r="K45" s="2" t="s">
        <v>74</v>
      </c>
      <c r="L45" s="2" t="s">
        <v>74</v>
      </c>
      <c r="M45" s="2" t="s">
        <v>74</v>
      </c>
      <c r="N45" s="2" t="s">
        <v>74</v>
      </c>
      <c r="O45" s="2" t="s">
        <v>74</v>
      </c>
      <c r="P45" s="2" t="s">
        <v>74</v>
      </c>
      <c r="Q45" s="2" t="s">
        <v>74</v>
      </c>
      <c r="R45" s="2" t="s">
        <v>74</v>
      </c>
      <c r="S45" s="2" t="s">
        <v>74</v>
      </c>
      <c r="T45" s="2" t="s">
        <v>74</v>
      </c>
      <c r="U45" s="2" t="s">
        <v>74</v>
      </c>
      <c r="V45" s="2" t="s">
        <v>74</v>
      </c>
      <c r="W45" s="2" t="s">
        <v>74</v>
      </c>
      <c r="X45" s="2" t="s">
        <v>74</v>
      </c>
      <c r="Y45" s="2" t="s">
        <v>74</v>
      </c>
      <c r="Z45" s="2" t="s">
        <v>74</v>
      </c>
      <c r="AA45" s="2" t="s">
        <v>74</v>
      </c>
      <c r="AB45" s="2" t="s">
        <v>74</v>
      </c>
      <c r="AC45" s="2" t="s">
        <v>74</v>
      </c>
      <c r="AD45" s="2" t="s">
        <v>74</v>
      </c>
      <c r="AE45" s="2" t="s">
        <v>74</v>
      </c>
      <c r="AF45" s="2" t="s">
        <v>74</v>
      </c>
      <c r="AG45" s="2" t="s">
        <v>74</v>
      </c>
      <c r="AH45" s="2" t="s">
        <v>74</v>
      </c>
      <c r="AI45" s="2" t="s">
        <v>74</v>
      </c>
      <c r="AJ45" s="2" t="s">
        <v>74</v>
      </c>
      <c r="AK45" s="2" t="s">
        <v>74</v>
      </c>
      <c r="AL45" s="2" t="s">
        <v>74</v>
      </c>
      <c r="AM45" s="2" t="s">
        <v>74</v>
      </c>
      <c r="AN45" s="2" t="s">
        <v>74</v>
      </c>
      <c r="AO45" s="2" t="s">
        <v>74</v>
      </c>
      <c r="AP45" s="2" t="s">
        <v>74</v>
      </c>
      <c r="AQ45" s="2" t="s">
        <v>74</v>
      </c>
      <c r="AR45" s="2" t="s">
        <v>74</v>
      </c>
      <c r="AS45" s="2" t="s">
        <v>74</v>
      </c>
      <c r="AT45" s="2" t="s">
        <v>74</v>
      </c>
      <c r="AU45" s="2" t="s">
        <v>74</v>
      </c>
      <c r="AV45" s="2" t="s">
        <v>74</v>
      </c>
      <c r="AW45" s="2" t="s">
        <v>74</v>
      </c>
      <c r="AX45" s="2" t="s">
        <v>74</v>
      </c>
      <c r="AY45" s="2" t="s">
        <v>74</v>
      </c>
      <c r="AZ45" s="2" t="s">
        <v>74</v>
      </c>
      <c r="BA45" s="2" t="s">
        <v>74</v>
      </c>
      <c r="BB45" s="2" t="s">
        <v>74</v>
      </c>
      <c r="BC45" s="2" t="s">
        <v>74</v>
      </c>
      <c r="BD45" s="2" t="s">
        <v>74</v>
      </c>
      <c r="BE45" s="2" t="s">
        <v>74</v>
      </c>
      <c r="BF45" s="2" t="s">
        <v>74</v>
      </c>
      <c r="BG45" s="2" t="s">
        <v>74</v>
      </c>
      <c r="BH45" s="2" t="s">
        <v>74</v>
      </c>
      <c r="BI45" s="2" t="s">
        <v>74</v>
      </c>
      <c r="BJ45" s="2" t="s">
        <v>74</v>
      </c>
      <c r="BK45" s="2" t="s">
        <v>74</v>
      </c>
      <c r="BL45" s="2" t="s">
        <v>74</v>
      </c>
      <c r="BM45" s="2" t="s">
        <v>74</v>
      </c>
      <c r="BN45" s="2" t="s">
        <v>74</v>
      </c>
      <c r="BO45" s="2" t="s">
        <v>74</v>
      </c>
      <c r="BP45" s="2" t="s">
        <v>74</v>
      </c>
      <c r="BQ45" s="2" t="s">
        <v>74</v>
      </c>
      <c r="BR45" s="2" t="s">
        <v>74</v>
      </c>
      <c r="BS45" s="2" t="s">
        <v>74</v>
      </c>
      <c r="BT45" s="2" t="s">
        <v>74</v>
      </c>
      <c r="BU45" s="2" t="s">
        <v>74</v>
      </c>
      <c r="BV45" s="2" t="s">
        <v>74</v>
      </c>
      <c r="BW45" s="2" t="s">
        <v>74</v>
      </c>
      <c r="BX45" s="2" t="s">
        <v>74</v>
      </c>
      <c r="BY45" s="2" t="s">
        <v>74</v>
      </c>
      <c r="BZ45" s="2">
        <v>15</v>
      </c>
      <c r="CA45" s="2">
        <v>94.42</v>
      </c>
      <c r="CB45" s="2">
        <v>5</v>
      </c>
      <c r="CC45" s="2">
        <v>2793</v>
      </c>
      <c r="CD45" s="2">
        <v>5</v>
      </c>
      <c r="CE45" s="2">
        <v>15945</v>
      </c>
      <c r="CF45" s="2">
        <v>5</v>
      </c>
      <c r="CG45" s="2">
        <v>130.22999999999999</v>
      </c>
      <c r="CH45" s="2">
        <v>10</v>
      </c>
      <c r="CI45" s="2">
        <v>8654.5400000000009</v>
      </c>
      <c r="CJ45" s="2">
        <v>10</v>
      </c>
      <c r="CK45" s="2">
        <v>100</v>
      </c>
      <c r="CL45" s="2">
        <v>0</v>
      </c>
      <c r="CM45" s="2">
        <v>100</v>
      </c>
      <c r="CN45" s="2">
        <v>0</v>
      </c>
      <c r="CO45" s="2">
        <v>100</v>
      </c>
      <c r="CP45" s="2">
        <v>0</v>
      </c>
      <c r="CQ45" s="2">
        <v>100</v>
      </c>
      <c r="CR45" s="2">
        <v>0</v>
      </c>
      <c r="CS45" s="2">
        <v>100</v>
      </c>
      <c r="CT45" s="2">
        <v>0</v>
      </c>
      <c r="CU45" s="2">
        <v>100</v>
      </c>
      <c r="CV45" s="2" t="s">
        <v>74</v>
      </c>
      <c r="CW45" s="2" t="s">
        <v>74</v>
      </c>
      <c r="CX45" s="2" t="s">
        <v>74</v>
      </c>
      <c r="CY45" s="2" t="s">
        <v>74</v>
      </c>
    </row>
    <row r="46" spans="1:103" ht="17.399999999999999" x14ac:dyDescent="0.25">
      <c r="A46" s="3" t="s">
        <v>117</v>
      </c>
      <c r="B46" s="4">
        <v>0</v>
      </c>
      <c r="C46" s="4">
        <v>0</v>
      </c>
      <c r="D46" s="4">
        <v>0</v>
      </c>
      <c r="E46" s="4">
        <v>0</v>
      </c>
      <c r="F46" s="4" t="s">
        <v>74</v>
      </c>
      <c r="G46" s="4" t="s">
        <v>74</v>
      </c>
      <c r="H46" s="4" t="s">
        <v>74</v>
      </c>
      <c r="I46" s="4" t="s">
        <v>74</v>
      </c>
      <c r="J46" s="4" t="s">
        <v>74</v>
      </c>
      <c r="K46" s="4" t="s">
        <v>74</v>
      </c>
      <c r="L46" s="4" t="s">
        <v>74</v>
      </c>
      <c r="M46" s="4" t="s">
        <v>74</v>
      </c>
      <c r="N46" s="4" t="s">
        <v>74</v>
      </c>
      <c r="O46" s="4" t="s">
        <v>74</v>
      </c>
      <c r="P46" s="4">
        <v>0</v>
      </c>
      <c r="Q46" s="4">
        <v>0</v>
      </c>
      <c r="R46" s="4">
        <v>12</v>
      </c>
      <c r="S46" s="4">
        <v>95</v>
      </c>
      <c r="T46" s="4" t="s">
        <v>74</v>
      </c>
      <c r="U46" s="4" t="s">
        <v>74</v>
      </c>
      <c r="V46" s="4" t="s">
        <v>74</v>
      </c>
      <c r="W46" s="4" t="s">
        <v>74</v>
      </c>
      <c r="X46" s="4">
        <v>5</v>
      </c>
      <c r="Y46" s="4">
        <v>95</v>
      </c>
      <c r="Z46" s="4" t="s">
        <v>74</v>
      </c>
      <c r="AA46" s="4" t="s">
        <v>74</v>
      </c>
      <c r="AB46" s="4" t="s">
        <v>74</v>
      </c>
      <c r="AC46" s="4" t="s">
        <v>74</v>
      </c>
      <c r="AD46" s="4">
        <v>10</v>
      </c>
      <c r="AE46" s="4">
        <v>34.85</v>
      </c>
      <c r="AF46" s="4" t="s">
        <v>74</v>
      </c>
      <c r="AG46" s="4" t="s">
        <v>74</v>
      </c>
      <c r="AH46" s="4" t="s">
        <v>74</v>
      </c>
      <c r="AI46" s="4" t="s">
        <v>74</v>
      </c>
      <c r="AJ46" s="4" t="s">
        <v>74</v>
      </c>
      <c r="AK46" s="4" t="s">
        <v>74</v>
      </c>
      <c r="AL46" s="4">
        <v>5</v>
      </c>
      <c r="AM46" s="4">
        <v>95</v>
      </c>
      <c r="AN46" s="4" t="s">
        <v>74</v>
      </c>
      <c r="AO46" s="4" t="s">
        <v>74</v>
      </c>
      <c r="AP46" s="4" t="s">
        <v>74</v>
      </c>
      <c r="AQ46" s="4" t="s">
        <v>74</v>
      </c>
      <c r="AR46" s="4" t="s">
        <v>74</v>
      </c>
      <c r="AS46" s="4" t="s">
        <v>74</v>
      </c>
      <c r="AT46" s="4" t="s">
        <v>74</v>
      </c>
      <c r="AU46" s="4" t="s">
        <v>74</v>
      </c>
      <c r="AV46" s="4">
        <v>8</v>
      </c>
      <c r="AW46" s="4">
        <v>95</v>
      </c>
      <c r="AX46" s="4" t="s">
        <v>74</v>
      </c>
      <c r="AY46" s="4" t="s">
        <v>74</v>
      </c>
      <c r="AZ46" s="4" t="s">
        <v>74</v>
      </c>
      <c r="BA46" s="4" t="s">
        <v>74</v>
      </c>
      <c r="BB46" s="4">
        <v>5</v>
      </c>
      <c r="BC46" s="4">
        <v>95</v>
      </c>
      <c r="BD46" s="4">
        <v>5</v>
      </c>
      <c r="BE46" s="4">
        <v>95</v>
      </c>
      <c r="BF46" s="4" t="s">
        <v>74</v>
      </c>
      <c r="BG46" s="4" t="s">
        <v>74</v>
      </c>
      <c r="BH46" s="4" t="s">
        <v>74</v>
      </c>
      <c r="BI46" s="4" t="s">
        <v>74</v>
      </c>
      <c r="BJ46" s="4" t="s">
        <v>74</v>
      </c>
      <c r="BK46" s="4" t="s">
        <v>74</v>
      </c>
      <c r="BL46" s="4" t="s">
        <v>74</v>
      </c>
      <c r="BM46" s="4" t="s">
        <v>74</v>
      </c>
      <c r="BN46" s="4">
        <v>10</v>
      </c>
      <c r="BO46" s="4">
        <v>95</v>
      </c>
      <c r="BP46" s="4">
        <v>20</v>
      </c>
      <c r="BQ46" s="4">
        <v>12.57</v>
      </c>
      <c r="BR46" s="4">
        <v>0</v>
      </c>
      <c r="BS46" s="4">
        <v>0</v>
      </c>
      <c r="BT46" s="4">
        <v>5</v>
      </c>
      <c r="BU46" s="4">
        <v>35.06</v>
      </c>
      <c r="BV46" s="4" t="s">
        <v>74</v>
      </c>
      <c r="BW46" s="4" t="s">
        <v>74</v>
      </c>
      <c r="BX46" s="4">
        <v>15</v>
      </c>
      <c r="BY46" s="4">
        <v>45.2</v>
      </c>
      <c r="BZ46" s="4" t="s">
        <v>74</v>
      </c>
      <c r="CA46" s="4" t="s">
        <v>74</v>
      </c>
      <c r="CB46" s="4" t="s">
        <v>74</v>
      </c>
      <c r="CC46" s="4" t="s">
        <v>74</v>
      </c>
      <c r="CD46" s="4" t="s">
        <v>74</v>
      </c>
      <c r="CE46" s="4" t="s">
        <v>74</v>
      </c>
      <c r="CF46" s="4" t="s">
        <v>74</v>
      </c>
      <c r="CG46" s="4" t="s">
        <v>74</v>
      </c>
      <c r="CH46" s="4" t="s">
        <v>74</v>
      </c>
      <c r="CI46" s="4" t="s">
        <v>74</v>
      </c>
      <c r="CJ46" s="4" t="s">
        <v>74</v>
      </c>
      <c r="CK46" s="4" t="s">
        <v>74</v>
      </c>
      <c r="CL46" s="4" t="s">
        <v>74</v>
      </c>
      <c r="CM46" s="4" t="s">
        <v>74</v>
      </c>
      <c r="CN46" s="4" t="s">
        <v>74</v>
      </c>
      <c r="CO46" s="4" t="s">
        <v>74</v>
      </c>
      <c r="CP46" s="4" t="s">
        <v>74</v>
      </c>
      <c r="CQ46" s="4" t="s">
        <v>74</v>
      </c>
      <c r="CR46" s="4" t="s">
        <v>74</v>
      </c>
      <c r="CS46" s="4" t="s">
        <v>74</v>
      </c>
      <c r="CT46" s="4" t="s">
        <v>74</v>
      </c>
      <c r="CU46" s="4" t="s">
        <v>74</v>
      </c>
      <c r="CV46" s="4" t="s">
        <v>74</v>
      </c>
      <c r="CW46" s="4" t="s">
        <v>74</v>
      </c>
      <c r="CX46" s="4" t="s">
        <v>74</v>
      </c>
      <c r="CY46" s="4" t="s">
        <v>74</v>
      </c>
    </row>
    <row r="47" spans="1:103" ht="17.399999999999999" x14ac:dyDescent="0.25">
      <c r="A47" s="1" t="s">
        <v>118</v>
      </c>
      <c r="B47" s="2" t="s">
        <v>74</v>
      </c>
      <c r="C47" s="2" t="s">
        <v>74</v>
      </c>
      <c r="D47" s="2" t="s">
        <v>74</v>
      </c>
      <c r="E47" s="2" t="s">
        <v>74</v>
      </c>
      <c r="F47" s="2" t="s">
        <v>74</v>
      </c>
      <c r="G47" s="2" t="s">
        <v>74</v>
      </c>
      <c r="H47" s="2" t="s">
        <v>74</v>
      </c>
      <c r="I47" s="2" t="s">
        <v>74</v>
      </c>
      <c r="J47" s="2" t="s">
        <v>74</v>
      </c>
      <c r="K47" s="2" t="s">
        <v>74</v>
      </c>
      <c r="L47" s="2" t="s">
        <v>74</v>
      </c>
      <c r="M47" s="2" t="s">
        <v>74</v>
      </c>
      <c r="N47" s="2" t="s">
        <v>74</v>
      </c>
      <c r="O47" s="2" t="s">
        <v>74</v>
      </c>
      <c r="P47" s="2" t="s">
        <v>74</v>
      </c>
      <c r="Q47" s="2" t="s">
        <v>74</v>
      </c>
      <c r="R47" s="2" t="s">
        <v>74</v>
      </c>
      <c r="S47" s="2" t="s">
        <v>74</v>
      </c>
      <c r="T47" s="2" t="s">
        <v>74</v>
      </c>
      <c r="U47" s="2" t="s">
        <v>74</v>
      </c>
      <c r="V47" s="2" t="s">
        <v>74</v>
      </c>
      <c r="W47" s="2" t="s">
        <v>74</v>
      </c>
      <c r="X47" s="2" t="s">
        <v>74</v>
      </c>
      <c r="Y47" s="2" t="s">
        <v>74</v>
      </c>
      <c r="Z47" s="2" t="s">
        <v>74</v>
      </c>
      <c r="AA47" s="2" t="s">
        <v>74</v>
      </c>
      <c r="AB47" s="2" t="s">
        <v>74</v>
      </c>
      <c r="AC47" s="2" t="s">
        <v>74</v>
      </c>
      <c r="AD47" s="2" t="s">
        <v>74</v>
      </c>
      <c r="AE47" s="2" t="s">
        <v>74</v>
      </c>
      <c r="AF47" s="2" t="s">
        <v>74</v>
      </c>
      <c r="AG47" s="2" t="s">
        <v>74</v>
      </c>
      <c r="AH47" s="2" t="s">
        <v>74</v>
      </c>
      <c r="AI47" s="2" t="s">
        <v>74</v>
      </c>
      <c r="AJ47" s="2" t="s">
        <v>74</v>
      </c>
      <c r="AK47" s="2" t="s">
        <v>74</v>
      </c>
      <c r="AL47" s="2" t="s">
        <v>74</v>
      </c>
      <c r="AM47" s="2" t="s">
        <v>74</v>
      </c>
      <c r="AN47" s="2" t="s">
        <v>74</v>
      </c>
      <c r="AO47" s="2" t="s">
        <v>74</v>
      </c>
      <c r="AP47" s="2" t="s">
        <v>74</v>
      </c>
      <c r="AQ47" s="2" t="s">
        <v>74</v>
      </c>
      <c r="AR47" s="2" t="s">
        <v>74</v>
      </c>
      <c r="AS47" s="2" t="s">
        <v>74</v>
      </c>
      <c r="AT47" s="2" t="s">
        <v>74</v>
      </c>
      <c r="AU47" s="2" t="s">
        <v>74</v>
      </c>
      <c r="AV47" s="2" t="s">
        <v>74</v>
      </c>
      <c r="AW47" s="2" t="s">
        <v>74</v>
      </c>
      <c r="AX47" s="2" t="s">
        <v>74</v>
      </c>
      <c r="AY47" s="2" t="s">
        <v>74</v>
      </c>
      <c r="AZ47" s="2" t="s">
        <v>74</v>
      </c>
      <c r="BA47" s="2" t="s">
        <v>74</v>
      </c>
      <c r="BB47" s="2" t="s">
        <v>74</v>
      </c>
      <c r="BC47" s="2" t="s">
        <v>74</v>
      </c>
      <c r="BD47" s="2" t="s">
        <v>74</v>
      </c>
      <c r="BE47" s="2" t="s">
        <v>74</v>
      </c>
      <c r="BF47" s="2" t="s">
        <v>74</v>
      </c>
      <c r="BG47" s="2" t="s">
        <v>74</v>
      </c>
      <c r="BH47" s="2" t="s">
        <v>74</v>
      </c>
      <c r="BI47" s="2" t="s">
        <v>74</v>
      </c>
      <c r="BJ47" s="2" t="s">
        <v>74</v>
      </c>
      <c r="BK47" s="2" t="s">
        <v>74</v>
      </c>
      <c r="BL47" s="2" t="s">
        <v>74</v>
      </c>
      <c r="BM47" s="2" t="s">
        <v>74</v>
      </c>
      <c r="BN47" s="2" t="s">
        <v>74</v>
      </c>
      <c r="BO47" s="2" t="s">
        <v>74</v>
      </c>
      <c r="BP47" s="2" t="s">
        <v>74</v>
      </c>
      <c r="BQ47" s="2" t="s">
        <v>74</v>
      </c>
      <c r="BR47" s="2" t="s">
        <v>74</v>
      </c>
      <c r="BS47" s="2" t="s">
        <v>74</v>
      </c>
      <c r="BT47" s="2" t="s">
        <v>74</v>
      </c>
      <c r="BU47" s="2" t="s">
        <v>74</v>
      </c>
      <c r="BV47" s="2" t="s">
        <v>74</v>
      </c>
      <c r="BW47" s="2" t="s">
        <v>74</v>
      </c>
      <c r="BX47" s="2" t="s">
        <v>74</v>
      </c>
      <c r="BY47" s="2" t="s">
        <v>74</v>
      </c>
      <c r="BZ47" s="2">
        <v>15</v>
      </c>
      <c r="CA47" s="2">
        <v>94.42</v>
      </c>
      <c r="CB47" s="2">
        <v>5</v>
      </c>
      <c r="CC47" s="2">
        <v>2793</v>
      </c>
      <c r="CD47" s="2">
        <v>5</v>
      </c>
      <c r="CE47" s="2">
        <v>15945</v>
      </c>
      <c r="CF47" s="2">
        <v>5</v>
      </c>
      <c r="CG47" s="2">
        <v>130.22999999999999</v>
      </c>
      <c r="CH47" s="2">
        <v>10</v>
      </c>
      <c r="CI47" s="2">
        <v>8654.5400000000009</v>
      </c>
      <c r="CJ47" s="2">
        <v>10</v>
      </c>
      <c r="CK47" s="2">
        <v>100</v>
      </c>
      <c r="CL47" s="2">
        <v>0</v>
      </c>
      <c r="CM47" s="2">
        <v>100</v>
      </c>
      <c r="CN47" s="2">
        <v>0</v>
      </c>
      <c r="CO47" s="2">
        <v>100</v>
      </c>
      <c r="CP47" s="2">
        <v>0</v>
      </c>
      <c r="CQ47" s="2">
        <v>100</v>
      </c>
      <c r="CR47" s="2">
        <v>0</v>
      </c>
      <c r="CS47" s="2">
        <v>100</v>
      </c>
      <c r="CT47" s="2">
        <v>0</v>
      </c>
      <c r="CU47" s="2">
        <v>100</v>
      </c>
      <c r="CV47" s="2" t="s">
        <v>74</v>
      </c>
      <c r="CW47" s="2" t="s">
        <v>74</v>
      </c>
      <c r="CX47" s="2" t="s">
        <v>74</v>
      </c>
      <c r="CY47" s="2" t="s">
        <v>74</v>
      </c>
    </row>
    <row r="48" spans="1:103" ht="34.799999999999997" x14ac:dyDescent="0.25">
      <c r="A48" s="3" t="s">
        <v>119</v>
      </c>
      <c r="B48" s="4">
        <v>0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 t="s">
        <v>74</v>
      </c>
      <c r="I48" s="4" t="s">
        <v>74</v>
      </c>
      <c r="J48" s="4" t="s">
        <v>74</v>
      </c>
      <c r="K48" s="4" t="s">
        <v>74</v>
      </c>
      <c r="L48" s="4">
        <v>3</v>
      </c>
      <c r="M48" s="4">
        <v>28066.54</v>
      </c>
      <c r="N48" s="4">
        <v>0</v>
      </c>
      <c r="O48" s="4">
        <v>95</v>
      </c>
      <c r="P48" s="4">
        <v>0</v>
      </c>
      <c r="Q48" s="4">
        <v>0</v>
      </c>
      <c r="R48" s="4" t="s">
        <v>74</v>
      </c>
      <c r="S48" s="4" t="s">
        <v>74</v>
      </c>
      <c r="T48" s="4">
        <v>3</v>
      </c>
      <c r="U48" s="4">
        <v>33.17</v>
      </c>
      <c r="V48" s="4" t="s">
        <v>74</v>
      </c>
      <c r="W48" s="4" t="s">
        <v>74</v>
      </c>
      <c r="X48" s="4" t="s">
        <v>74</v>
      </c>
      <c r="Y48" s="4" t="s">
        <v>74</v>
      </c>
      <c r="Z48" s="4" t="s">
        <v>74</v>
      </c>
      <c r="AA48" s="4" t="s">
        <v>74</v>
      </c>
      <c r="AB48" s="4" t="s">
        <v>74</v>
      </c>
      <c r="AC48" s="4" t="s">
        <v>74</v>
      </c>
      <c r="AD48" s="4" t="s">
        <v>74</v>
      </c>
      <c r="AE48" s="4" t="s">
        <v>74</v>
      </c>
      <c r="AF48" s="4">
        <v>2</v>
      </c>
      <c r="AG48" s="4">
        <v>180.75</v>
      </c>
      <c r="AH48" s="4">
        <v>6</v>
      </c>
      <c r="AI48" s="4">
        <v>55</v>
      </c>
      <c r="AJ48" s="4">
        <v>6</v>
      </c>
      <c r="AK48" s="4">
        <v>197</v>
      </c>
      <c r="AL48" s="4">
        <v>3</v>
      </c>
      <c r="AM48" s="4">
        <v>95</v>
      </c>
      <c r="AN48" s="4">
        <v>3</v>
      </c>
      <c r="AO48" s="4">
        <v>14.5</v>
      </c>
      <c r="AP48" s="4">
        <v>3</v>
      </c>
      <c r="AQ48" s="4">
        <v>2.25</v>
      </c>
      <c r="AR48" s="4">
        <v>2</v>
      </c>
      <c r="AS48" s="4">
        <v>180.75</v>
      </c>
      <c r="AT48" s="4">
        <v>1.5</v>
      </c>
      <c r="AU48" s="4">
        <v>14588.62</v>
      </c>
      <c r="AV48" s="4">
        <v>5</v>
      </c>
      <c r="AW48" s="4">
        <v>95</v>
      </c>
      <c r="AX48" s="4">
        <v>5</v>
      </c>
      <c r="AY48" s="4">
        <v>95</v>
      </c>
      <c r="AZ48" s="4">
        <v>4</v>
      </c>
      <c r="BA48" s="4">
        <v>95</v>
      </c>
      <c r="BB48" s="4">
        <v>3</v>
      </c>
      <c r="BC48" s="4">
        <v>95</v>
      </c>
      <c r="BD48" s="4">
        <v>4</v>
      </c>
      <c r="BE48" s="4">
        <v>95</v>
      </c>
      <c r="BF48" s="4">
        <v>12.5</v>
      </c>
      <c r="BG48" s="4">
        <v>7920.74</v>
      </c>
      <c r="BH48" s="4">
        <v>7</v>
      </c>
      <c r="BI48" s="4">
        <v>19.79</v>
      </c>
      <c r="BJ48" s="4">
        <v>7</v>
      </c>
      <c r="BK48" s="4">
        <v>30.16</v>
      </c>
      <c r="BL48" s="4">
        <v>20</v>
      </c>
      <c r="BM48" s="4">
        <v>66.7</v>
      </c>
      <c r="BN48" s="4" t="s">
        <v>74</v>
      </c>
      <c r="BO48" s="4" t="s">
        <v>74</v>
      </c>
      <c r="BP48" s="4" t="s">
        <v>74</v>
      </c>
      <c r="BQ48" s="4" t="s">
        <v>74</v>
      </c>
      <c r="BR48" s="4">
        <v>0</v>
      </c>
      <c r="BS48" s="4">
        <v>0</v>
      </c>
      <c r="BT48" s="4" t="s">
        <v>74</v>
      </c>
      <c r="BU48" s="4" t="s">
        <v>74</v>
      </c>
      <c r="BV48" s="4" t="s">
        <v>74</v>
      </c>
      <c r="BW48" s="4" t="s">
        <v>74</v>
      </c>
      <c r="BX48" s="4" t="s">
        <v>74</v>
      </c>
      <c r="BY48" s="4" t="s">
        <v>74</v>
      </c>
      <c r="BZ48" s="4" t="s">
        <v>74</v>
      </c>
      <c r="CA48" s="4" t="s">
        <v>74</v>
      </c>
      <c r="CB48" s="4" t="s">
        <v>74</v>
      </c>
      <c r="CC48" s="4" t="s">
        <v>74</v>
      </c>
      <c r="CD48" s="4" t="s">
        <v>74</v>
      </c>
      <c r="CE48" s="4" t="s">
        <v>74</v>
      </c>
      <c r="CF48" s="4" t="s">
        <v>74</v>
      </c>
      <c r="CG48" s="4" t="s">
        <v>74</v>
      </c>
      <c r="CH48" s="4" t="s">
        <v>74</v>
      </c>
      <c r="CI48" s="4" t="s">
        <v>74</v>
      </c>
      <c r="CJ48" s="4" t="s">
        <v>74</v>
      </c>
      <c r="CK48" s="4" t="s">
        <v>74</v>
      </c>
      <c r="CL48" s="4" t="s">
        <v>74</v>
      </c>
      <c r="CM48" s="4" t="s">
        <v>74</v>
      </c>
      <c r="CN48" s="4" t="s">
        <v>74</v>
      </c>
      <c r="CO48" s="4" t="s">
        <v>74</v>
      </c>
      <c r="CP48" s="4" t="s">
        <v>74</v>
      </c>
      <c r="CQ48" s="4" t="s">
        <v>74</v>
      </c>
      <c r="CR48" s="4" t="s">
        <v>74</v>
      </c>
      <c r="CS48" s="4" t="s">
        <v>74</v>
      </c>
      <c r="CT48" s="4" t="s">
        <v>74</v>
      </c>
      <c r="CU48" s="4" t="s">
        <v>74</v>
      </c>
      <c r="CV48" s="4" t="s">
        <v>74</v>
      </c>
      <c r="CW48" s="4" t="s">
        <v>74</v>
      </c>
      <c r="CX48" s="4" t="s">
        <v>74</v>
      </c>
      <c r="CY48" s="4" t="s">
        <v>74</v>
      </c>
    </row>
    <row r="49" spans="1:103" ht="17.399999999999999" x14ac:dyDescent="0.25">
      <c r="A49" s="1" t="s">
        <v>120</v>
      </c>
      <c r="B49" s="2">
        <v>0</v>
      </c>
      <c r="C49" s="2">
        <v>0</v>
      </c>
      <c r="D49" s="2">
        <v>0</v>
      </c>
      <c r="E49" s="2">
        <v>0</v>
      </c>
      <c r="F49" s="2" t="s">
        <v>74</v>
      </c>
      <c r="G49" s="2" t="s">
        <v>74</v>
      </c>
      <c r="H49" s="2" t="s">
        <v>74</v>
      </c>
      <c r="I49" s="2" t="s">
        <v>74</v>
      </c>
      <c r="J49" s="2" t="s">
        <v>74</v>
      </c>
      <c r="K49" s="2" t="s">
        <v>74</v>
      </c>
      <c r="L49" s="2" t="s">
        <v>74</v>
      </c>
      <c r="M49" s="2" t="s">
        <v>74</v>
      </c>
      <c r="N49" s="2" t="s">
        <v>74</v>
      </c>
      <c r="O49" s="2" t="s">
        <v>74</v>
      </c>
      <c r="P49" s="2">
        <v>0</v>
      </c>
      <c r="Q49" s="2">
        <v>0</v>
      </c>
      <c r="R49" s="2">
        <v>8</v>
      </c>
      <c r="S49" s="2">
        <v>95</v>
      </c>
      <c r="T49" s="2" t="s">
        <v>74</v>
      </c>
      <c r="U49" s="2" t="s">
        <v>74</v>
      </c>
      <c r="V49" s="2" t="s">
        <v>74</v>
      </c>
      <c r="W49" s="2" t="s">
        <v>74</v>
      </c>
      <c r="X49" s="2">
        <v>5</v>
      </c>
      <c r="Y49" s="2">
        <v>95</v>
      </c>
      <c r="Z49" s="2">
        <v>4</v>
      </c>
      <c r="AA49" s="2">
        <v>95</v>
      </c>
      <c r="AB49" s="2">
        <v>7</v>
      </c>
      <c r="AC49" s="2">
        <v>95</v>
      </c>
      <c r="AD49" s="2" t="s">
        <v>74</v>
      </c>
      <c r="AE49" s="2" t="s">
        <v>74</v>
      </c>
      <c r="AF49" s="2" t="s">
        <v>74</v>
      </c>
      <c r="AG49" s="2" t="s">
        <v>74</v>
      </c>
      <c r="AH49" s="2" t="s">
        <v>74</v>
      </c>
      <c r="AI49" s="2" t="s">
        <v>74</v>
      </c>
      <c r="AJ49" s="2" t="s">
        <v>74</v>
      </c>
      <c r="AK49" s="2" t="s">
        <v>74</v>
      </c>
      <c r="AL49" s="2" t="s">
        <v>74</v>
      </c>
      <c r="AM49" s="2" t="s">
        <v>74</v>
      </c>
      <c r="AN49" s="2" t="s">
        <v>74</v>
      </c>
      <c r="AO49" s="2" t="s">
        <v>74</v>
      </c>
      <c r="AP49" s="2" t="s">
        <v>74</v>
      </c>
      <c r="AQ49" s="2" t="s">
        <v>74</v>
      </c>
      <c r="AR49" s="2" t="s">
        <v>74</v>
      </c>
      <c r="AS49" s="2" t="s">
        <v>74</v>
      </c>
      <c r="AT49" s="2" t="s">
        <v>74</v>
      </c>
      <c r="AU49" s="2" t="s">
        <v>74</v>
      </c>
      <c r="AV49" s="2">
        <v>8</v>
      </c>
      <c r="AW49" s="2">
        <v>95</v>
      </c>
      <c r="AX49" s="2" t="s">
        <v>74</v>
      </c>
      <c r="AY49" s="2" t="s">
        <v>74</v>
      </c>
      <c r="AZ49" s="2" t="s">
        <v>74</v>
      </c>
      <c r="BA49" s="2" t="s">
        <v>74</v>
      </c>
      <c r="BB49" s="2">
        <v>8</v>
      </c>
      <c r="BC49" s="2">
        <v>95</v>
      </c>
      <c r="BD49" s="2">
        <v>5</v>
      </c>
      <c r="BE49" s="2">
        <v>95</v>
      </c>
      <c r="BF49" s="2" t="s">
        <v>74</v>
      </c>
      <c r="BG49" s="2" t="s">
        <v>74</v>
      </c>
      <c r="BH49" s="2" t="s">
        <v>74</v>
      </c>
      <c r="BI49" s="2" t="s">
        <v>74</v>
      </c>
      <c r="BJ49" s="2" t="s">
        <v>74</v>
      </c>
      <c r="BK49" s="2" t="s">
        <v>74</v>
      </c>
      <c r="BL49" s="2" t="s">
        <v>74</v>
      </c>
      <c r="BM49" s="2" t="s">
        <v>74</v>
      </c>
      <c r="BN49" s="2" t="s">
        <v>74</v>
      </c>
      <c r="BO49" s="2" t="s">
        <v>74</v>
      </c>
      <c r="BP49" s="2">
        <v>20</v>
      </c>
      <c r="BQ49" s="2">
        <v>330</v>
      </c>
      <c r="BR49" s="2">
        <v>0</v>
      </c>
      <c r="BS49" s="2">
        <v>0</v>
      </c>
      <c r="BT49" s="2">
        <v>15</v>
      </c>
      <c r="BU49" s="2">
        <v>15.04</v>
      </c>
      <c r="BV49" s="2" t="s">
        <v>74</v>
      </c>
      <c r="BW49" s="2" t="s">
        <v>74</v>
      </c>
      <c r="BX49" s="2">
        <v>20</v>
      </c>
      <c r="BY49" s="2">
        <v>48</v>
      </c>
      <c r="BZ49" s="2" t="s">
        <v>74</v>
      </c>
      <c r="CA49" s="2" t="s">
        <v>74</v>
      </c>
      <c r="CB49" s="2" t="s">
        <v>74</v>
      </c>
      <c r="CC49" s="2" t="s">
        <v>74</v>
      </c>
      <c r="CD49" s="2" t="s">
        <v>74</v>
      </c>
      <c r="CE49" s="2" t="s">
        <v>74</v>
      </c>
      <c r="CF49" s="2" t="s">
        <v>74</v>
      </c>
      <c r="CG49" s="2" t="s">
        <v>74</v>
      </c>
      <c r="CH49" s="2" t="s">
        <v>74</v>
      </c>
      <c r="CI49" s="2" t="s">
        <v>74</v>
      </c>
      <c r="CJ49" s="2" t="s">
        <v>74</v>
      </c>
      <c r="CK49" s="2" t="s">
        <v>74</v>
      </c>
      <c r="CL49" s="2" t="s">
        <v>74</v>
      </c>
      <c r="CM49" s="2" t="s">
        <v>74</v>
      </c>
      <c r="CN49" s="2" t="s">
        <v>74</v>
      </c>
      <c r="CO49" s="2" t="s">
        <v>74</v>
      </c>
      <c r="CP49" s="2" t="s">
        <v>74</v>
      </c>
      <c r="CQ49" s="2" t="s">
        <v>74</v>
      </c>
      <c r="CR49" s="2" t="s">
        <v>74</v>
      </c>
      <c r="CS49" s="2" t="s">
        <v>74</v>
      </c>
      <c r="CT49" s="2" t="s">
        <v>74</v>
      </c>
      <c r="CU49" s="2" t="s">
        <v>74</v>
      </c>
      <c r="CV49" s="2" t="s">
        <v>74</v>
      </c>
      <c r="CW49" s="2" t="s">
        <v>74</v>
      </c>
      <c r="CX49" s="2" t="s">
        <v>74</v>
      </c>
      <c r="CY49" s="2" t="s">
        <v>74</v>
      </c>
    </row>
    <row r="50" spans="1:103" ht="34.799999999999997" x14ac:dyDescent="0.25">
      <c r="A50" s="3" t="s">
        <v>121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 t="s">
        <v>74</v>
      </c>
      <c r="I50" s="4" t="s">
        <v>74</v>
      </c>
      <c r="J50" s="4" t="s">
        <v>74</v>
      </c>
      <c r="K50" s="4" t="s">
        <v>74</v>
      </c>
      <c r="L50" s="4">
        <v>3</v>
      </c>
      <c r="M50" s="4">
        <v>20337.45</v>
      </c>
      <c r="N50" s="4">
        <v>0</v>
      </c>
      <c r="O50" s="4">
        <v>95</v>
      </c>
      <c r="P50" s="4">
        <v>0</v>
      </c>
      <c r="Q50" s="4">
        <v>0</v>
      </c>
      <c r="R50" s="4" t="s">
        <v>74</v>
      </c>
      <c r="S50" s="4" t="s">
        <v>74</v>
      </c>
      <c r="T50" s="4">
        <v>3</v>
      </c>
      <c r="U50" s="4">
        <v>31.61</v>
      </c>
      <c r="V50" s="4" t="s">
        <v>74</v>
      </c>
      <c r="W50" s="4" t="s">
        <v>74</v>
      </c>
      <c r="X50" s="4" t="s">
        <v>74</v>
      </c>
      <c r="Y50" s="4" t="s">
        <v>74</v>
      </c>
      <c r="Z50" s="4" t="s">
        <v>74</v>
      </c>
      <c r="AA50" s="4" t="s">
        <v>74</v>
      </c>
      <c r="AB50" s="4" t="s">
        <v>74</v>
      </c>
      <c r="AC50" s="4" t="s">
        <v>74</v>
      </c>
      <c r="AD50" s="4" t="s">
        <v>74</v>
      </c>
      <c r="AE50" s="4" t="s">
        <v>74</v>
      </c>
      <c r="AF50" s="4">
        <v>2</v>
      </c>
      <c r="AG50" s="4">
        <v>410.3</v>
      </c>
      <c r="AH50" s="4">
        <v>6</v>
      </c>
      <c r="AI50" s="4">
        <v>118</v>
      </c>
      <c r="AJ50" s="4">
        <v>6</v>
      </c>
      <c r="AK50" s="4">
        <v>967</v>
      </c>
      <c r="AL50" s="4">
        <v>3</v>
      </c>
      <c r="AM50" s="4">
        <v>95</v>
      </c>
      <c r="AN50" s="4">
        <v>3</v>
      </c>
      <c r="AO50" s="4">
        <v>10.210000000000001</v>
      </c>
      <c r="AP50" s="4">
        <v>3</v>
      </c>
      <c r="AQ50" s="4">
        <v>2.15</v>
      </c>
      <c r="AR50" s="4">
        <v>2</v>
      </c>
      <c r="AS50" s="4">
        <v>410.3</v>
      </c>
      <c r="AT50" s="4">
        <v>1.5</v>
      </c>
      <c r="AU50" s="4">
        <v>8712.15</v>
      </c>
      <c r="AV50" s="4">
        <v>5</v>
      </c>
      <c r="AW50" s="4">
        <v>95</v>
      </c>
      <c r="AX50" s="4">
        <v>5</v>
      </c>
      <c r="AY50" s="4">
        <v>95</v>
      </c>
      <c r="AZ50" s="4">
        <v>4</v>
      </c>
      <c r="BA50" s="4">
        <v>95</v>
      </c>
      <c r="BB50" s="4">
        <v>3</v>
      </c>
      <c r="BC50" s="4">
        <v>95</v>
      </c>
      <c r="BD50" s="4">
        <v>4</v>
      </c>
      <c r="BE50" s="4">
        <v>95</v>
      </c>
      <c r="BF50" s="4">
        <v>12.5</v>
      </c>
      <c r="BG50" s="4">
        <v>4199.5600000000004</v>
      </c>
      <c r="BH50" s="4">
        <v>7</v>
      </c>
      <c r="BI50" s="4">
        <v>1.68</v>
      </c>
      <c r="BJ50" s="4">
        <v>7</v>
      </c>
      <c r="BK50" s="4">
        <v>33.28</v>
      </c>
      <c r="BL50" s="4">
        <v>20</v>
      </c>
      <c r="BM50" s="4">
        <v>60.91</v>
      </c>
      <c r="BN50" s="4" t="s">
        <v>74</v>
      </c>
      <c r="BO50" s="4" t="s">
        <v>74</v>
      </c>
      <c r="BP50" s="4" t="s">
        <v>74</v>
      </c>
      <c r="BQ50" s="4" t="s">
        <v>74</v>
      </c>
      <c r="BR50" s="4">
        <v>0</v>
      </c>
      <c r="BS50" s="4">
        <v>0</v>
      </c>
      <c r="BT50" s="4" t="s">
        <v>74</v>
      </c>
      <c r="BU50" s="4" t="s">
        <v>74</v>
      </c>
      <c r="BV50" s="4" t="s">
        <v>74</v>
      </c>
      <c r="BW50" s="4" t="s">
        <v>74</v>
      </c>
      <c r="BX50" s="4" t="s">
        <v>74</v>
      </c>
      <c r="BY50" s="4" t="s">
        <v>74</v>
      </c>
      <c r="BZ50" s="4" t="s">
        <v>74</v>
      </c>
      <c r="CA50" s="4" t="s">
        <v>74</v>
      </c>
      <c r="CB50" s="4" t="s">
        <v>74</v>
      </c>
      <c r="CC50" s="4" t="s">
        <v>74</v>
      </c>
      <c r="CD50" s="4" t="s">
        <v>74</v>
      </c>
      <c r="CE50" s="4" t="s">
        <v>74</v>
      </c>
      <c r="CF50" s="4" t="s">
        <v>74</v>
      </c>
      <c r="CG50" s="4" t="s">
        <v>74</v>
      </c>
      <c r="CH50" s="4" t="s">
        <v>74</v>
      </c>
      <c r="CI50" s="4" t="s">
        <v>74</v>
      </c>
      <c r="CJ50" s="4" t="s">
        <v>74</v>
      </c>
      <c r="CK50" s="4" t="s">
        <v>74</v>
      </c>
      <c r="CL50" s="4" t="s">
        <v>74</v>
      </c>
      <c r="CM50" s="4" t="s">
        <v>74</v>
      </c>
      <c r="CN50" s="4" t="s">
        <v>74</v>
      </c>
      <c r="CO50" s="4" t="s">
        <v>74</v>
      </c>
      <c r="CP50" s="4" t="s">
        <v>74</v>
      </c>
      <c r="CQ50" s="4" t="s">
        <v>74</v>
      </c>
      <c r="CR50" s="4" t="s">
        <v>74</v>
      </c>
      <c r="CS50" s="4" t="s">
        <v>74</v>
      </c>
      <c r="CT50" s="4" t="s">
        <v>74</v>
      </c>
      <c r="CU50" s="4" t="s">
        <v>74</v>
      </c>
      <c r="CV50" s="4" t="s">
        <v>74</v>
      </c>
      <c r="CW50" s="4" t="s">
        <v>74</v>
      </c>
      <c r="CX50" s="4" t="s">
        <v>74</v>
      </c>
      <c r="CY50" s="4" t="s">
        <v>74</v>
      </c>
    </row>
    <row r="51" spans="1:103" ht="17.399999999999999" x14ac:dyDescent="0.25">
      <c r="A51" s="1" t="s">
        <v>122</v>
      </c>
      <c r="B51" s="2" t="s">
        <v>74</v>
      </c>
      <c r="C51" s="2" t="s">
        <v>74</v>
      </c>
      <c r="D51" s="2" t="s">
        <v>74</v>
      </c>
      <c r="E51" s="2" t="s">
        <v>74</v>
      </c>
      <c r="F51" s="2" t="s">
        <v>74</v>
      </c>
      <c r="G51" s="2" t="s">
        <v>74</v>
      </c>
      <c r="H51" s="2" t="s">
        <v>74</v>
      </c>
      <c r="I51" s="2" t="s">
        <v>74</v>
      </c>
      <c r="J51" s="2" t="s">
        <v>74</v>
      </c>
      <c r="K51" s="2" t="s">
        <v>74</v>
      </c>
      <c r="L51" s="2" t="s">
        <v>74</v>
      </c>
      <c r="M51" s="2" t="s">
        <v>74</v>
      </c>
      <c r="N51" s="2" t="s">
        <v>74</v>
      </c>
      <c r="O51" s="2" t="s">
        <v>74</v>
      </c>
      <c r="P51" s="2" t="s">
        <v>74</v>
      </c>
      <c r="Q51" s="2" t="s">
        <v>74</v>
      </c>
      <c r="R51" s="2" t="s">
        <v>74</v>
      </c>
      <c r="S51" s="2" t="s">
        <v>74</v>
      </c>
      <c r="T51" s="2" t="s">
        <v>74</v>
      </c>
      <c r="U51" s="2" t="s">
        <v>74</v>
      </c>
      <c r="V51" s="2" t="s">
        <v>74</v>
      </c>
      <c r="W51" s="2" t="s">
        <v>74</v>
      </c>
      <c r="X51" s="2" t="s">
        <v>74</v>
      </c>
      <c r="Y51" s="2" t="s">
        <v>74</v>
      </c>
      <c r="Z51" s="2" t="s">
        <v>74</v>
      </c>
      <c r="AA51" s="2" t="s">
        <v>74</v>
      </c>
      <c r="AB51" s="2" t="s">
        <v>74</v>
      </c>
      <c r="AC51" s="2" t="s">
        <v>74</v>
      </c>
      <c r="AD51" s="2" t="s">
        <v>74</v>
      </c>
      <c r="AE51" s="2" t="s">
        <v>74</v>
      </c>
      <c r="AF51" s="2" t="s">
        <v>74</v>
      </c>
      <c r="AG51" s="2" t="s">
        <v>74</v>
      </c>
      <c r="AH51" s="2" t="s">
        <v>74</v>
      </c>
      <c r="AI51" s="2" t="s">
        <v>74</v>
      </c>
      <c r="AJ51" s="2" t="s">
        <v>74</v>
      </c>
      <c r="AK51" s="2" t="s">
        <v>74</v>
      </c>
      <c r="AL51" s="2" t="s">
        <v>74</v>
      </c>
      <c r="AM51" s="2" t="s">
        <v>74</v>
      </c>
      <c r="AN51" s="2" t="s">
        <v>74</v>
      </c>
      <c r="AO51" s="2" t="s">
        <v>74</v>
      </c>
      <c r="AP51" s="2" t="s">
        <v>74</v>
      </c>
      <c r="AQ51" s="2" t="s">
        <v>74</v>
      </c>
      <c r="AR51" s="2" t="s">
        <v>74</v>
      </c>
      <c r="AS51" s="2" t="s">
        <v>74</v>
      </c>
      <c r="AT51" s="2" t="s">
        <v>74</v>
      </c>
      <c r="AU51" s="2" t="s">
        <v>74</v>
      </c>
      <c r="AV51" s="2" t="s">
        <v>74</v>
      </c>
      <c r="AW51" s="2" t="s">
        <v>74</v>
      </c>
      <c r="AX51" s="2" t="s">
        <v>74</v>
      </c>
      <c r="AY51" s="2" t="s">
        <v>74</v>
      </c>
      <c r="AZ51" s="2" t="s">
        <v>74</v>
      </c>
      <c r="BA51" s="2" t="s">
        <v>74</v>
      </c>
      <c r="BB51" s="2" t="s">
        <v>74</v>
      </c>
      <c r="BC51" s="2" t="s">
        <v>74</v>
      </c>
      <c r="BD51" s="2" t="s">
        <v>74</v>
      </c>
      <c r="BE51" s="2" t="s">
        <v>74</v>
      </c>
      <c r="BF51" s="2" t="s">
        <v>74</v>
      </c>
      <c r="BG51" s="2" t="s">
        <v>74</v>
      </c>
      <c r="BH51" s="2" t="s">
        <v>74</v>
      </c>
      <c r="BI51" s="2" t="s">
        <v>74</v>
      </c>
      <c r="BJ51" s="2" t="s">
        <v>74</v>
      </c>
      <c r="BK51" s="2" t="s">
        <v>74</v>
      </c>
      <c r="BL51" s="2" t="s">
        <v>74</v>
      </c>
      <c r="BM51" s="2" t="s">
        <v>74</v>
      </c>
      <c r="BN51" s="2" t="s">
        <v>74</v>
      </c>
      <c r="BO51" s="2" t="s">
        <v>74</v>
      </c>
      <c r="BP51" s="2" t="s">
        <v>74</v>
      </c>
      <c r="BQ51" s="2" t="s">
        <v>74</v>
      </c>
      <c r="BR51" s="2" t="s">
        <v>74</v>
      </c>
      <c r="BS51" s="2" t="s">
        <v>74</v>
      </c>
      <c r="BT51" s="2" t="s">
        <v>74</v>
      </c>
      <c r="BU51" s="2" t="s">
        <v>74</v>
      </c>
      <c r="BV51" s="2" t="s">
        <v>74</v>
      </c>
      <c r="BW51" s="2" t="s">
        <v>74</v>
      </c>
      <c r="BX51" s="2" t="s">
        <v>74</v>
      </c>
      <c r="BY51" s="2" t="s">
        <v>74</v>
      </c>
      <c r="BZ51" s="2">
        <v>15</v>
      </c>
      <c r="CA51" s="2">
        <v>94.42</v>
      </c>
      <c r="CB51" s="2">
        <v>5</v>
      </c>
      <c r="CC51" s="2">
        <v>2793</v>
      </c>
      <c r="CD51" s="2">
        <v>5</v>
      </c>
      <c r="CE51" s="2">
        <v>15945</v>
      </c>
      <c r="CF51" s="2">
        <v>5</v>
      </c>
      <c r="CG51" s="2">
        <v>130.22999999999999</v>
      </c>
      <c r="CH51" s="2">
        <v>10</v>
      </c>
      <c r="CI51" s="2">
        <v>8654.5400000000009</v>
      </c>
      <c r="CJ51" s="2">
        <v>10</v>
      </c>
      <c r="CK51" s="2">
        <v>100</v>
      </c>
      <c r="CL51" s="2">
        <v>0</v>
      </c>
      <c r="CM51" s="2">
        <v>100</v>
      </c>
      <c r="CN51" s="2">
        <v>0</v>
      </c>
      <c r="CO51" s="2">
        <v>100</v>
      </c>
      <c r="CP51" s="2">
        <v>0</v>
      </c>
      <c r="CQ51" s="2">
        <v>100</v>
      </c>
      <c r="CR51" s="2">
        <v>0</v>
      </c>
      <c r="CS51" s="2">
        <v>100</v>
      </c>
      <c r="CT51" s="2">
        <v>0</v>
      </c>
      <c r="CU51" s="2">
        <v>100</v>
      </c>
      <c r="CV51" s="2" t="s">
        <v>74</v>
      </c>
      <c r="CW51" s="2" t="s">
        <v>74</v>
      </c>
      <c r="CX51" s="2" t="s">
        <v>74</v>
      </c>
      <c r="CY51" s="2" t="s">
        <v>74</v>
      </c>
    </row>
    <row r="52" spans="1:103" ht="17.399999999999999" x14ac:dyDescent="0.25">
      <c r="A52" s="3" t="s">
        <v>123</v>
      </c>
      <c r="B52" s="4" t="s">
        <v>74</v>
      </c>
      <c r="C52" s="4" t="s">
        <v>74</v>
      </c>
      <c r="D52" s="4" t="s">
        <v>74</v>
      </c>
      <c r="E52" s="4" t="s">
        <v>74</v>
      </c>
      <c r="F52" s="4" t="s">
        <v>74</v>
      </c>
      <c r="G52" s="4" t="s">
        <v>74</v>
      </c>
      <c r="H52" s="4" t="s">
        <v>74</v>
      </c>
      <c r="I52" s="4" t="s">
        <v>74</v>
      </c>
      <c r="J52" s="4" t="s">
        <v>74</v>
      </c>
      <c r="K52" s="4" t="s">
        <v>74</v>
      </c>
      <c r="L52" s="4" t="s">
        <v>74</v>
      </c>
      <c r="M52" s="4" t="s">
        <v>74</v>
      </c>
      <c r="N52" s="4" t="s">
        <v>74</v>
      </c>
      <c r="O52" s="4" t="s">
        <v>74</v>
      </c>
      <c r="P52" s="4" t="s">
        <v>74</v>
      </c>
      <c r="Q52" s="4" t="s">
        <v>74</v>
      </c>
      <c r="R52" s="4" t="s">
        <v>74</v>
      </c>
      <c r="S52" s="4" t="s">
        <v>74</v>
      </c>
      <c r="T52" s="4" t="s">
        <v>74</v>
      </c>
      <c r="U52" s="4" t="s">
        <v>74</v>
      </c>
      <c r="V52" s="4" t="s">
        <v>74</v>
      </c>
      <c r="W52" s="4" t="s">
        <v>74</v>
      </c>
      <c r="X52" s="4" t="s">
        <v>74</v>
      </c>
      <c r="Y52" s="4" t="s">
        <v>74</v>
      </c>
      <c r="Z52" s="4" t="s">
        <v>74</v>
      </c>
      <c r="AA52" s="4" t="s">
        <v>74</v>
      </c>
      <c r="AB52" s="4" t="s">
        <v>74</v>
      </c>
      <c r="AC52" s="4" t="s">
        <v>74</v>
      </c>
      <c r="AD52" s="4" t="s">
        <v>74</v>
      </c>
      <c r="AE52" s="4" t="s">
        <v>74</v>
      </c>
      <c r="AF52" s="4" t="s">
        <v>74</v>
      </c>
      <c r="AG52" s="4" t="s">
        <v>74</v>
      </c>
      <c r="AH52" s="4" t="s">
        <v>74</v>
      </c>
      <c r="AI52" s="4" t="s">
        <v>74</v>
      </c>
      <c r="AJ52" s="4" t="s">
        <v>74</v>
      </c>
      <c r="AK52" s="4" t="s">
        <v>74</v>
      </c>
      <c r="AL52" s="4" t="s">
        <v>74</v>
      </c>
      <c r="AM52" s="4" t="s">
        <v>74</v>
      </c>
      <c r="AN52" s="4" t="s">
        <v>74</v>
      </c>
      <c r="AO52" s="4" t="s">
        <v>74</v>
      </c>
      <c r="AP52" s="4" t="s">
        <v>74</v>
      </c>
      <c r="AQ52" s="4" t="s">
        <v>74</v>
      </c>
      <c r="AR52" s="4" t="s">
        <v>74</v>
      </c>
      <c r="AS52" s="4" t="s">
        <v>74</v>
      </c>
      <c r="AT52" s="4" t="s">
        <v>74</v>
      </c>
      <c r="AU52" s="4" t="s">
        <v>74</v>
      </c>
      <c r="AV52" s="4" t="s">
        <v>74</v>
      </c>
      <c r="AW52" s="4" t="s">
        <v>74</v>
      </c>
      <c r="AX52" s="4" t="s">
        <v>74</v>
      </c>
      <c r="AY52" s="4" t="s">
        <v>74</v>
      </c>
      <c r="AZ52" s="4" t="s">
        <v>74</v>
      </c>
      <c r="BA52" s="4" t="s">
        <v>74</v>
      </c>
      <c r="BB52" s="4" t="s">
        <v>74</v>
      </c>
      <c r="BC52" s="4" t="s">
        <v>74</v>
      </c>
      <c r="BD52" s="4" t="s">
        <v>74</v>
      </c>
      <c r="BE52" s="4" t="s">
        <v>74</v>
      </c>
      <c r="BF52" s="4" t="s">
        <v>74</v>
      </c>
      <c r="BG52" s="4" t="s">
        <v>74</v>
      </c>
      <c r="BH52" s="4" t="s">
        <v>74</v>
      </c>
      <c r="BI52" s="4" t="s">
        <v>74</v>
      </c>
      <c r="BJ52" s="4" t="s">
        <v>74</v>
      </c>
      <c r="BK52" s="4" t="s">
        <v>74</v>
      </c>
      <c r="BL52" s="4" t="s">
        <v>74</v>
      </c>
      <c r="BM52" s="4" t="s">
        <v>74</v>
      </c>
      <c r="BN52" s="4" t="s">
        <v>74</v>
      </c>
      <c r="BO52" s="4" t="s">
        <v>74</v>
      </c>
      <c r="BP52" s="4" t="s">
        <v>74</v>
      </c>
      <c r="BQ52" s="4" t="s">
        <v>74</v>
      </c>
      <c r="BR52" s="4" t="s">
        <v>74</v>
      </c>
      <c r="BS52" s="4" t="s">
        <v>74</v>
      </c>
      <c r="BT52" s="4" t="s">
        <v>74</v>
      </c>
      <c r="BU52" s="4" t="s">
        <v>74</v>
      </c>
      <c r="BV52" s="4" t="s">
        <v>74</v>
      </c>
      <c r="BW52" s="4" t="s">
        <v>74</v>
      </c>
      <c r="BX52" s="4" t="s">
        <v>74</v>
      </c>
      <c r="BY52" s="4" t="s">
        <v>74</v>
      </c>
      <c r="BZ52" s="4">
        <v>15</v>
      </c>
      <c r="CA52" s="4">
        <v>94.42</v>
      </c>
      <c r="CB52" s="4">
        <v>5</v>
      </c>
      <c r="CC52" s="4">
        <v>2793</v>
      </c>
      <c r="CD52" s="4">
        <v>5</v>
      </c>
      <c r="CE52" s="4">
        <v>15945</v>
      </c>
      <c r="CF52" s="4">
        <v>5</v>
      </c>
      <c r="CG52" s="4">
        <v>130.22999999999999</v>
      </c>
      <c r="CH52" s="4">
        <v>10</v>
      </c>
      <c r="CI52" s="4">
        <v>8654.5400000000009</v>
      </c>
      <c r="CJ52" s="4">
        <v>10</v>
      </c>
      <c r="CK52" s="4">
        <v>100</v>
      </c>
      <c r="CL52" s="4">
        <v>0</v>
      </c>
      <c r="CM52" s="4">
        <v>100</v>
      </c>
      <c r="CN52" s="4">
        <v>0</v>
      </c>
      <c r="CO52" s="4">
        <v>100</v>
      </c>
      <c r="CP52" s="4">
        <v>0</v>
      </c>
      <c r="CQ52" s="4">
        <v>100</v>
      </c>
      <c r="CR52" s="4">
        <v>0</v>
      </c>
      <c r="CS52" s="4">
        <v>100</v>
      </c>
      <c r="CT52" s="4">
        <v>0</v>
      </c>
      <c r="CU52" s="4">
        <v>100</v>
      </c>
      <c r="CV52" s="4" t="s">
        <v>74</v>
      </c>
      <c r="CW52" s="4" t="s">
        <v>74</v>
      </c>
      <c r="CX52" s="4" t="s">
        <v>74</v>
      </c>
      <c r="CY52" s="4" t="s">
        <v>74</v>
      </c>
    </row>
    <row r="53" spans="1:103" ht="17.399999999999999" x14ac:dyDescent="0.25">
      <c r="A53" s="1" t="s">
        <v>124</v>
      </c>
      <c r="B53" s="2">
        <v>0</v>
      </c>
      <c r="C53" s="2">
        <v>0</v>
      </c>
      <c r="D53" s="2">
        <v>0</v>
      </c>
      <c r="E53" s="2">
        <v>0</v>
      </c>
      <c r="F53" s="2" t="s">
        <v>74</v>
      </c>
      <c r="G53" s="2" t="s">
        <v>74</v>
      </c>
      <c r="H53" s="2" t="s">
        <v>74</v>
      </c>
      <c r="I53" s="2" t="s">
        <v>74</v>
      </c>
      <c r="J53" s="2" t="s">
        <v>74</v>
      </c>
      <c r="K53" s="2" t="s">
        <v>74</v>
      </c>
      <c r="L53" s="2" t="s">
        <v>74</v>
      </c>
      <c r="M53" s="2" t="s">
        <v>74</v>
      </c>
      <c r="N53" s="2" t="s">
        <v>74</v>
      </c>
      <c r="O53" s="2" t="s">
        <v>74</v>
      </c>
      <c r="P53" s="2">
        <v>0</v>
      </c>
      <c r="Q53" s="2">
        <v>0</v>
      </c>
      <c r="R53" s="2">
        <v>12</v>
      </c>
      <c r="S53" s="2">
        <v>95</v>
      </c>
      <c r="T53" s="2" t="s">
        <v>74</v>
      </c>
      <c r="U53" s="2" t="s">
        <v>74</v>
      </c>
      <c r="V53" s="2" t="s">
        <v>74</v>
      </c>
      <c r="W53" s="2" t="s">
        <v>74</v>
      </c>
      <c r="X53" s="2">
        <v>5</v>
      </c>
      <c r="Y53" s="2">
        <v>95</v>
      </c>
      <c r="Z53" s="2" t="s">
        <v>74</v>
      </c>
      <c r="AA53" s="2" t="s">
        <v>74</v>
      </c>
      <c r="AB53" s="2" t="s">
        <v>74</v>
      </c>
      <c r="AC53" s="2" t="s">
        <v>74</v>
      </c>
      <c r="AD53" s="2" t="s">
        <v>74</v>
      </c>
      <c r="AE53" s="2" t="s">
        <v>74</v>
      </c>
      <c r="AF53" s="2" t="s">
        <v>74</v>
      </c>
      <c r="AG53" s="2" t="s">
        <v>74</v>
      </c>
      <c r="AH53" s="2" t="s">
        <v>74</v>
      </c>
      <c r="AI53" s="2" t="s">
        <v>74</v>
      </c>
      <c r="AJ53" s="2" t="s">
        <v>74</v>
      </c>
      <c r="AK53" s="2" t="s">
        <v>74</v>
      </c>
      <c r="AL53" s="2">
        <v>5</v>
      </c>
      <c r="AM53" s="2">
        <v>95</v>
      </c>
      <c r="AN53" s="2" t="s">
        <v>74</v>
      </c>
      <c r="AO53" s="2" t="s">
        <v>74</v>
      </c>
      <c r="AP53" s="2" t="s">
        <v>74</v>
      </c>
      <c r="AQ53" s="2" t="s">
        <v>74</v>
      </c>
      <c r="AR53" s="2" t="s">
        <v>74</v>
      </c>
      <c r="AS53" s="2" t="s">
        <v>74</v>
      </c>
      <c r="AT53" s="2" t="s">
        <v>74</v>
      </c>
      <c r="AU53" s="2" t="s">
        <v>74</v>
      </c>
      <c r="AV53" s="2">
        <v>8</v>
      </c>
      <c r="AW53" s="2">
        <v>95</v>
      </c>
      <c r="AX53" s="2" t="s">
        <v>74</v>
      </c>
      <c r="AY53" s="2" t="s">
        <v>74</v>
      </c>
      <c r="AZ53" s="2" t="s">
        <v>74</v>
      </c>
      <c r="BA53" s="2" t="s">
        <v>74</v>
      </c>
      <c r="BB53" s="2">
        <v>5</v>
      </c>
      <c r="BC53" s="2">
        <v>95</v>
      </c>
      <c r="BD53" s="2">
        <v>5</v>
      </c>
      <c r="BE53" s="2">
        <v>95</v>
      </c>
      <c r="BF53" s="2" t="s">
        <v>74</v>
      </c>
      <c r="BG53" s="2" t="s">
        <v>74</v>
      </c>
      <c r="BH53" s="2" t="s">
        <v>74</v>
      </c>
      <c r="BI53" s="2" t="s">
        <v>74</v>
      </c>
      <c r="BJ53" s="2" t="s">
        <v>74</v>
      </c>
      <c r="BK53" s="2" t="s">
        <v>74</v>
      </c>
      <c r="BL53" s="2" t="s">
        <v>74</v>
      </c>
      <c r="BM53" s="2" t="s">
        <v>74</v>
      </c>
      <c r="BN53" s="2">
        <v>10</v>
      </c>
      <c r="BO53" s="2">
        <v>95</v>
      </c>
      <c r="BP53" s="2">
        <v>20</v>
      </c>
      <c r="BQ53" s="2">
        <v>143.1</v>
      </c>
      <c r="BR53" s="2">
        <v>0</v>
      </c>
      <c r="BS53" s="2">
        <v>0</v>
      </c>
      <c r="BT53" s="2">
        <v>15</v>
      </c>
      <c r="BU53" s="2">
        <v>9.75</v>
      </c>
      <c r="BV53" s="2" t="s">
        <v>74</v>
      </c>
      <c r="BW53" s="2" t="s">
        <v>74</v>
      </c>
      <c r="BX53" s="2">
        <v>15</v>
      </c>
      <c r="BY53" s="2">
        <v>43.1</v>
      </c>
      <c r="BZ53" s="2" t="s">
        <v>74</v>
      </c>
      <c r="CA53" s="2" t="s">
        <v>74</v>
      </c>
      <c r="CB53" s="2" t="s">
        <v>74</v>
      </c>
      <c r="CC53" s="2" t="s">
        <v>74</v>
      </c>
      <c r="CD53" s="2" t="s">
        <v>74</v>
      </c>
      <c r="CE53" s="2" t="s">
        <v>74</v>
      </c>
      <c r="CF53" s="2" t="s">
        <v>74</v>
      </c>
      <c r="CG53" s="2" t="s">
        <v>74</v>
      </c>
      <c r="CH53" s="2" t="s">
        <v>74</v>
      </c>
      <c r="CI53" s="2" t="s">
        <v>74</v>
      </c>
      <c r="CJ53" s="2" t="s">
        <v>74</v>
      </c>
      <c r="CK53" s="2" t="s">
        <v>74</v>
      </c>
      <c r="CL53" s="2" t="s">
        <v>74</v>
      </c>
      <c r="CM53" s="2" t="s">
        <v>74</v>
      </c>
      <c r="CN53" s="2" t="s">
        <v>74</v>
      </c>
      <c r="CO53" s="2" t="s">
        <v>74</v>
      </c>
      <c r="CP53" s="2" t="s">
        <v>74</v>
      </c>
      <c r="CQ53" s="2" t="s">
        <v>74</v>
      </c>
      <c r="CR53" s="2" t="s">
        <v>74</v>
      </c>
      <c r="CS53" s="2" t="s">
        <v>74</v>
      </c>
      <c r="CT53" s="2" t="s">
        <v>74</v>
      </c>
      <c r="CU53" s="2" t="s">
        <v>74</v>
      </c>
      <c r="CV53" s="2" t="s">
        <v>74</v>
      </c>
      <c r="CW53" s="2" t="s">
        <v>74</v>
      </c>
      <c r="CX53" s="2" t="s">
        <v>74</v>
      </c>
      <c r="CY53" s="2" t="s">
        <v>74</v>
      </c>
    </row>
    <row r="54" spans="1:103" ht="17.399999999999999" x14ac:dyDescent="0.25">
      <c r="A54" s="3" t="s">
        <v>125</v>
      </c>
      <c r="B54" s="4" t="s">
        <v>74</v>
      </c>
      <c r="C54" s="4" t="s">
        <v>74</v>
      </c>
      <c r="D54" s="4" t="s">
        <v>74</v>
      </c>
      <c r="E54" s="4" t="s">
        <v>74</v>
      </c>
      <c r="F54" s="4" t="s">
        <v>74</v>
      </c>
      <c r="G54" s="4" t="s">
        <v>74</v>
      </c>
      <c r="H54" s="4" t="s">
        <v>74</v>
      </c>
      <c r="I54" s="4" t="s">
        <v>74</v>
      </c>
      <c r="J54" s="4" t="s">
        <v>74</v>
      </c>
      <c r="K54" s="4" t="s">
        <v>74</v>
      </c>
      <c r="L54" s="4" t="s">
        <v>74</v>
      </c>
      <c r="M54" s="4" t="s">
        <v>74</v>
      </c>
      <c r="N54" s="4" t="s">
        <v>74</v>
      </c>
      <c r="O54" s="4" t="s">
        <v>74</v>
      </c>
      <c r="P54" s="4" t="s">
        <v>74</v>
      </c>
      <c r="Q54" s="4" t="s">
        <v>74</v>
      </c>
      <c r="R54" s="4" t="s">
        <v>74</v>
      </c>
      <c r="S54" s="4" t="s">
        <v>74</v>
      </c>
      <c r="T54" s="4" t="s">
        <v>74</v>
      </c>
      <c r="U54" s="4" t="s">
        <v>74</v>
      </c>
      <c r="V54" s="4" t="s">
        <v>74</v>
      </c>
      <c r="W54" s="4" t="s">
        <v>74</v>
      </c>
      <c r="X54" s="4" t="s">
        <v>74</v>
      </c>
      <c r="Y54" s="4" t="s">
        <v>74</v>
      </c>
      <c r="Z54" s="4" t="s">
        <v>74</v>
      </c>
      <c r="AA54" s="4" t="s">
        <v>74</v>
      </c>
      <c r="AB54" s="4" t="s">
        <v>74</v>
      </c>
      <c r="AC54" s="4" t="s">
        <v>74</v>
      </c>
      <c r="AD54" s="4" t="s">
        <v>74</v>
      </c>
      <c r="AE54" s="4" t="s">
        <v>74</v>
      </c>
      <c r="AF54" s="4" t="s">
        <v>74</v>
      </c>
      <c r="AG54" s="4" t="s">
        <v>74</v>
      </c>
      <c r="AH54" s="4" t="s">
        <v>74</v>
      </c>
      <c r="AI54" s="4" t="s">
        <v>74</v>
      </c>
      <c r="AJ54" s="4" t="s">
        <v>74</v>
      </c>
      <c r="AK54" s="4" t="s">
        <v>74</v>
      </c>
      <c r="AL54" s="4" t="s">
        <v>74</v>
      </c>
      <c r="AM54" s="4" t="s">
        <v>74</v>
      </c>
      <c r="AN54" s="4" t="s">
        <v>74</v>
      </c>
      <c r="AO54" s="4" t="s">
        <v>74</v>
      </c>
      <c r="AP54" s="4" t="s">
        <v>74</v>
      </c>
      <c r="AQ54" s="4" t="s">
        <v>74</v>
      </c>
      <c r="AR54" s="4" t="s">
        <v>74</v>
      </c>
      <c r="AS54" s="4" t="s">
        <v>74</v>
      </c>
      <c r="AT54" s="4" t="s">
        <v>74</v>
      </c>
      <c r="AU54" s="4" t="s">
        <v>74</v>
      </c>
      <c r="AV54" s="4" t="s">
        <v>74</v>
      </c>
      <c r="AW54" s="4" t="s">
        <v>74</v>
      </c>
      <c r="AX54" s="4" t="s">
        <v>74</v>
      </c>
      <c r="AY54" s="4" t="s">
        <v>74</v>
      </c>
      <c r="AZ54" s="4" t="s">
        <v>74</v>
      </c>
      <c r="BA54" s="4" t="s">
        <v>74</v>
      </c>
      <c r="BB54" s="4" t="s">
        <v>74</v>
      </c>
      <c r="BC54" s="4" t="s">
        <v>74</v>
      </c>
      <c r="BD54" s="4" t="s">
        <v>74</v>
      </c>
      <c r="BE54" s="4" t="s">
        <v>74</v>
      </c>
      <c r="BF54" s="4" t="s">
        <v>74</v>
      </c>
      <c r="BG54" s="4" t="s">
        <v>74</v>
      </c>
      <c r="BH54" s="4" t="s">
        <v>74</v>
      </c>
      <c r="BI54" s="4" t="s">
        <v>74</v>
      </c>
      <c r="BJ54" s="4" t="s">
        <v>74</v>
      </c>
      <c r="BK54" s="4" t="s">
        <v>74</v>
      </c>
      <c r="BL54" s="4" t="s">
        <v>74</v>
      </c>
      <c r="BM54" s="4" t="s">
        <v>74</v>
      </c>
      <c r="BN54" s="4" t="s">
        <v>74</v>
      </c>
      <c r="BO54" s="4" t="s">
        <v>74</v>
      </c>
      <c r="BP54" s="4" t="s">
        <v>74</v>
      </c>
      <c r="BQ54" s="4" t="s">
        <v>74</v>
      </c>
      <c r="BR54" s="4" t="s">
        <v>74</v>
      </c>
      <c r="BS54" s="4" t="s">
        <v>74</v>
      </c>
      <c r="BT54" s="4" t="s">
        <v>74</v>
      </c>
      <c r="BU54" s="4" t="s">
        <v>74</v>
      </c>
      <c r="BV54" s="4" t="s">
        <v>74</v>
      </c>
      <c r="BW54" s="4" t="s">
        <v>74</v>
      </c>
      <c r="BX54" s="4" t="s">
        <v>74</v>
      </c>
      <c r="BY54" s="4" t="s">
        <v>74</v>
      </c>
      <c r="BZ54" s="4">
        <v>15</v>
      </c>
      <c r="CA54" s="4">
        <v>94.42</v>
      </c>
      <c r="CB54" s="4">
        <v>5</v>
      </c>
      <c r="CC54" s="4">
        <v>2793</v>
      </c>
      <c r="CD54" s="4">
        <v>5</v>
      </c>
      <c r="CE54" s="4">
        <v>15945</v>
      </c>
      <c r="CF54" s="4">
        <v>5</v>
      </c>
      <c r="CG54" s="4">
        <v>130.22999999999999</v>
      </c>
      <c r="CH54" s="4">
        <v>10</v>
      </c>
      <c r="CI54" s="4">
        <v>8654.5400000000009</v>
      </c>
      <c r="CJ54" s="4">
        <v>10</v>
      </c>
      <c r="CK54" s="4">
        <v>100</v>
      </c>
      <c r="CL54" s="4">
        <v>0</v>
      </c>
      <c r="CM54" s="4">
        <v>100</v>
      </c>
      <c r="CN54" s="4">
        <v>0</v>
      </c>
      <c r="CO54" s="4">
        <v>100</v>
      </c>
      <c r="CP54" s="4">
        <v>0</v>
      </c>
      <c r="CQ54" s="4">
        <v>100</v>
      </c>
      <c r="CR54" s="4">
        <v>0</v>
      </c>
      <c r="CS54" s="4">
        <v>100</v>
      </c>
      <c r="CT54" s="4">
        <v>0</v>
      </c>
      <c r="CU54" s="4">
        <v>100</v>
      </c>
      <c r="CV54" s="4" t="s">
        <v>74</v>
      </c>
      <c r="CW54" s="4" t="s">
        <v>74</v>
      </c>
      <c r="CX54" s="4" t="s">
        <v>74</v>
      </c>
      <c r="CY54" s="4" t="s">
        <v>74</v>
      </c>
    </row>
    <row r="55" spans="1:103" ht="17.399999999999999" x14ac:dyDescent="0.25">
      <c r="A55" s="1" t="s">
        <v>126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 t="s">
        <v>74</v>
      </c>
      <c r="I55" s="2" t="s">
        <v>74</v>
      </c>
      <c r="J55" s="2" t="s">
        <v>74</v>
      </c>
      <c r="K55" s="2" t="s">
        <v>74</v>
      </c>
      <c r="L55" s="2">
        <v>3</v>
      </c>
      <c r="M55" s="2">
        <v>28834.02</v>
      </c>
      <c r="N55" s="2">
        <v>0</v>
      </c>
      <c r="O55" s="2">
        <v>95</v>
      </c>
      <c r="P55" s="2">
        <v>0</v>
      </c>
      <c r="Q55" s="2">
        <v>0</v>
      </c>
      <c r="R55" s="2" t="s">
        <v>74</v>
      </c>
      <c r="S55" s="2" t="s">
        <v>74</v>
      </c>
      <c r="T55" s="2">
        <v>3</v>
      </c>
      <c r="U55" s="2">
        <v>74.930000000000007</v>
      </c>
      <c r="V55" s="2" t="s">
        <v>74</v>
      </c>
      <c r="W55" s="2" t="s">
        <v>74</v>
      </c>
      <c r="X55" s="2" t="s">
        <v>74</v>
      </c>
      <c r="Y55" s="2" t="s">
        <v>74</v>
      </c>
      <c r="Z55" s="2" t="s">
        <v>74</v>
      </c>
      <c r="AA55" s="2" t="s">
        <v>74</v>
      </c>
      <c r="AB55" s="2" t="s">
        <v>74</v>
      </c>
      <c r="AC55" s="2" t="s">
        <v>74</v>
      </c>
      <c r="AD55" s="2" t="s">
        <v>74</v>
      </c>
      <c r="AE55" s="2" t="s">
        <v>74</v>
      </c>
      <c r="AF55" s="2">
        <v>2</v>
      </c>
      <c r="AG55" s="2">
        <v>204.31</v>
      </c>
      <c r="AH55" s="2">
        <v>6</v>
      </c>
      <c r="AI55" s="2">
        <v>193</v>
      </c>
      <c r="AJ55" s="2">
        <v>6</v>
      </c>
      <c r="AK55" s="2">
        <v>1190</v>
      </c>
      <c r="AL55" s="2">
        <v>3</v>
      </c>
      <c r="AM55" s="2">
        <v>95</v>
      </c>
      <c r="AN55" s="2">
        <v>3</v>
      </c>
      <c r="AO55" s="2">
        <v>9.19</v>
      </c>
      <c r="AP55" s="2">
        <v>3</v>
      </c>
      <c r="AQ55" s="2">
        <v>3.39</v>
      </c>
      <c r="AR55" s="2">
        <v>2</v>
      </c>
      <c r="AS55" s="2">
        <v>204.31</v>
      </c>
      <c r="AT55" s="2">
        <v>1.5</v>
      </c>
      <c r="AU55" s="2">
        <v>6978.76</v>
      </c>
      <c r="AV55" s="2">
        <v>5</v>
      </c>
      <c r="AW55" s="2">
        <v>95</v>
      </c>
      <c r="AX55" s="2">
        <v>5</v>
      </c>
      <c r="AY55" s="2">
        <v>95</v>
      </c>
      <c r="AZ55" s="2">
        <v>4</v>
      </c>
      <c r="BA55" s="2">
        <v>95</v>
      </c>
      <c r="BB55" s="2">
        <v>3</v>
      </c>
      <c r="BC55" s="2">
        <v>95</v>
      </c>
      <c r="BD55" s="2">
        <v>4</v>
      </c>
      <c r="BE55" s="2">
        <v>95</v>
      </c>
      <c r="BF55" s="2">
        <v>12.5</v>
      </c>
      <c r="BG55" s="2">
        <v>5061.12</v>
      </c>
      <c r="BH55" s="2">
        <v>7</v>
      </c>
      <c r="BI55" s="2">
        <v>5.8</v>
      </c>
      <c r="BJ55" s="2">
        <v>7</v>
      </c>
      <c r="BK55" s="2">
        <v>25.92</v>
      </c>
      <c r="BL55" s="2">
        <v>20</v>
      </c>
      <c r="BM55" s="2">
        <v>49.68</v>
      </c>
      <c r="BN55" s="2" t="s">
        <v>74</v>
      </c>
      <c r="BO55" s="2" t="s">
        <v>74</v>
      </c>
      <c r="BP55" s="2" t="s">
        <v>74</v>
      </c>
      <c r="BQ55" s="2" t="s">
        <v>74</v>
      </c>
      <c r="BR55" s="2">
        <v>0</v>
      </c>
      <c r="BS55" s="2">
        <v>0</v>
      </c>
      <c r="BT55" s="2" t="s">
        <v>74</v>
      </c>
      <c r="BU55" s="2" t="s">
        <v>74</v>
      </c>
      <c r="BV55" s="2" t="s">
        <v>74</v>
      </c>
      <c r="BW55" s="2" t="s">
        <v>74</v>
      </c>
      <c r="BX55" s="2" t="s">
        <v>74</v>
      </c>
      <c r="BY55" s="2" t="s">
        <v>74</v>
      </c>
      <c r="BZ55" s="2" t="s">
        <v>74</v>
      </c>
      <c r="CA55" s="2" t="s">
        <v>74</v>
      </c>
      <c r="CB55" s="2" t="s">
        <v>74</v>
      </c>
      <c r="CC55" s="2" t="s">
        <v>74</v>
      </c>
      <c r="CD55" s="2" t="s">
        <v>74</v>
      </c>
      <c r="CE55" s="2" t="s">
        <v>74</v>
      </c>
      <c r="CF55" s="2" t="s">
        <v>74</v>
      </c>
      <c r="CG55" s="2" t="s">
        <v>74</v>
      </c>
      <c r="CH55" s="2" t="s">
        <v>74</v>
      </c>
      <c r="CI55" s="2" t="s">
        <v>74</v>
      </c>
      <c r="CJ55" s="2" t="s">
        <v>74</v>
      </c>
      <c r="CK55" s="2" t="s">
        <v>74</v>
      </c>
      <c r="CL55" s="2" t="s">
        <v>74</v>
      </c>
      <c r="CM55" s="2" t="s">
        <v>74</v>
      </c>
      <c r="CN55" s="2" t="s">
        <v>74</v>
      </c>
      <c r="CO55" s="2" t="s">
        <v>74</v>
      </c>
      <c r="CP55" s="2" t="s">
        <v>74</v>
      </c>
      <c r="CQ55" s="2" t="s">
        <v>74</v>
      </c>
      <c r="CR55" s="2" t="s">
        <v>74</v>
      </c>
      <c r="CS55" s="2" t="s">
        <v>74</v>
      </c>
      <c r="CT55" s="2" t="s">
        <v>74</v>
      </c>
      <c r="CU55" s="2" t="s">
        <v>74</v>
      </c>
      <c r="CV55" s="2" t="s">
        <v>74</v>
      </c>
      <c r="CW55" s="2" t="s">
        <v>74</v>
      </c>
      <c r="CX55" s="2" t="s">
        <v>74</v>
      </c>
      <c r="CY55" s="2" t="s">
        <v>74</v>
      </c>
    </row>
    <row r="56" spans="1:103" ht="34.799999999999997" x14ac:dyDescent="0.25">
      <c r="A56" s="3" t="s">
        <v>127</v>
      </c>
      <c r="B56" s="4" t="s">
        <v>74</v>
      </c>
      <c r="C56" s="4" t="s">
        <v>74</v>
      </c>
      <c r="D56" s="4" t="s">
        <v>74</v>
      </c>
      <c r="E56" s="4" t="s">
        <v>74</v>
      </c>
      <c r="F56" s="4" t="s">
        <v>74</v>
      </c>
      <c r="G56" s="4" t="s">
        <v>74</v>
      </c>
      <c r="H56" s="4" t="s">
        <v>74</v>
      </c>
      <c r="I56" s="4" t="s">
        <v>74</v>
      </c>
      <c r="J56" s="4" t="s">
        <v>74</v>
      </c>
      <c r="K56" s="4" t="s">
        <v>74</v>
      </c>
      <c r="L56" s="4" t="s">
        <v>74</v>
      </c>
      <c r="M56" s="4" t="s">
        <v>74</v>
      </c>
      <c r="N56" s="4" t="s">
        <v>74</v>
      </c>
      <c r="O56" s="4" t="s">
        <v>74</v>
      </c>
      <c r="P56" s="4" t="s">
        <v>74</v>
      </c>
      <c r="Q56" s="4" t="s">
        <v>74</v>
      </c>
      <c r="R56" s="4" t="s">
        <v>74</v>
      </c>
      <c r="S56" s="4" t="s">
        <v>74</v>
      </c>
      <c r="T56" s="4" t="s">
        <v>74</v>
      </c>
      <c r="U56" s="4" t="s">
        <v>74</v>
      </c>
      <c r="V56" s="4" t="s">
        <v>74</v>
      </c>
      <c r="W56" s="4" t="s">
        <v>74</v>
      </c>
      <c r="X56" s="4" t="s">
        <v>74</v>
      </c>
      <c r="Y56" s="4" t="s">
        <v>74</v>
      </c>
      <c r="Z56" s="4" t="s">
        <v>74</v>
      </c>
      <c r="AA56" s="4" t="s">
        <v>74</v>
      </c>
      <c r="AB56" s="4" t="s">
        <v>74</v>
      </c>
      <c r="AC56" s="4" t="s">
        <v>74</v>
      </c>
      <c r="AD56" s="4" t="s">
        <v>74</v>
      </c>
      <c r="AE56" s="4" t="s">
        <v>74</v>
      </c>
      <c r="AF56" s="4" t="s">
        <v>74</v>
      </c>
      <c r="AG56" s="4" t="s">
        <v>74</v>
      </c>
      <c r="AH56" s="4" t="s">
        <v>74</v>
      </c>
      <c r="AI56" s="4" t="s">
        <v>74</v>
      </c>
      <c r="AJ56" s="4" t="s">
        <v>74</v>
      </c>
      <c r="AK56" s="4" t="s">
        <v>74</v>
      </c>
      <c r="AL56" s="4" t="s">
        <v>74</v>
      </c>
      <c r="AM56" s="4" t="s">
        <v>74</v>
      </c>
      <c r="AN56" s="4" t="s">
        <v>74</v>
      </c>
      <c r="AO56" s="4" t="s">
        <v>74</v>
      </c>
      <c r="AP56" s="4" t="s">
        <v>74</v>
      </c>
      <c r="AQ56" s="4" t="s">
        <v>74</v>
      </c>
      <c r="AR56" s="4" t="s">
        <v>74</v>
      </c>
      <c r="AS56" s="4" t="s">
        <v>74</v>
      </c>
      <c r="AT56" s="4" t="s">
        <v>74</v>
      </c>
      <c r="AU56" s="4" t="s">
        <v>74</v>
      </c>
      <c r="AV56" s="4" t="s">
        <v>74</v>
      </c>
      <c r="AW56" s="4" t="s">
        <v>74</v>
      </c>
      <c r="AX56" s="4" t="s">
        <v>74</v>
      </c>
      <c r="AY56" s="4" t="s">
        <v>74</v>
      </c>
      <c r="AZ56" s="4" t="s">
        <v>74</v>
      </c>
      <c r="BA56" s="4" t="s">
        <v>74</v>
      </c>
      <c r="BB56" s="4" t="s">
        <v>74</v>
      </c>
      <c r="BC56" s="4" t="s">
        <v>74</v>
      </c>
      <c r="BD56" s="4" t="s">
        <v>74</v>
      </c>
      <c r="BE56" s="4" t="s">
        <v>74</v>
      </c>
      <c r="BF56" s="4" t="s">
        <v>74</v>
      </c>
      <c r="BG56" s="4" t="s">
        <v>74</v>
      </c>
      <c r="BH56" s="4" t="s">
        <v>74</v>
      </c>
      <c r="BI56" s="4" t="s">
        <v>74</v>
      </c>
      <c r="BJ56" s="4" t="s">
        <v>74</v>
      </c>
      <c r="BK56" s="4" t="s">
        <v>74</v>
      </c>
      <c r="BL56" s="4" t="s">
        <v>74</v>
      </c>
      <c r="BM56" s="4" t="s">
        <v>74</v>
      </c>
      <c r="BN56" s="4" t="s">
        <v>74</v>
      </c>
      <c r="BO56" s="4" t="s">
        <v>74</v>
      </c>
      <c r="BP56" s="4" t="s">
        <v>74</v>
      </c>
      <c r="BQ56" s="4" t="s">
        <v>74</v>
      </c>
      <c r="BR56" s="4" t="s">
        <v>74</v>
      </c>
      <c r="BS56" s="4" t="s">
        <v>74</v>
      </c>
      <c r="BT56" s="4" t="s">
        <v>74</v>
      </c>
      <c r="BU56" s="4" t="s">
        <v>74</v>
      </c>
      <c r="BV56" s="4" t="s">
        <v>74</v>
      </c>
      <c r="BW56" s="4" t="s">
        <v>74</v>
      </c>
      <c r="BX56" s="4" t="s">
        <v>74</v>
      </c>
      <c r="BY56" s="4" t="s">
        <v>74</v>
      </c>
      <c r="BZ56" s="4" t="s">
        <v>74</v>
      </c>
      <c r="CA56" s="4" t="s">
        <v>74</v>
      </c>
      <c r="CB56" s="4" t="s">
        <v>74</v>
      </c>
      <c r="CC56" s="4" t="s">
        <v>74</v>
      </c>
      <c r="CD56" s="4" t="s">
        <v>74</v>
      </c>
      <c r="CE56" s="4" t="s">
        <v>74</v>
      </c>
      <c r="CF56" s="4" t="s">
        <v>74</v>
      </c>
      <c r="CG56" s="4" t="s">
        <v>74</v>
      </c>
      <c r="CH56" s="4" t="s">
        <v>74</v>
      </c>
      <c r="CI56" s="4" t="s">
        <v>74</v>
      </c>
      <c r="CJ56" s="4" t="s">
        <v>74</v>
      </c>
      <c r="CK56" s="4" t="s">
        <v>74</v>
      </c>
      <c r="CL56" s="4" t="s">
        <v>74</v>
      </c>
      <c r="CM56" s="4" t="s">
        <v>74</v>
      </c>
      <c r="CN56" s="4" t="s">
        <v>74</v>
      </c>
      <c r="CO56" s="4" t="s">
        <v>74</v>
      </c>
      <c r="CP56" s="4" t="s">
        <v>74</v>
      </c>
      <c r="CQ56" s="4" t="s">
        <v>74</v>
      </c>
      <c r="CR56" s="4" t="s">
        <v>74</v>
      </c>
      <c r="CS56" s="4" t="s">
        <v>74</v>
      </c>
      <c r="CT56" s="4" t="s">
        <v>74</v>
      </c>
      <c r="CU56" s="4" t="s">
        <v>74</v>
      </c>
      <c r="CV56" s="4" t="s">
        <v>74</v>
      </c>
      <c r="CW56" s="4" t="s">
        <v>74</v>
      </c>
      <c r="CX56" s="4" t="s">
        <v>74</v>
      </c>
      <c r="CY56" s="4" t="s">
        <v>74</v>
      </c>
    </row>
    <row r="57" spans="1:103" ht="17.399999999999999" x14ac:dyDescent="0.25">
      <c r="A57" s="1" t="s">
        <v>128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 t="s">
        <v>74</v>
      </c>
      <c r="I57" s="2" t="s">
        <v>74</v>
      </c>
      <c r="J57" s="2" t="s">
        <v>74</v>
      </c>
      <c r="K57" s="2" t="s">
        <v>74</v>
      </c>
      <c r="L57" s="2">
        <v>3</v>
      </c>
      <c r="M57" s="2">
        <v>32239.63</v>
      </c>
      <c r="N57" s="2">
        <v>0</v>
      </c>
      <c r="O57" s="2">
        <v>95</v>
      </c>
      <c r="P57" s="2">
        <v>0</v>
      </c>
      <c r="Q57" s="2">
        <v>0</v>
      </c>
      <c r="R57" s="2" t="s">
        <v>74</v>
      </c>
      <c r="S57" s="2" t="s">
        <v>74</v>
      </c>
      <c r="T57" s="2">
        <v>3</v>
      </c>
      <c r="U57" s="2">
        <v>70.650000000000006</v>
      </c>
      <c r="V57" s="2" t="s">
        <v>74</v>
      </c>
      <c r="W57" s="2" t="s">
        <v>74</v>
      </c>
      <c r="X57" s="2" t="s">
        <v>74</v>
      </c>
      <c r="Y57" s="2" t="s">
        <v>74</v>
      </c>
      <c r="Z57" s="2" t="s">
        <v>74</v>
      </c>
      <c r="AA57" s="2" t="s">
        <v>74</v>
      </c>
      <c r="AB57" s="2" t="s">
        <v>74</v>
      </c>
      <c r="AC57" s="2" t="s">
        <v>74</v>
      </c>
      <c r="AD57" s="2" t="s">
        <v>74</v>
      </c>
      <c r="AE57" s="2" t="s">
        <v>74</v>
      </c>
      <c r="AF57" s="2">
        <v>2</v>
      </c>
      <c r="AG57" s="2">
        <v>184.82</v>
      </c>
      <c r="AH57" s="2">
        <v>6</v>
      </c>
      <c r="AI57" s="2">
        <v>155</v>
      </c>
      <c r="AJ57" s="2">
        <v>6</v>
      </c>
      <c r="AK57" s="2">
        <v>326</v>
      </c>
      <c r="AL57" s="2">
        <v>3</v>
      </c>
      <c r="AM57" s="2">
        <v>95</v>
      </c>
      <c r="AN57" s="2">
        <v>3</v>
      </c>
      <c r="AO57" s="2">
        <v>8.39</v>
      </c>
      <c r="AP57" s="2">
        <v>3</v>
      </c>
      <c r="AQ57" s="2">
        <v>3.3</v>
      </c>
      <c r="AR57" s="2">
        <v>2</v>
      </c>
      <c r="AS57" s="2">
        <v>184.82</v>
      </c>
      <c r="AT57" s="2">
        <v>1.5</v>
      </c>
      <c r="AU57" s="2">
        <v>5514.97</v>
      </c>
      <c r="AV57" s="2">
        <v>5</v>
      </c>
      <c r="AW57" s="2">
        <v>95</v>
      </c>
      <c r="AX57" s="2">
        <v>5</v>
      </c>
      <c r="AY57" s="2">
        <v>95</v>
      </c>
      <c r="AZ57" s="2">
        <v>4</v>
      </c>
      <c r="BA57" s="2">
        <v>95</v>
      </c>
      <c r="BB57" s="2">
        <v>3</v>
      </c>
      <c r="BC57" s="2">
        <v>95</v>
      </c>
      <c r="BD57" s="2">
        <v>4</v>
      </c>
      <c r="BE57" s="2">
        <v>95</v>
      </c>
      <c r="BF57" s="2">
        <v>12.5</v>
      </c>
      <c r="BG57" s="2">
        <v>3021.13</v>
      </c>
      <c r="BH57" s="2">
        <v>7</v>
      </c>
      <c r="BI57" s="2">
        <v>7</v>
      </c>
      <c r="BJ57" s="2">
        <v>7</v>
      </c>
      <c r="BK57" s="2">
        <v>33.42</v>
      </c>
      <c r="BL57" s="2">
        <v>20</v>
      </c>
      <c r="BM57" s="2">
        <v>83.77</v>
      </c>
      <c r="BN57" s="2" t="s">
        <v>74</v>
      </c>
      <c r="BO57" s="2" t="s">
        <v>74</v>
      </c>
      <c r="BP57" s="2" t="s">
        <v>74</v>
      </c>
      <c r="BQ57" s="2" t="s">
        <v>74</v>
      </c>
      <c r="BR57" s="2">
        <v>0</v>
      </c>
      <c r="BS57" s="2">
        <v>0</v>
      </c>
      <c r="BT57" s="2" t="s">
        <v>74</v>
      </c>
      <c r="BU57" s="2" t="s">
        <v>74</v>
      </c>
      <c r="BV57" s="2" t="s">
        <v>74</v>
      </c>
      <c r="BW57" s="2" t="s">
        <v>74</v>
      </c>
      <c r="BX57" s="2" t="s">
        <v>74</v>
      </c>
      <c r="BY57" s="2" t="s">
        <v>74</v>
      </c>
      <c r="BZ57" s="2" t="s">
        <v>74</v>
      </c>
      <c r="CA57" s="2" t="s">
        <v>74</v>
      </c>
      <c r="CB57" s="2" t="s">
        <v>74</v>
      </c>
      <c r="CC57" s="2" t="s">
        <v>74</v>
      </c>
      <c r="CD57" s="2" t="s">
        <v>74</v>
      </c>
      <c r="CE57" s="2" t="s">
        <v>74</v>
      </c>
      <c r="CF57" s="2" t="s">
        <v>74</v>
      </c>
      <c r="CG57" s="2" t="s">
        <v>74</v>
      </c>
      <c r="CH57" s="2" t="s">
        <v>74</v>
      </c>
      <c r="CI57" s="2" t="s">
        <v>74</v>
      </c>
      <c r="CJ57" s="2" t="s">
        <v>74</v>
      </c>
      <c r="CK57" s="2" t="s">
        <v>74</v>
      </c>
      <c r="CL57" s="2" t="s">
        <v>74</v>
      </c>
      <c r="CM57" s="2" t="s">
        <v>74</v>
      </c>
      <c r="CN57" s="2" t="s">
        <v>74</v>
      </c>
      <c r="CO57" s="2" t="s">
        <v>74</v>
      </c>
      <c r="CP57" s="2" t="s">
        <v>74</v>
      </c>
      <c r="CQ57" s="2" t="s">
        <v>74</v>
      </c>
      <c r="CR57" s="2" t="s">
        <v>74</v>
      </c>
      <c r="CS57" s="2" t="s">
        <v>74</v>
      </c>
      <c r="CT57" s="2" t="s">
        <v>74</v>
      </c>
      <c r="CU57" s="2" t="s">
        <v>74</v>
      </c>
      <c r="CV57" s="2" t="s">
        <v>74</v>
      </c>
      <c r="CW57" s="2" t="s">
        <v>74</v>
      </c>
      <c r="CX57" s="2" t="s">
        <v>74</v>
      </c>
      <c r="CY57" s="2" t="s">
        <v>74</v>
      </c>
    </row>
    <row r="58" spans="1:103" ht="17.399999999999999" x14ac:dyDescent="0.25">
      <c r="A58" s="3" t="s">
        <v>129</v>
      </c>
      <c r="B58" s="4" t="s">
        <v>74</v>
      </c>
      <c r="C58" s="4" t="s">
        <v>74</v>
      </c>
      <c r="D58" s="4" t="s">
        <v>74</v>
      </c>
      <c r="E58" s="4" t="s">
        <v>74</v>
      </c>
      <c r="F58" s="4" t="s">
        <v>74</v>
      </c>
      <c r="G58" s="4" t="s">
        <v>74</v>
      </c>
      <c r="H58" s="4" t="s">
        <v>74</v>
      </c>
      <c r="I58" s="4" t="s">
        <v>74</v>
      </c>
      <c r="J58" s="4" t="s">
        <v>74</v>
      </c>
      <c r="K58" s="4" t="s">
        <v>74</v>
      </c>
      <c r="L58" s="4" t="s">
        <v>74</v>
      </c>
      <c r="M58" s="4" t="s">
        <v>74</v>
      </c>
      <c r="N58" s="4" t="s">
        <v>74</v>
      </c>
      <c r="O58" s="4" t="s">
        <v>74</v>
      </c>
      <c r="P58" s="4" t="s">
        <v>74</v>
      </c>
      <c r="Q58" s="4" t="s">
        <v>74</v>
      </c>
      <c r="R58" s="4" t="s">
        <v>74</v>
      </c>
      <c r="S58" s="4" t="s">
        <v>74</v>
      </c>
      <c r="T58" s="4" t="s">
        <v>74</v>
      </c>
      <c r="U58" s="4" t="s">
        <v>74</v>
      </c>
      <c r="V58" s="4" t="s">
        <v>74</v>
      </c>
      <c r="W58" s="4" t="s">
        <v>74</v>
      </c>
      <c r="X58" s="4" t="s">
        <v>74</v>
      </c>
      <c r="Y58" s="4" t="s">
        <v>74</v>
      </c>
      <c r="Z58" s="4" t="s">
        <v>74</v>
      </c>
      <c r="AA58" s="4" t="s">
        <v>74</v>
      </c>
      <c r="AB58" s="4" t="s">
        <v>74</v>
      </c>
      <c r="AC58" s="4" t="s">
        <v>74</v>
      </c>
      <c r="AD58" s="4" t="s">
        <v>74</v>
      </c>
      <c r="AE58" s="4" t="s">
        <v>74</v>
      </c>
      <c r="AF58" s="4" t="s">
        <v>74</v>
      </c>
      <c r="AG58" s="4" t="s">
        <v>74</v>
      </c>
      <c r="AH58" s="4" t="s">
        <v>74</v>
      </c>
      <c r="AI58" s="4" t="s">
        <v>74</v>
      </c>
      <c r="AJ58" s="4" t="s">
        <v>74</v>
      </c>
      <c r="AK58" s="4" t="s">
        <v>74</v>
      </c>
      <c r="AL58" s="4" t="s">
        <v>74</v>
      </c>
      <c r="AM58" s="4" t="s">
        <v>74</v>
      </c>
      <c r="AN58" s="4" t="s">
        <v>74</v>
      </c>
      <c r="AO58" s="4" t="s">
        <v>74</v>
      </c>
      <c r="AP58" s="4" t="s">
        <v>74</v>
      </c>
      <c r="AQ58" s="4" t="s">
        <v>74</v>
      </c>
      <c r="AR58" s="4" t="s">
        <v>74</v>
      </c>
      <c r="AS58" s="4" t="s">
        <v>74</v>
      </c>
      <c r="AT58" s="4" t="s">
        <v>74</v>
      </c>
      <c r="AU58" s="4" t="s">
        <v>74</v>
      </c>
      <c r="AV58" s="4" t="s">
        <v>74</v>
      </c>
      <c r="AW58" s="4" t="s">
        <v>74</v>
      </c>
      <c r="AX58" s="4" t="s">
        <v>74</v>
      </c>
      <c r="AY58" s="4" t="s">
        <v>74</v>
      </c>
      <c r="AZ58" s="4" t="s">
        <v>74</v>
      </c>
      <c r="BA58" s="4" t="s">
        <v>74</v>
      </c>
      <c r="BB58" s="4" t="s">
        <v>74</v>
      </c>
      <c r="BC58" s="4" t="s">
        <v>74</v>
      </c>
      <c r="BD58" s="4" t="s">
        <v>74</v>
      </c>
      <c r="BE58" s="4" t="s">
        <v>74</v>
      </c>
      <c r="BF58" s="4" t="s">
        <v>74</v>
      </c>
      <c r="BG58" s="4" t="s">
        <v>74</v>
      </c>
      <c r="BH58" s="4" t="s">
        <v>74</v>
      </c>
      <c r="BI58" s="4" t="s">
        <v>74</v>
      </c>
      <c r="BJ58" s="4" t="s">
        <v>74</v>
      </c>
      <c r="BK58" s="4" t="s">
        <v>74</v>
      </c>
      <c r="BL58" s="4" t="s">
        <v>74</v>
      </c>
      <c r="BM58" s="4" t="s">
        <v>74</v>
      </c>
      <c r="BN58" s="4" t="s">
        <v>74</v>
      </c>
      <c r="BO58" s="4" t="s">
        <v>74</v>
      </c>
      <c r="BP58" s="4" t="s">
        <v>74</v>
      </c>
      <c r="BQ58" s="4" t="s">
        <v>74</v>
      </c>
      <c r="BR58" s="4" t="s">
        <v>74</v>
      </c>
      <c r="BS58" s="4" t="s">
        <v>74</v>
      </c>
      <c r="BT58" s="4" t="s">
        <v>74</v>
      </c>
      <c r="BU58" s="4" t="s">
        <v>74</v>
      </c>
      <c r="BV58" s="4" t="s">
        <v>74</v>
      </c>
      <c r="BW58" s="4" t="s">
        <v>74</v>
      </c>
      <c r="BX58" s="4" t="s">
        <v>74</v>
      </c>
      <c r="BY58" s="4" t="s">
        <v>74</v>
      </c>
      <c r="BZ58" s="4">
        <v>15</v>
      </c>
      <c r="CA58" s="4">
        <v>94.42</v>
      </c>
      <c r="CB58" s="4">
        <v>5</v>
      </c>
      <c r="CC58" s="4">
        <v>2793</v>
      </c>
      <c r="CD58" s="4">
        <v>5</v>
      </c>
      <c r="CE58" s="4">
        <v>15945</v>
      </c>
      <c r="CF58" s="4">
        <v>5</v>
      </c>
      <c r="CG58" s="4">
        <v>130.22999999999999</v>
      </c>
      <c r="CH58" s="4">
        <v>10</v>
      </c>
      <c r="CI58" s="4">
        <v>8654.5400000000009</v>
      </c>
      <c r="CJ58" s="4">
        <v>10</v>
      </c>
      <c r="CK58" s="4">
        <v>100</v>
      </c>
      <c r="CL58" s="4">
        <v>0</v>
      </c>
      <c r="CM58" s="4">
        <v>100</v>
      </c>
      <c r="CN58" s="4">
        <v>0</v>
      </c>
      <c r="CO58" s="4">
        <v>100</v>
      </c>
      <c r="CP58" s="4">
        <v>0</v>
      </c>
      <c r="CQ58" s="4">
        <v>100</v>
      </c>
      <c r="CR58" s="4">
        <v>0</v>
      </c>
      <c r="CS58" s="4">
        <v>100</v>
      </c>
      <c r="CT58" s="4">
        <v>0</v>
      </c>
      <c r="CU58" s="4">
        <v>100</v>
      </c>
      <c r="CV58" s="4" t="s">
        <v>74</v>
      </c>
      <c r="CW58" s="4" t="s">
        <v>74</v>
      </c>
      <c r="CX58" s="4" t="s">
        <v>74</v>
      </c>
      <c r="CY58" s="4" t="s">
        <v>74</v>
      </c>
    </row>
    <row r="59" spans="1:103" ht="17.399999999999999" x14ac:dyDescent="0.25">
      <c r="A59" s="1" t="s">
        <v>130</v>
      </c>
      <c r="B59" s="2" t="s">
        <v>74</v>
      </c>
      <c r="C59" s="2" t="s">
        <v>74</v>
      </c>
      <c r="D59" s="2" t="s">
        <v>74</v>
      </c>
      <c r="E59" s="2" t="s">
        <v>74</v>
      </c>
      <c r="F59" s="2" t="s">
        <v>74</v>
      </c>
      <c r="G59" s="2" t="s">
        <v>74</v>
      </c>
      <c r="H59" s="2" t="s">
        <v>74</v>
      </c>
      <c r="I59" s="2" t="s">
        <v>74</v>
      </c>
      <c r="J59" s="2" t="s">
        <v>74</v>
      </c>
      <c r="K59" s="2" t="s">
        <v>74</v>
      </c>
      <c r="L59" s="2" t="s">
        <v>74</v>
      </c>
      <c r="M59" s="2" t="s">
        <v>74</v>
      </c>
      <c r="N59" s="2" t="s">
        <v>74</v>
      </c>
      <c r="O59" s="2" t="s">
        <v>74</v>
      </c>
      <c r="P59" s="2" t="s">
        <v>74</v>
      </c>
      <c r="Q59" s="2" t="s">
        <v>74</v>
      </c>
      <c r="R59" s="2" t="s">
        <v>74</v>
      </c>
      <c r="S59" s="2" t="s">
        <v>74</v>
      </c>
      <c r="T59" s="2" t="s">
        <v>74</v>
      </c>
      <c r="U59" s="2" t="s">
        <v>74</v>
      </c>
      <c r="V59" s="2" t="s">
        <v>74</v>
      </c>
      <c r="W59" s="2" t="s">
        <v>74</v>
      </c>
      <c r="X59" s="2" t="s">
        <v>74</v>
      </c>
      <c r="Y59" s="2" t="s">
        <v>74</v>
      </c>
      <c r="Z59" s="2" t="s">
        <v>74</v>
      </c>
      <c r="AA59" s="2" t="s">
        <v>74</v>
      </c>
      <c r="AB59" s="2" t="s">
        <v>74</v>
      </c>
      <c r="AC59" s="2" t="s">
        <v>74</v>
      </c>
      <c r="AD59" s="2" t="s">
        <v>74</v>
      </c>
      <c r="AE59" s="2" t="s">
        <v>74</v>
      </c>
      <c r="AF59" s="2" t="s">
        <v>74</v>
      </c>
      <c r="AG59" s="2" t="s">
        <v>74</v>
      </c>
      <c r="AH59" s="2" t="s">
        <v>74</v>
      </c>
      <c r="AI59" s="2" t="s">
        <v>74</v>
      </c>
      <c r="AJ59" s="2" t="s">
        <v>74</v>
      </c>
      <c r="AK59" s="2" t="s">
        <v>74</v>
      </c>
      <c r="AL59" s="2" t="s">
        <v>74</v>
      </c>
      <c r="AM59" s="2" t="s">
        <v>74</v>
      </c>
      <c r="AN59" s="2" t="s">
        <v>74</v>
      </c>
      <c r="AO59" s="2" t="s">
        <v>74</v>
      </c>
      <c r="AP59" s="2" t="s">
        <v>74</v>
      </c>
      <c r="AQ59" s="2" t="s">
        <v>74</v>
      </c>
      <c r="AR59" s="2" t="s">
        <v>74</v>
      </c>
      <c r="AS59" s="2" t="s">
        <v>74</v>
      </c>
      <c r="AT59" s="2" t="s">
        <v>74</v>
      </c>
      <c r="AU59" s="2" t="s">
        <v>74</v>
      </c>
      <c r="AV59" s="2" t="s">
        <v>74</v>
      </c>
      <c r="AW59" s="2" t="s">
        <v>74</v>
      </c>
      <c r="AX59" s="2" t="s">
        <v>74</v>
      </c>
      <c r="AY59" s="2" t="s">
        <v>74</v>
      </c>
      <c r="AZ59" s="2" t="s">
        <v>74</v>
      </c>
      <c r="BA59" s="2" t="s">
        <v>74</v>
      </c>
      <c r="BB59" s="2" t="s">
        <v>74</v>
      </c>
      <c r="BC59" s="2" t="s">
        <v>74</v>
      </c>
      <c r="BD59" s="2" t="s">
        <v>74</v>
      </c>
      <c r="BE59" s="2" t="s">
        <v>74</v>
      </c>
      <c r="BF59" s="2" t="s">
        <v>74</v>
      </c>
      <c r="BG59" s="2" t="s">
        <v>74</v>
      </c>
      <c r="BH59" s="2" t="s">
        <v>74</v>
      </c>
      <c r="BI59" s="2" t="s">
        <v>74</v>
      </c>
      <c r="BJ59" s="2" t="s">
        <v>74</v>
      </c>
      <c r="BK59" s="2" t="s">
        <v>74</v>
      </c>
      <c r="BL59" s="2" t="s">
        <v>74</v>
      </c>
      <c r="BM59" s="2" t="s">
        <v>74</v>
      </c>
      <c r="BN59" s="2" t="s">
        <v>74</v>
      </c>
      <c r="BO59" s="2" t="s">
        <v>74</v>
      </c>
      <c r="BP59" s="2" t="s">
        <v>74</v>
      </c>
      <c r="BQ59" s="2" t="s">
        <v>74</v>
      </c>
      <c r="BR59" s="2" t="s">
        <v>74</v>
      </c>
      <c r="BS59" s="2" t="s">
        <v>74</v>
      </c>
      <c r="BT59" s="2" t="s">
        <v>74</v>
      </c>
      <c r="BU59" s="2" t="s">
        <v>74</v>
      </c>
      <c r="BV59" s="2" t="s">
        <v>74</v>
      </c>
      <c r="BW59" s="2" t="s">
        <v>74</v>
      </c>
      <c r="BX59" s="2" t="s">
        <v>74</v>
      </c>
      <c r="BY59" s="2" t="s">
        <v>74</v>
      </c>
      <c r="BZ59" s="2">
        <v>15</v>
      </c>
      <c r="CA59" s="2">
        <v>94.42</v>
      </c>
      <c r="CB59" s="2">
        <v>5</v>
      </c>
      <c r="CC59" s="2">
        <v>2793</v>
      </c>
      <c r="CD59" s="2">
        <v>5</v>
      </c>
      <c r="CE59" s="2">
        <v>15945</v>
      </c>
      <c r="CF59" s="2">
        <v>5</v>
      </c>
      <c r="CG59" s="2">
        <v>130.22999999999999</v>
      </c>
      <c r="CH59" s="2">
        <v>10</v>
      </c>
      <c r="CI59" s="2">
        <v>8654.5400000000009</v>
      </c>
      <c r="CJ59" s="2">
        <v>10</v>
      </c>
      <c r="CK59" s="2">
        <v>100</v>
      </c>
      <c r="CL59" s="2">
        <v>0</v>
      </c>
      <c r="CM59" s="2">
        <v>100</v>
      </c>
      <c r="CN59" s="2">
        <v>0</v>
      </c>
      <c r="CO59" s="2">
        <v>100</v>
      </c>
      <c r="CP59" s="2">
        <v>0</v>
      </c>
      <c r="CQ59" s="2">
        <v>100</v>
      </c>
      <c r="CR59" s="2">
        <v>0</v>
      </c>
      <c r="CS59" s="2">
        <v>100</v>
      </c>
      <c r="CT59" s="2">
        <v>0</v>
      </c>
      <c r="CU59" s="2">
        <v>100</v>
      </c>
      <c r="CV59" s="2" t="s">
        <v>74</v>
      </c>
      <c r="CW59" s="2" t="s">
        <v>74</v>
      </c>
      <c r="CX59" s="2" t="s">
        <v>74</v>
      </c>
      <c r="CY59" s="2" t="s">
        <v>74</v>
      </c>
    </row>
    <row r="60" spans="1:103" ht="17.399999999999999" x14ac:dyDescent="0.25">
      <c r="A60" s="3" t="s">
        <v>131</v>
      </c>
      <c r="B60" s="4" t="s">
        <v>74</v>
      </c>
      <c r="C60" s="4" t="s">
        <v>74</v>
      </c>
      <c r="D60" s="4" t="s">
        <v>74</v>
      </c>
      <c r="E60" s="4" t="s">
        <v>74</v>
      </c>
      <c r="F60" s="4" t="s">
        <v>74</v>
      </c>
      <c r="G60" s="4" t="s">
        <v>74</v>
      </c>
      <c r="H60" s="4" t="s">
        <v>74</v>
      </c>
      <c r="I60" s="4" t="s">
        <v>74</v>
      </c>
      <c r="J60" s="4" t="s">
        <v>74</v>
      </c>
      <c r="K60" s="4" t="s">
        <v>74</v>
      </c>
      <c r="L60" s="4" t="s">
        <v>74</v>
      </c>
      <c r="M60" s="4" t="s">
        <v>74</v>
      </c>
      <c r="N60" s="4" t="s">
        <v>74</v>
      </c>
      <c r="O60" s="4" t="s">
        <v>74</v>
      </c>
      <c r="P60" s="4" t="s">
        <v>74</v>
      </c>
      <c r="Q60" s="4" t="s">
        <v>74</v>
      </c>
      <c r="R60" s="4" t="s">
        <v>74</v>
      </c>
      <c r="S60" s="4" t="s">
        <v>74</v>
      </c>
      <c r="T60" s="4" t="s">
        <v>74</v>
      </c>
      <c r="U60" s="4" t="s">
        <v>74</v>
      </c>
      <c r="V60" s="4" t="s">
        <v>74</v>
      </c>
      <c r="W60" s="4" t="s">
        <v>74</v>
      </c>
      <c r="X60" s="4" t="s">
        <v>74</v>
      </c>
      <c r="Y60" s="4" t="s">
        <v>74</v>
      </c>
      <c r="Z60" s="4" t="s">
        <v>74</v>
      </c>
      <c r="AA60" s="4" t="s">
        <v>74</v>
      </c>
      <c r="AB60" s="4" t="s">
        <v>74</v>
      </c>
      <c r="AC60" s="4" t="s">
        <v>74</v>
      </c>
      <c r="AD60" s="4" t="s">
        <v>74</v>
      </c>
      <c r="AE60" s="4" t="s">
        <v>74</v>
      </c>
      <c r="AF60" s="4" t="s">
        <v>74</v>
      </c>
      <c r="AG60" s="4" t="s">
        <v>74</v>
      </c>
      <c r="AH60" s="4" t="s">
        <v>74</v>
      </c>
      <c r="AI60" s="4" t="s">
        <v>74</v>
      </c>
      <c r="AJ60" s="4" t="s">
        <v>74</v>
      </c>
      <c r="AK60" s="4" t="s">
        <v>74</v>
      </c>
      <c r="AL60" s="4" t="s">
        <v>74</v>
      </c>
      <c r="AM60" s="4" t="s">
        <v>74</v>
      </c>
      <c r="AN60" s="4" t="s">
        <v>74</v>
      </c>
      <c r="AO60" s="4" t="s">
        <v>74</v>
      </c>
      <c r="AP60" s="4" t="s">
        <v>74</v>
      </c>
      <c r="AQ60" s="4" t="s">
        <v>74</v>
      </c>
      <c r="AR60" s="4" t="s">
        <v>74</v>
      </c>
      <c r="AS60" s="4" t="s">
        <v>74</v>
      </c>
      <c r="AT60" s="4" t="s">
        <v>74</v>
      </c>
      <c r="AU60" s="4" t="s">
        <v>74</v>
      </c>
      <c r="AV60" s="4" t="s">
        <v>74</v>
      </c>
      <c r="AW60" s="4" t="s">
        <v>74</v>
      </c>
      <c r="AX60" s="4" t="s">
        <v>74</v>
      </c>
      <c r="AY60" s="4" t="s">
        <v>74</v>
      </c>
      <c r="AZ60" s="4" t="s">
        <v>74</v>
      </c>
      <c r="BA60" s="4" t="s">
        <v>74</v>
      </c>
      <c r="BB60" s="4" t="s">
        <v>74</v>
      </c>
      <c r="BC60" s="4" t="s">
        <v>74</v>
      </c>
      <c r="BD60" s="4" t="s">
        <v>74</v>
      </c>
      <c r="BE60" s="4" t="s">
        <v>74</v>
      </c>
      <c r="BF60" s="4" t="s">
        <v>74</v>
      </c>
      <c r="BG60" s="4" t="s">
        <v>74</v>
      </c>
      <c r="BH60" s="4" t="s">
        <v>74</v>
      </c>
      <c r="BI60" s="4" t="s">
        <v>74</v>
      </c>
      <c r="BJ60" s="4" t="s">
        <v>74</v>
      </c>
      <c r="BK60" s="4" t="s">
        <v>74</v>
      </c>
      <c r="BL60" s="4" t="s">
        <v>74</v>
      </c>
      <c r="BM60" s="4" t="s">
        <v>74</v>
      </c>
      <c r="BN60" s="4" t="s">
        <v>74</v>
      </c>
      <c r="BO60" s="4" t="s">
        <v>74</v>
      </c>
      <c r="BP60" s="4" t="s">
        <v>74</v>
      </c>
      <c r="BQ60" s="4" t="s">
        <v>74</v>
      </c>
      <c r="BR60" s="4" t="s">
        <v>74</v>
      </c>
      <c r="BS60" s="4" t="s">
        <v>74</v>
      </c>
      <c r="BT60" s="4" t="s">
        <v>74</v>
      </c>
      <c r="BU60" s="4" t="s">
        <v>74</v>
      </c>
      <c r="BV60" s="4" t="s">
        <v>74</v>
      </c>
      <c r="BW60" s="4" t="s">
        <v>74</v>
      </c>
      <c r="BX60" s="4" t="s">
        <v>74</v>
      </c>
      <c r="BY60" s="4" t="s">
        <v>74</v>
      </c>
      <c r="BZ60" s="4" t="s">
        <v>74</v>
      </c>
      <c r="CA60" s="4" t="s">
        <v>74</v>
      </c>
      <c r="CB60" s="4" t="s">
        <v>74</v>
      </c>
      <c r="CC60" s="4" t="s">
        <v>74</v>
      </c>
      <c r="CD60" s="4" t="s">
        <v>74</v>
      </c>
      <c r="CE60" s="4" t="s">
        <v>74</v>
      </c>
      <c r="CF60" s="4" t="s">
        <v>74</v>
      </c>
      <c r="CG60" s="4" t="s">
        <v>74</v>
      </c>
      <c r="CH60" s="4" t="s">
        <v>74</v>
      </c>
      <c r="CI60" s="4" t="s">
        <v>74</v>
      </c>
      <c r="CJ60" s="4" t="s">
        <v>74</v>
      </c>
      <c r="CK60" s="4" t="s">
        <v>74</v>
      </c>
      <c r="CL60" s="4" t="s">
        <v>74</v>
      </c>
      <c r="CM60" s="4" t="s">
        <v>74</v>
      </c>
      <c r="CN60" s="4" t="s">
        <v>74</v>
      </c>
      <c r="CO60" s="4" t="s">
        <v>74</v>
      </c>
      <c r="CP60" s="4" t="s">
        <v>74</v>
      </c>
      <c r="CQ60" s="4" t="s">
        <v>74</v>
      </c>
      <c r="CR60" s="4" t="s">
        <v>74</v>
      </c>
      <c r="CS60" s="4" t="s">
        <v>74</v>
      </c>
      <c r="CT60" s="4" t="s">
        <v>74</v>
      </c>
      <c r="CU60" s="4" t="s">
        <v>74</v>
      </c>
      <c r="CV60" s="4" t="s">
        <v>74</v>
      </c>
      <c r="CW60" s="4" t="s">
        <v>74</v>
      </c>
      <c r="CX60" s="4" t="s">
        <v>74</v>
      </c>
      <c r="CY60" s="4" t="s">
        <v>74</v>
      </c>
    </row>
    <row r="61" spans="1:103" ht="17.399999999999999" x14ac:dyDescent="0.25">
      <c r="A61" s="1" t="s">
        <v>132</v>
      </c>
      <c r="B61" s="2" t="s">
        <v>74</v>
      </c>
      <c r="C61" s="2" t="s">
        <v>74</v>
      </c>
      <c r="D61" s="2" t="s">
        <v>74</v>
      </c>
      <c r="E61" s="2" t="s">
        <v>74</v>
      </c>
      <c r="F61" s="2" t="s">
        <v>74</v>
      </c>
      <c r="G61" s="2" t="s">
        <v>74</v>
      </c>
      <c r="H61" s="2" t="s">
        <v>74</v>
      </c>
      <c r="I61" s="2" t="s">
        <v>74</v>
      </c>
      <c r="J61" s="2" t="s">
        <v>74</v>
      </c>
      <c r="K61" s="2" t="s">
        <v>74</v>
      </c>
      <c r="L61" s="2" t="s">
        <v>74</v>
      </c>
      <c r="M61" s="2" t="s">
        <v>74</v>
      </c>
      <c r="N61" s="2" t="s">
        <v>74</v>
      </c>
      <c r="O61" s="2" t="s">
        <v>74</v>
      </c>
      <c r="P61" s="2" t="s">
        <v>74</v>
      </c>
      <c r="Q61" s="2" t="s">
        <v>74</v>
      </c>
      <c r="R61" s="2" t="s">
        <v>74</v>
      </c>
      <c r="S61" s="2" t="s">
        <v>74</v>
      </c>
      <c r="T61" s="2" t="s">
        <v>74</v>
      </c>
      <c r="U61" s="2" t="s">
        <v>74</v>
      </c>
      <c r="V61" s="2" t="s">
        <v>74</v>
      </c>
      <c r="W61" s="2" t="s">
        <v>74</v>
      </c>
      <c r="X61" s="2" t="s">
        <v>74</v>
      </c>
      <c r="Y61" s="2" t="s">
        <v>74</v>
      </c>
      <c r="Z61" s="2" t="s">
        <v>74</v>
      </c>
      <c r="AA61" s="2" t="s">
        <v>74</v>
      </c>
      <c r="AB61" s="2" t="s">
        <v>74</v>
      </c>
      <c r="AC61" s="2" t="s">
        <v>74</v>
      </c>
      <c r="AD61" s="2" t="s">
        <v>74</v>
      </c>
      <c r="AE61" s="2" t="s">
        <v>74</v>
      </c>
      <c r="AF61" s="2" t="s">
        <v>74</v>
      </c>
      <c r="AG61" s="2" t="s">
        <v>74</v>
      </c>
      <c r="AH61" s="2" t="s">
        <v>74</v>
      </c>
      <c r="AI61" s="2" t="s">
        <v>74</v>
      </c>
      <c r="AJ61" s="2" t="s">
        <v>74</v>
      </c>
      <c r="AK61" s="2" t="s">
        <v>74</v>
      </c>
      <c r="AL61" s="2" t="s">
        <v>74</v>
      </c>
      <c r="AM61" s="2" t="s">
        <v>74</v>
      </c>
      <c r="AN61" s="2" t="s">
        <v>74</v>
      </c>
      <c r="AO61" s="2" t="s">
        <v>74</v>
      </c>
      <c r="AP61" s="2" t="s">
        <v>74</v>
      </c>
      <c r="AQ61" s="2" t="s">
        <v>74</v>
      </c>
      <c r="AR61" s="2" t="s">
        <v>74</v>
      </c>
      <c r="AS61" s="2" t="s">
        <v>74</v>
      </c>
      <c r="AT61" s="2" t="s">
        <v>74</v>
      </c>
      <c r="AU61" s="2" t="s">
        <v>74</v>
      </c>
      <c r="AV61" s="2" t="s">
        <v>74</v>
      </c>
      <c r="AW61" s="2" t="s">
        <v>74</v>
      </c>
      <c r="AX61" s="2" t="s">
        <v>74</v>
      </c>
      <c r="AY61" s="2" t="s">
        <v>74</v>
      </c>
      <c r="AZ61" s="2" t="s">
        <v>74</v>
      </c>
      <c r="BA61" s="2" t="s">
        <v>74</v>
      </c>
      <c r="BB61" s="2" t="s">
        <v>74</v>
      </c>
      <c r="BC61" s="2" t="s">
        <v>74</v>
      </c>
      <c r="BD61" s="2" t="s">
        <v>74</v>
      </c>
      <c r="BE61" s="2" t="s">
        <v>74</v>
      </c>
      <c r="BF61" s="2" t="s">
        <v>74</v>
      </c>
      <c r="BG61" s="2" t="s">
        <v>74</v>
      </c>
      <c r="BH61" s="2" t="s">
        <v>74</v>
      </c>
      <c r="BI61" s="2" t="s">
        <v>74</v>
      </c>
      <c r="BJ61" s="2" t="s">
        <v>74</v>
      </c>
      <c r="BK61" s="2" t="s">
        <v>74</v>
      </c>
      <c r="BL61" s="2" t="s">
        <v>74</v>
      </c>
      <c r="BM61" s="2" t="s">
        <v>74</v>
      </c>
      <c r="BN61" s="2" t="s">
        <v>74</v>
      </c>
      <c r="BO61" s="2" t="s">
        <v>74</v>
      </c>
      <c r="BP61" s="2" t="s">
        <v>74</v>
      </c>
      <c r="BQ61" s="2" t="s">
        <v>74</v>
      </c>
      <c r="BR61" s="2" t="s">
        <v>74</v>
      </c>
      <c r="BS61" s="2" t="s">
        <v>74</v>
      </c>
      <c r="BT61" s="2" t="s">
        <v>74</v>
      </c>
      <c r="BU61" s="2" t="s">
        <v>74</v>
      </c>
      <c r="BV61" s="2" t="s">
        <v>74</v>
      </c>
      <c r="BW61" s="2" t="s">
        <v>74</v>
      </c>
      <c r="BX61" s="2" t="s">
        <v>74</v>
      </c>
      <c r="BY61" s="2" t="s">
        <v>74</v>
      </c>
      <c r="BZ61" s="2">
        <v>15</v>
      </c>
      <c r="CA61" s="2">
        <v>94.42</v>
      </c>
      <c r="CB61" s="2">
        <v>5</v>
      </c>
      <c r="CC61" s="2">
        <v>2793</v>
      </c>
      <c r="CD61" s="2">
        <v>5</v>
      </c>
      <c r="CE61" s="2">
        <v>15945</v>
      </c>
      <c r="CF61" s="2">
        <v>5</v>
      </c>
      <c r="CG61" s="2">
        <v>130.22999999999999</v>
      </c>
      <c r="CH61" s="2">
        <v>10</v>
      </c>
      <c r="CI61" s="2">
        <v>8654.5400000000009</v>
      </c>
      <c r="CJ61" s="2">
        <v>10</v>
      </c>
      <c r="CK61" s="2">
        <v>100</v>
      </c>
      <c r="CL61" s="2">
        <v>0</v>
      </c>
      <c r="CM61" s="2">
        <v>100</v>
      </c>
      <c r="CN61" s="2">
        <v>0</v>
      </c>
      <c r="CO61" s="2">
        <v>100</v>
      </c>
      <c r="CP61" s="2">
        <v>0</v>
      </c>
      <c r="CQ61" s="2">
        <v>100</v>
      </c>
      <c r="CR61" s="2">
        <v>0</v>
      </c>
      <c r="CS61" s="2">
        <v>100</v>
      </c>
      <c r="CT61" s="2">
        <v>0</v>
      </c>
      <c r="CU61" s="2">
        <v>100</v>
      </c>
      <c r="CV61" s="2" t="s">
        <v>74</v>
      </c>
      <c r="CW61" s="2" t="s">
        <v>74</v>
      </c>
      <c r="CX61" s="2" t="s">
        <v>74</v>
      </c>
      <c r="CY61" s="2" t="s">
        <v>74</v>
      </c>
    </row>
    <row r="62" spans="1:103" ht="17.399999999999999" x14ac:dyDescent="0.25">
      <c r="A62" s="3" t="s">
        <v>133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 t="s">
        <v>74</v>
      </c>
      <c r="I62" s="4" t="s">
        <v>74</v>
      </c>
      <c r="J62" s="4" t="s">
        <v>74</v>
      </c>
      <c r="K62" s="4" t="s">
        <v>74</v>
      </c>
      <c r="L62" s="4">
        <v>3</v>
      </c>
      <c r="M62" s="4">
        <v>24815.35</v>
      </c>
      <c r="N62" s="4">
        <v>0</v>
      </c>
      <c r="O62" s="4">
        <v>95</v>
      </c>
      <c r="P62" s="4">
        <v>0</v>
      </c>
      <c r="Q62" s="4">
        <v>0</v>
      </c>
      <c r="R62" s="4" t="s">
        <v>74</v>
      </c>
      <c r="S62" s="4" t="s">
        <v>74</v>
      </c>
      <c r="T62" s="4">
        <v>3</v>
      </c>
      <c r="U62" s="4">
        <v>69.959999999999994</v>
      </c>
      <c r="V62" s="4" t="s">
        <v>74</v>
      </c>
      <c r="W62" s="4" t="s">
        <v>74</v>
      </c>
      <c r="X62" s="4" t="s">
        <v>74</v>
      </c>
      <c r="Y62" s="4" t="s">
        <v>74</v>
      </c>
      <c r="Z62" s="4" t="s">
        <v>74</v>
      </c>
      <c r="AA62" s="4" t="s">
        <v>74</v>
      </c>
      <c r="AB62" s="4" t="s">
        <v>74</v>
      </c>
      <c r="AC62" s="4" t="s">
        <v>74</v>
      </c>
      <c r="AD62" s="4" t="s">
        <v>74</v>
      </c>
      <c r="AE62" s="4" t="s">
        <v>74</v>
      </c>
      <c r="AF62" s="4">
        <v>2</v>
      </c>
      <c r="AG62" s="4">
        <v>221.67</v>
      </c>
      <c r="AH62" s="4">
        <v>6</v>
      </c>
      <c r="AI62" s="4">
        <v>184</v>
      </c>
      <c r="AJ62" s="4">
        <v>6</v>
      </c>
      <c r="AK62" s="4">
        <v>1113</v>
      </c>
      <c r="AL62" s="4">
        <v>3</v>
      </c>
      <c r="AM62" s="4">
        <v>95</v>
      </c>
      <c r="AN62" s="4">
        <v>3</v>
      </c>
      <c r="AO62" s="4">
        <v>9.18</v>
      </c>
      <c r="AP62" s="4">
        <v>3</v>
      </c>
      <c r="AQ62" s="4">
        <v>3.23</v>
      </c>
      <c r="AR62" s="4">
        <v>2</v>
      </c>
      <c r="AS62" s="4">
        <v>221.67</v>
      </c>
      <c r="AT62" s="4">
        <v>1.5</v>
      </c>
      <c r="AU62" s="4">
        <v>7060.7</v>
      </c>
      <c r="AV62" s="4">
        <v>5</v>
      </c>
      <c r="AW62" s="4">
        <v>95</v>
      </c>
      <c r="AX62" s="4">
        <v>5</v>
      </c>
      <c r="AY62" s="4">
        <v>95</v>
      </c>
      <c r="AZ62" s="4">
        <v>4</v>
      </c>
      <c r="BA62" s="4">
        <v>95</v>
      </c>
      <c r="BB62" s="4">
        <v>3</v>
      </c>
      <c r="BC62" s="4">
        <v>95</v>
      </c>
      <c r="BD62" s="4">
        <v>4</v>
      </c>
      <c r="BE62" s="4">
        <v>95</v>
      </c>
      <c r="BF62" s="4">
        <v>12.5</v>
      </c>
      <c r="BG62" s="4">
        <v>5154.97</v>
      </c>
      <c r="BH62" s="4">
        <v>7</v>
      </c>
      <c r="BI62" s="4">
        <v>5.55</v>
      </c>
      <c r="BJ62" s="4">
        <v>7</v>
      </c>
      <c r="BK62" s="4">
        <v>22.74</v>
      </c>
      <c r="BL62" s="4">
        <v>20</v>
      </c>
      <c r="BM62" s="4">
        <v>53.86</v>
      </c>
      <c r="BN62" s="4" t="s">
        <v>74</v>
      </c>
      <c r="BO62" s="4" t="s">
        <v>74</v>
      </c>
      <c r="BP62" s="4" t="s">
        <v>74</v>
      </c>
      <c r="BQ62" s="4" t="s">
        <v>74</v>
      </c>
      <c r="BR62" s="4">
        <v>0</v>
      </c>
      <c r="BS62" s="4">
        <v>0</v>
      </c>
      <c r="BT62" s="4" t="s">
        <v>74</v>
      </c>
      <c r="BU62" s="4" t="s">
        <v>74</v>
      </c>
      <c r="BV62" s="4" t="s">
        <v>74</v>
      </c>
      <c r="BW62" s="4" t="s">
        <v>74</v>
      </c>
      <c r="BX62" s="4" t="s">
        <v>74</v>
      </c>
      <c r="BY62" s="4" t="s">
        <v>74</v>
      </c>
      <c r="BZ62" s="4" t="s">
        <v>74</v>
      </c>
      <c r="CA62" s="4" t="s">
        <v>74</v>
      </c>
      <c r="CB62" s="4" t="s">
        <v>74</v>
      </c>
      <c r="CC62" s="4" t="s">
        <v>74</v>
      </c>
      <c r="CD62" s="4" t="s">
        <v>74</v>
      </c>
      <c r="CE62" s="4" t="s">
        <v>74</v>
      </c>
      <c r="CF62" s="4" t="s">
        <v>74</v>
      </c>
      <c r="CG62" s="4" t="s">
        <v>74</v>
      </c>
      <c r="CH62" s="4" t="s">
        <v>74</v>
      </c>
      <c r="CI62" s="4" t="s">
        <v>74</v>
      </c>
      <c r="CJ62" s="4" t="s">
        <v>74</v>
      </c>
      <c r="CK62" s="4" t="s">
        <v>74</v>
      </c>
      <c r="CL62" s="4" t="s">
        <v>74</v>
      </c>
      <c r="CM62" s="4" t="s">
        <v>74</v>
      </c>
      <c r="CN62" s="4" t="s">
        <v>74</v>
      </c>
      <c r="CO62" s="4" t="s">
        <v>74</v>
      </c>
      <c r="CP62" s="4" t="s">
        <v>74</v>
      </c>
      <c r="CQ62" s="4" t="s">
        <v>74</v>
      </c>
      <c r="CR62" s="4" t="s">
        <v>74</v>
      </c>
      <c r="CS62" s="4" t="s">
        <v>74</v>
      </c>
      <c r="CT62" s="4" t="s">
        <v>74</v>
      </c>
      <c r="CU62" s="4" t="s">
        <v>74</v>
      </c>
      <c r="CV62" s="4" t="s">
        <v>74</v>
      </c>
      <c r="CW62" s="4" t="s">
        <v>74</v>
      </c>
      <c r="CX62" s="4" t="s">
        <v>74</v>
      </c>
      <c r="CY62" s="4" t="s">
        <v>74</v>
      </c>
    </row>
    <row r="63" spans="1:103" ht="17.399999999999999" x14ac:dyDescent="0.25">
      <c r="A63" s="1" t="s">
        <v>134</v>
      </c>
      <c r="B63" s="2" t="s">
        <v>74</v>
      </c>
      <c r="C63" s="2" t="s">
        <v>74</v>
      </c>
      <c r="D63" s="2" t="s">
        <v>74</v>
      </c>
      <c r="E63" s="2" t="s">
        <v>74</v>
      </c>
      <c r="F63" s="2" t="s">
        <v>74</v>
      </c>
      <c r="G63" s="2" t="s">
        <v>74</v>
      </c>
      <c r="H63" s="2" t="s">
        <v>74</v>
      </c>
      <c r="I63" s="2" t="s">
        <v>74</v>
      </c>
      <c r="J63" s="2" t="s">
        <v>74</v>
      </c>
      <c r="K63" s="2" t="s">
        <v>74</v>
      </c>
      <c r="L63" s="2" t="s">
        <v>74</v>
      </c>
      <c r="M63" s="2" t="s">
        <v>74</v>
      </c>
      <c r="N63" s="2" t="s">
        <v>74</v>
      </c>
      <c r="O63" s="2" t="s">
        <v>74</v>
      </c>
      <c r="P63" s="2" t="s">
        <v>74</v>
      </c>
      <c r="Q63" s="2" t="s">
        <v>74</v>
      </c>
      <c r="R63" s="2" t="s">
        <v>74</v>
      </c>
      <c r="S63" s="2" t="s">
        <v>74</v>
      </c>
      <c r="T63" s="2" t="s">
        <v>74</v>
      </c>
      <c r="U63" s="2" t="s">
        <v>74</v>
      </c>
      <c r="V63" s="2" t="s">
        <v>74</v>
      </c>
      <c r="W63" s="2" t="s">
        <v>74</v>
      </c>
      <c r="X63" s="2" t="s">
        <v>74</v>
      </c>
      <c r="Y63" s="2" t="s">
        <v>74</v>
      </c>
      <c r="Z63" s="2" t="s">
        <v>74</v>
      </c>
      <c r="AA63" s="2" t="s">
        <v>74</v>
      </c>
      <c r="AB63" s="2" t="s">
        <v>74</v>
      </c>
      <c r="AC63" s="2" t="s">
        <v>74</v>
      </c>
      <c r="AD63" s="2" t="s">
        <v>74</v>
      </c>
      <c r="AE63" s="2" t="s">
        <v>74</v>
      </c>
      <c r="AF63" s="2" t="s">
        <v>74</v>
      </c>
      <c r="AG63" s="2" t="s">
        <v>74</v>
      </c>
      <c r="AH63" s="2" t="s">
        <v>74</v>
      </c>
      <c r="AI63" s="2" t="s">
        <v>74</v>
      </c>
      <c r="AJ63" s="2" t="s">
        <v>74</v>
      </c>
      <c r="AK63" s="2" t="s">
        <v>74</v>
      </c>
      <c r="AL63" s="2" t="s">
        <v>74</v>
      </c>
      <c r="AM63" s="2" t="s">
        <v>74</v>
      </c>
      <c r="AN63" s="2" t="s">
        <v>74</v>
      </c>
      <c r="AO63" s="2" t="s">
        <v>74</v>
      </c>
      <c r="AP63" s="2" t="s">
        <v>74</v>
      </c>
      <c r="AQ63" s="2" t="s">
        <v>74</v>
      </c>
      <c r="AR63" s="2" t="s">
        <v>74</v>
      </c>
      <c r="AS63" s="2" t="s">
        <v>74</v>
      </c>
      <c r="AT63" s="2" t="s">
        <v>74</v>
      </c>
      <c r="AU63" s="2" t="s">
        <v>74</v>
      </c>
      <c r="AV63" s="2" t="s">
        <v>74</v>
      </c>
      <c r="AW63" s="2" t="s">
        <v>74</v>
      </c>
      <c r="AX63" s="2" t="s">
        <v>74</v>
      </c>
      <c r="AY63" s="2" t="s">
        <v>74</v>
      </c>
      <c r="AZ63" s="2" t="s">
        <v>74</v>
      </c>
      <c r="BA63" s="2" t="s">
        <v>74</v>
      </c>
      <c r="BB63" s="2" t="s">
        <v>74</v>
      </c>
      <c r="BC63" s="2" t="s">
        <v>74</v>
      </c>
      <c r="BD63" s="2" t="s">
        <v>74</v>
      </c>
      <c r="BE63" s="2" t="s">
        <v>74</v>
      </c>
      <c r="BF63" s="2" t="s">
        <v>74</v>
      </c>
      <c r="BG63" s="2" t="s">
        <v>74</v>
      </c>
      <c r="BH63" s="2" t="s">
        <v>74</v>
      </c>
      <c r="BI63" s="2" t="s">
        <v>74</v>
      </c>
      <c r="BJ63" s="2" t="s">
        <v>74</v>
      </c>
      <c r="BK63" s="2" t="s">
        <v>74</v>
      </c>
      <c r="BL63" s="2" t="s">
        <v>74</v>
      </c>
      <c r="BM63" s="2" t="s">
        <v>74</v>
      </c>
      <c r="BN63" s="2" t="s">
        <v>74</v>
      </c>
      <c r="BO63" s="2" t="s">
        <v>74</v>
      </c>
      <c r="BP63" s="2" t="s">
        <v>74</v>
      </c>
      <c r="BQ63" s="2" t="s">
        <v>74</v>
      </c>
      <c r="BR63" s="2" t="s">
        <v>74</v>
      </c>
      <c r="BS63" s="2" t="s">
        <v>74</v>
      </c>
      <c r="BT63" s="2" t="s">
        <v>74</v>
      </c>
      <c r="BU63" s="2" t="s">
        <v>74</v>
      </c>
      <c r="BV63" s="2" t="s">
        <v>74</v>
      </c>
      <c r="BW63" s="2" t="s">
        <v>74</v>
      </c>
      <c r="BX63" s="2" t="s">
        <v>74</v>
      </c>
      <c r="BY63" s="2" t="s">
        <v>74</v>
      </c>
      <c r="BZ63" s="2" t="s">
        <v>74</v>
      </c>
      <c r="CA63" s="2" t="s">
        <v>74</v>
      </c>
      <c r="CB63" s="2" t="s">
        <v>74</v>
      </c>
      <c r="CC63" s="2" t="s">
        <v>74</v>
      </c>
      <c r="CD63" s="2" t="s">
        <v>74</v>
      </c>
      <c r="CE63" s="2" t="s">
        <v>74</v>
      </c>
      <c r="CF63" s="2" t="s">
        <v>74</v>
      </c>
      <c r="CG63" s="2" t="s">
        <v>74</v>
      </c>
      <c r="CH63" s="2" t="s">
        <v>74</v>
      </c>
      <c r="CI63" s="2" t="s">
        <v>74</v>
      </c>
      <c r="CJ63" s="2" t="s">
        <v>74</v>
      </c>
      <c r="CK63" s="2" t="s">
        <v>74</v>
      </c>
      <c r="CL63" s="2" t="s">
        <v>74</v>
      </c>
      <c r="CM63" s="2" t="s">
        <v>74</v>
      </c>
      <c r="CN63" s="2" t="s">
        <v>74</v>
      </c>
      <c r="CO63" s="2" t="s">
        <v>74</v>
      </c>
      <c r="CP63" s="2" t="s">
        <v>74</v>
      </c>
      <c r="CQ63" s="2" t="s">
        <v>74</v>
      </c>
      <c r="CR63" s="2" t="s">
        <v>74</v>
      </c>
      <c r="CS63" s="2" t="s">
        <v>74</v>
      </c>
      <c r="CT63" s="2" t="s">
        <v>74</v>
      </c>
      <c r="CU63" s="2" t="s">
        <v>74</v>
      </c>
      <c r="CV63" s="2" t="s">
        <v>74</v>
      </c>
      <c r="CW63" s="2" t="s">
        <v>74</v>
      </c>
      <c r="CX63" s="2" t="s">
        <v>74</v>
      </c>
      <c r="CY63" s="2" t="s">
        <v>74</v>
      </c>
    </row>
    <row r="64" spans="1:103" ht="34.799999999999997" x14ac:dyDescent="0.25">
      <c r="A64" s="3" t="s">
        <v>135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 t="s">
        <v>74</v>
      </c>
      <c r="I64" s="4" t="s">
        <v>74</v>
      </c>
      <c r="J64" s="4" t="s">
        <v>74</v>
      </c>
      <c r="K64" s="4" t="s">
        <v>74</v>
      </c>
      <c r="L64" s="4">
        <v>3</v>
      </c>
      <c r="M64" s="4">
        <v>29972.82</v>
      </c>
      <c r="N64" s="4">
        <v>0</v>
      </c>
      <c r="O64" s="4">
        <v>95</v>
      </c>
      <c r="P64" s="4">
        <v>0</v>
      </c>
      <c r="Q64" s="4">
        <v>0</v>
      </c>
      <c r="R64" s="4" t="s">
        <v>74</v>
      </c>
      <c r="S64" s="4" t="s">
        <v>74</v>
      </c>
      <c r="T64" s="4">
        <v>3</v>
      </c>
      <c r="U64" s="4">
        <v>63.68</v>
      </c>
      <c r="V64" s="4" t="s">
        <v>74</v>
      </c>
      <c r="W64" s="4" t="s">
        <v>74</v>
      </c>
      <c r="X64" s="4" t="s">
        <v>74</v>
      </c>
      <c r="Y64" s="4" t="s">
        <v>74</v>
      </c>
      <c r="Z64" s="4" t="s">
        <v>74</v>
      </c>
      <c r="AA64" s="4" t="s">
        <v>74</v>
      </c>
      <c r="AB64" s="4" t="s">
        <v>74</v>
      </c>
      <c r="AC64" s="4" t="s">
        <v>74</v>
      </c>
      <c r="AD64" s="4" t="s">
        <v>74</v>
      </c>
      <c r="AE64" s="4" t="s">
        <v>74</v>
      </c>
      <c r="AF64" s="4">
        <v>2</v>
      </c>
      <c r="AG64" s="4">
        <v>116.86</v>
      </c>
      <c r="AH64" s="4">
        <v>6</v>
      </c>
      <c r="AI64" s="4">
        <v>167</v>
      </c>
      <c r="AJ64" s="4">
        <v>6</v>
      </c>
      <c r="AK64" s="4">
        <v>293</v>
      </c>
      <c r="AL64" s="4">
        <v>3</v>
      </c>
      <c r="AM64" s="4">
        <v>95</v>
      </c>
      <c r="AN64" s="4">
        <v>3</v>
      </c>
      <c r="AO64" s="4">
        <v>8.27</v>
      </c>
      <c r="AP64" s="4">
        <v>3</v>
      </c>
      <c r="AQ64" s="4">
        <v>3.63</v>
      </c>
      <c r="AR64" s="4">
        <v>2</v>
      </c>
      <c r="AS64" s="4">
        <v>116.86</v>
      </c>
      <c r="AT64" s="4">
        <v>1.5</v>
      </c>
      <c r="AU64" s="4">
        <v>6694.8</v>
      </c>
      <c r="AV64" s="4">
        <v>5</v>
      </c>
      <c r="AW64" s="4">
        <v>95</v>
      </c>
      <c r="AX64" s="4">
        <v>5</v>
      </c>
      <c r="AY64" s="4">
        <v>95</v>
      </c>
      <c r="AZ64" s="4">
        <v>4</v>
      </c>
      <c r="BA64" s="4">
        <v>95</v>
      </c>
      <c r="BB64" s="4">
        <v>3</v>
      </c>
      <c r="BC64" s="4">
        <v>95</v>
      </c>
      <c r="BD64" s="4">
        <v>4</v>
      </c>
      <c r="BE64" s="4">
        <v>95</v>
      </c>
      <c r="BF64" s="4">
        <v>12.5</v>
      </c>
      <c r="BG64" s="4">
        <v>3581.49</v>
      </c>
      <c r="BH64" s="4">
        <v>7</v>
      </c>
      <c r="BI64" s="4">
        <v>2.52</v>
      </c>
      <c r="BJ64" s="4">
        <v>7</v>
      </c>
      <c r="BK64" s="4">
        <v>40.119999999999997</v>
      </c>
      <c r="BL64" s="4">
        <v>20</v>
      </c>
      <c r="BM64" s="4">
        <v>66.790000000000006</v>
      </c>
      <c r="BN64" s="4" t="s">
        <v>74</v>
      </c>
      <c r="BO64" s="4" t="s">
        <v>74</v>
      </c>
      <c r="BP64" s="4" t="s">
        <v>74</v>
      </c>
      <c r="BQ64" s="4" t="s">
        <v>74</v>
      </c>
      <c r="BR64" s="4">
        <v>0</v>
      </c>
      <c r="BS64" s="4">
        <v>0</v>
      </c>
      <c r="BT64" s="4" t="s">
        <v>74</v>
      </c>
      <c r="BU64" s="4" t="s">
        <v>74</v>
      </c>
      <c r="BV64" s="4" t="s">
        <v>74</v>
      </c>
      <c r="BW64" s="4" t="s">
        <v>74</v>
      </c>
      <c r="BX64" s="4" t="s">
        <v>74</v>
      </c>
      <c r="BY64" s="4" t="s">
        <v>74</v>
      </c>
      <c r="BZ64" s="4" t="s">
        <v>74</v>
      </c>
      <c r="CA64" s="4" t="s">
        <v>74</v>
      </c>
      <c r="CB64" s="4" t="s">
        <v>74</v>
      </c>
      <c r="CC64" s="4" t="s">
        <v>74</v>
      </c>
      <c r="CD64" s="4" t="s">
        <v>74</v>
      </c>
      <c r="CE64" s="4" t="s">
        <v>74</v>
      </c>
      <c r="CF64" s="4" t="s">
        <v>74</v>
      </c>
      <c r="CG64" s="4" t="s">
        <v>74</v>
      </c>
      <c r="CH64" s="4" t="s">
        <v>74</v>
      </c>
      <c r="CI64" s="4" t="s">
        <v>74</v>
      </c>
      <c r="CJ64" s="4" t="s">
        <v>74</v>
      </c>
      <c r="CK64" s="4" t="s">
        <v>74</v>
      </c>
      <c r="CL64" s="4" t="s">
        <v>74</v>
      </c>
      <c r="CM64" s="4" t="s">
        <v>74</v>
      </c>
      <c r="CN64" s="4" t="s">
        <v>74</v>
      </c>
      <c r="CO64" s="4" t="s">
        <v>74</v>
      </c>
      <c r="CP64" s="4" t="s">
        <v>74</v>
      </c>
      <c r="CQ64" s="4" t="s">
        <v>74</v>
      </c>
      <c r="CR64" s="4" t="s">
        <v>74</v>
      </c>
      <c r="CS64" s="4" t="s">
        <v>74</v>
      </c>
      <c r="CT64" s="4" t="s">
        <v>74</v>
      </c>
      <c r="CU64" s="4" t="s">
        <v>74</v>
      </c>
      <c r="CV64" s="4" t="s">
        <v>74</v>
      </c>
      <c r="CW64" s="4" t="s">
        <v>74</v>
      </c>
      <c r="CX64" s="4" t="s">
        <v>74</v>
      </c>
      <c r="CY64" s="4" t="s">
        <v>74</v>
      </c>
    </row>
    <row r="65" spans="1:103" ht="17.399999999999999" x14ac:dyDescent="0.25">
      <c r="A65" s="1" t="s">
        <v>136</v>
      </c>
      <c r="B65" s="2" t="s">
        <v>74</v>
      </c>
      <c r="C65" s="2" t="s">
        <v>74</v>
      </c>
      <c r="D65" s="2" t="s">
        <v>74</v>
      </c>
      <c r="E65" s="2" t="s">
        <v>74</v>
      </c>
      <c r="F65" s="2" t="s">
        <v>74</v>
      </c>
      <c r="G65" s="2" t="s">
        <v>74</v>
      </c>
      <c r="H65" s="2" t="s">
        <v>74</v>
      </c>
      <c r="I65" s="2" t="s">
        <v>74</v>
      </c>
      <c r="J65" s="2" t="s">
        <v>74</v>
      </c>
      <c r="K65" s="2" t="s">
        <v>74</v>
      </c>
      <c r="L65" s="2" t="s">
        <v>74</v>
      </c>
      <c r="M65" s="2" t="s">
        <v>74</v>
      </c>
      <c r="N65" s="2" t="s">
        <v>74</v>
      </c>
      <c r="O65" s="2" t="s">
        <v>74</v>
      </c>
      <c r="P65" s="2" t="s">
        <v>74</v>
      </c>
      <c r="Q65" s="2" t="s">
        <v>74</v>
      </c>
      <c r="R65" s="2" t="s">
        <v>74</v>
      </c>
      <c r="S65" s="2" t="s">
        <v>74</v>
      </c>
      <c r="T65" s="2" t="s">
        <v>74</v>
      </c>
      <c r="U65" s="2" t="s">
        <v>74</v>
      </c>
      <c r="V65" s="2" t="s">
        <v>74</v>
      </c>
      <c r="W65" s="2" t="s">
        <v>74</v>
      </c>
      <c r="X65" s="2" t="s">
        <v>74</v>
      </c>
      <c r="Y65" s="2" t="s">
        <v>74</v>
      </c>
      <c r="Z65" s="2" t="s">
        <v>74</v>
      </c>
      <c r="AA65" s="2" t="s">
        <v>74</v>
      </c>
      <c r="AB65" s="2" t="s">
        <v>74</v>
      </c>
      <c r="AC65" s="2" t="s">
        <v>74</v>
      </c>
      <c r="AD65" s="2" t="s">
        <v>74</v>
      </c>
      <c r="AE65" s="2" t="s">
        <v>74</v>
      </c>
      <c r="AF65" s="2" t="s">
        <v>74</v>
      </c>
      <c r="AG65" s="2" t="s">
        <v>74</v>
      </c>
      <c r="AH65" s="2" t="s">
        <v>74</v>
      </c>
      <c r="AI65" s="2" t="s">
        <v>74</v>
      </c>
      <c r="AJ65" s="2" t="s">
        <v>74</v>
      </c>
      <c r="AK65" s="2" t="s">
        <v>74</v>
      </c>
      <c r="AL65" s="2" t="s">
        <v>74</v>
      </c>
      <c r="AM65" s="2" t="s">
        <v>74</v>
      </c>
      <c r="AN65" s="2" t="s">
        <v>74</v>
      </c>
      <c r="AO65" s="2" t="s">
        <v>74</v>
      </c>
      <c r="AP65" s="2" t="s">
        <v>74</v>
      </c>
      <c r="AQ65" s="2" t="s">
        <v>74</v>
      </c>
      <c r="AR65" s="2" t="s">
        <v>74</v>
      </c>
      <c r="AS65" s="2" t="s">
        <v>74</v>
      </c>
      <c r="AT65" s="2" t="s">
        <v>74</v>
      </c>
      <c r="AU65" s="2" t="s">
        <v>74</v>
      </c>
      <c r="AV65" s="2" t="s">
        <v>74</v>
      </c>
      <c r="AW65" s="2" t="s">
        <v>74</v>
      </c>
      <c r="AX65" s="2" t="s">
        <v>74</v>
      </c>
      <c r="AY65" s="2" t="s">
        <v>74</v>
      </c>
      <c r="AZ65" s="2" t="s">
        <v>74</v>
      </c>
      <c r="BA65" s="2" t="s">
        <v>74</v>
      </c>
      <c r="BB65" s="2" t="s">
        <v>74</v>
      </c>
      <c r="BC65" s="2" t="s">
        <v>74</v>
      </c>
      <c r="BD65" s="2" t="s">
        <v>74</v>
      </c>
      <c r="BE65" s="2" t="s">
        <v>74</v>
      </c>
      <c r="BF65" s="2" t="s">
        <v>74</v>
      </c>
      <c r="BG65" s="2" t="s">
        <v>74</v>
      </c>
      <c r="BH65" s="2" t="s">
        <v>74</v>
      </c>
      <c r="BI65" s="2" t="s">
        <v>74</v>
      </c>
      <c r="BJ65" s="2" t="s">
        <v>74</v>
      </c>
      <c r="BK65" s="2" t="s">
        <v>74</v>
      </c>
      <c r="BL65" s="2" t="s">
        <v>74</v>
      </c>
      <c r="BM65" s="2" t="s">
        <v>74</v>
      </c>
      <c r="BN65" s="2" t="s">
        <v>74</v>
      </c>
      <c r="BO65" s="2" t="s">
        <v>74</v>
      </c>
      <c r="BP65" s="2" t="s">
        <v>74</v>
      </c>
      <c r="BQ65" s="2" t="s">
        <v>74</v>
      </c>
      <c r="BR65" s="2" t="s">
        <v>74</v>
      </c>
      <c r="BS65" s="2" t="s">
        <v>74</v>
      </c>
      <c r="BT65" s="2" t="s">
        <v>74</v>
      </c>
      <c r="BU65" s="2" t="s">
        <v>74</v>
      </c>
      <c r="BV65" s="2" t="s">
        <v>74</v>
      </c>
      <c r="BW65" s="2" t="s">
        <v>74</v>
      </c>
      <c r="BX65" s="2" t="s">
        <v>74</v>
      </c>
      <c r="BY65" s="2" t="s">
        <v>74</v>
      </c>
      <c r="BZ65" s="2">
        <v>15</v>
      </c>
      <c r="CA65" s="2">
        <v>94.42</v>
      </c>
      <c r="CB65" s="2">
        <v>5</v>
      </c>
      <c r="CC65" s="2">
        <v>2793</v>
      </c>
      <c r="CD65" s="2">
        <v>5</v>
      </c>
      <c r="CE65" s="2">
        <v>15945</v>
      </c>
      <c r="CF65" s="2">
        <v>5</v>
      </c>
      <c r="CG65" s="2">
        <v>130.22999999999999</v>
      </c>
      <c r="CH65" s="2">
        <v>10</v>
      </c>
      <c r="CI65" s="2">
        <v>8654.5400000000009</v>
      </c>
      <c r="CJ65" s="2">
        <v>10</v>
      </c>
      <c r="CK65" s="2">
        <v>100</v>
      </c>
      <c r="CL65" s="2">
        <v>0</v>
      </c>
      <c r="CM65" s="2">
        <v>100</v>
      </c>
      <c r="CN65" s="2">
        <v>0</v>
      </c>
      <c r="CO65" s="2">
        <v>100</v>
      </c>
      <c r="CP65" s="2">
        <v>0</v>
      </c>
      <c r="CQ65" s="2">
        <v>100</v>
      </c>
      <c r="CR65" s="2">
        <v>0</v>
      </c>
      <c r="CS65" s="2">
        <v>100</v>
      </c>
      <c r="CT65" s="2">
        <v>0</v>
      </c>
      <c r="CU65" s="2">
        <v>100</v>
      </c>
      <c r="CV65" s="2" t="s">
        <v>74</v>
      </c>
      <c r="CW65" s="2" t="s">
        <v>74</v>
      </c>
      <c r="CX65" s="2" t="s">
        <v>74</v>
      </c>
      <c r="CY65" s="2" t="s">
        <v>74</v>
      </c>
    </row>
    <row r="66" spans="1:103" ht="17.399999999999999" x14ac:dyDescent="0.25">
      <c r="A66" s="3" t="s">
        <v>137</v>
      </c>
      <c r="B66" s="4" t="s">
        <v>74</v>
      </c>
      <c r="C66" s="4" t="s">
        <v>74</v>
      </c>
      <c r="D66" s="4" t="s">
        <v>74</v>
      </c>
      <c r="E66" s="4" t="s">
        <v>74</v>
      </c>
      <c r="F66" s="4" t="s">
        <v>74</v>
      </c>
      <c r="G66" s="4" t="s">
        <v>74</v>
      </c>
      <c r="H66" s="4" t="s">
        <v>74</v>
      </c>
      <c r="I66" s="4" t="s">
        <v>74</v>
      </c>
      <c r="J66" s="4" t="s">
        <v>74</v>
      </c>
      <c r="K66" s="4" t="s">
        <v>74</v>
      </c>
      <c r="L66" s="4" t="s">
        <v>74</v>
      </c>
      <c r="M66" s="4" t="s">
        <v>74</v>
      </c>
      <c r="N66" s="4" t="s">
        <v>74</v>
      </c>
      <c r="O66" s="4" t="s">
        <v>74</v>
      </c>
      <c r="P66" s="4" t="s">
        <v>74</v>
      </c>
      <c r="Q66" s="4" t="s">
        <v>74</v>
      </c>
      <c r="R66" s="4" t="s">
        <v>74</v>
      </c>
      <c r="S66" s="4" t="s">
        <v>74</v>
      </c>
      <c r="T66" s="4" t="s">
        <v>74</v>
      </c>
      <c r="U66" s="4" t="s">
        <v>74</v>
      </c>
      <c r="V66" s="4" t="s">
        <v>74</v>
      </c>
      <c r="W66" s="4" t="s">
        <v>74</v>
      </c>
      <c r="X66" s="4" t="s">
        <v>74</v>
      </c>
      <c r="Y66" s="4" t="s">
        <v>74</v>
      </c>
      <c r="Z66" s="4" t="s">
        <v>74</v>
      </c>
      <c r="AA66" s="4" t="s">
        <v>74</v>
      </c>
      <c r="AB66" s="4" t="s">
        <v>74</v>
      </c>
      <c r="AC66" s="4" t="s">
        <v>74</v>
      </c>
      <c r="AD66" s="4" t="s">
        <v>74</v>
      </c>
      <c r="AE66" s="4" t="s">
        <v>74</v>
      </c>
      <c r="AF66" s="4" t="s">
        <v>74</v>
      </c>
      <c r="AG66" s="4" t="s">
        <v>74</v>
      </c>
      <c r="AH66" s="4" t="s">
        <v>74</v>
      </c>
      <c r="AI66" s="4" t="s">
        <v>74</v>
      </c>
      <c r="AJ66" s="4" t="s">
        <v>74</v>
      </c>
      <c r="AK66" s="4" t="s">
        <v>74</v>
      </c>
      <c r="AL66" s="4" t="s">
        <v>74</v>
      </c>
      <c r="AM66" s="4" t="s">
        <v>74</v>
      </c>
      <c r="AN66" s="4" t="s">
        <v>74</v>
      </c>
      <c r="AO66" s="4" t="s">
        <v>74</v>
      </c>
      <c r="AP66" s="4" t="s">
        <v>74</v>
      </c>
      <c r="AQ66" s="4" t="s">
        <v>74</v>
      </c>
      <c r="AR66" s="4" t="s">
        <v>74</v>
      </c>
      <c r="AS66" s="4" t="s">
        <v>74</v>
      </c>
      <c r="AT66" s="4" t="s">
        <v>74</v>
      </c>
      <c r="AU66" s="4" t="s">
        <v>74</v>
      </c>
      <c r="AV66" s="4" t="s">
        <v>74</v>
      </c>
      <c r="AW66" s="4" t="s">
        <v>74</v>
      </c>
      <c r="AX66" s="4" t="s">
        <v>74</v>
      </c>
      <c r="AY66" s="4" t="s">
        <v>74</v>
      </c>
      <c r="AZ66" s="4" t="s">
        <v>74</v>
      </c>
      <c r="BA66" s="4" t="s">
        <v>74</v>
      </c>
      <c r="BB66" s="4" t="s">
        <v>74</v>
      </c>
      <c r="BC66" s="4" t="s">
        <v>74</v>
      </c>
      <c r="BD66" s="4" t="s">
        <v>74</v>
      </c>
      <c r="BE66" s="4" t="s">
        <v>74</v>
      </c>
      <c r="BF66" s="4" t="s">
        <v>74</v>
      </c>
      <c r="BG66" s="4" t="s">
        <v>74</v>
      </c>
      <c r="BH66" s="4" t="s">
        <v>74</v>
      </c>
      <c r="BI66" s="4" t="s">
        <v>74</v>
      </c>
      <c r="BJ66" s="4" t="s">
        <v>74</v>
      </c>
      <c r="BK66" s="4" t="s">
        <v>74</v>
      </c>
      <c r="BL66" s="4" t="s">
        <v>74</v>
      </c>
      <c r="BM66" s="4" t="s">
        <v>74</v>
      </c>
      <c r="BN66" s="4" t="s">
        <v>74</v>
      </c>
      <c r="BO66" s="4" t="s">
        <v>74</v>
      </c>
      <c r="BP66" s="4" t="s">
        <v>74</v>
      </c>
      <c r="BQ66" s="4" t="s">
        <v>74</v>
      </c>
      <c r="BR66" s="4" t="s">
        <v>74</v>
      </c>
      <c r="BS66" s="4" t="s">
        <v>74</v>
      </c>
      <c r="BT66" s="4" t="s">
        <v>74</v>
      </c>
      <c r="BU66" s="4" t="s">
        <v>74</v>
      </c>
      <c r="BV66" s="4" t="s">
        <v>74</v>
      </c>
      <c r="BW66" s="4" t="s">
        <v>74</v>
      </c>
      <c r="BX66" s="4" t="s">
        <v>74</v>
      </c>
      <c r="BY66" s="4" t="s">
        <v>74</v>
      </c>
      <c r="BZ66" s="4">
        <v>15</v>
      </c>
      <c r="CA66" s="4">
        <v>94.42</v>
      </c>
      <c r="CB66" s="4">
        <v>5</v>
      </c>
      <c r="CC66" s="4">
        <v>2793</v>
      </c>
      <c r="CD66" s="4">
        <v>5</v>
      </c>
      <c r="CE66" s="4">
        <v>15945</v>
      </c>
      <c r="CF66" s="4">
        <v>5</v>
      </c>
      <c r="CG66" s="4">
        <v>130.22999999999999</v>
      </c>
      <c r="CH66" s="4">
        <v>10</v>
      </c>
      <c r="CI66" s="4">
        <v>8654.5400000000009</v>
      </c>
      <c r="CJ66" s="4">
        <v>10</v>
      </c>
      <c r="CK66" s="4">
        <v>100</v>
      </c>
      <c r="CL66" s="4">
        <v>0</v>
      </c>
      <c r="CM66" s="4">
        <v>100</v>
      </c>
      <c r="CN66" s="4">
        <v>0</v>
      </c>
      <c r="CO66" s="4">
        <v>100</v>
      </c>
      <c r="CP66" s="4">
        <v>0</v>
      </c>
      <c r="CQ66" s="4">
        <v>100</v>
      </c>
      <c r="CR66" s="4">
        <v>0</v>
      </c>
      <c r="CS66" s="4">
        <v>100</v>
      </c>
      <c r="CT66" s="4">
        <v>0</v>
      </c>
      <c r="CU66" s="4">
        <v>100</v>
      </c>
      <c r="CV66" s="4" t="s">
        <v>74</v>
      </c>
      <c r="CW66" s="4" t="s">
        <v>74</v>
      </c>
      <c r="CX66" s="4" t="s">
        <v>74</v>
      </c>
      <c r="CY66" s="4" t="s">
        <v>74</v>
      </c>
    </row>
    <row r="67" spans="1:103" ht="17.399999999999999" x14ac:dyDescent="0.25">
      <c r="A67" s="1" t="s">
        <v>138</v>
      </c>
      <c r="B67" s="2" t="s">
        <v>74</v>
      </c>
      <c r="C67" s="2" t="s">
        <v>74</v>
      </c>
      <c r="D67" s="2" t="s">
        <v>74</v>
      </c>
      <c r="E67" s="2" t="s">
        <v>74</v>
      </c>
      <c r="F67" s="2" t="s">
        <v>74</v>
      </c>
      <c r="G67" s="2" t="s">
        <v>74</v>
      </c>
      <c r="H67" s="2" t="s">
        <v>74</v>
      </c>
      <c r="I67" s="2" t="s">
        <v>74</v>
      </c>
      <c r="J67" s="2" t="s">
        <v>74</v>
      </c>
      <c r="K67" s="2" t="s">
        <v>74</v>
      </c>
      <c r="L67" s="2" t="s">
        <v>74</v>
      </c>
      <c r="M67" s="2" t="s">
        <v>74</v>
      </c>
      <c r="N67" s="2" t="s">
        <v>74</v>
      </c>
      <c r="O67" s="2" t="s">
        <v>74</v>
      </c>
      <c r="P67" s="2" t="s">
        <v>74</v>
      </c>
      <c r="Q67" s="2" t="s">
        <v>74</v>
      </c>
      <c r="R67" s="2" t="s">
        <v>74</v>
      </c>
      <c r="S67" s="2" t="s">
        <v>74</v>
      </c>
      <c r="T67" s="2" t="s">
        <v>74</v>
      </c>
      <c r="U67" s="2" t="s">
        <v>74</v>
      </c>
      <c r="V67" s="2" t="s">
        <v>74</v>
      </c>
      <c r="W67" s="2" t="s">
        <v>74</v>
      </c>
      <c r="X67" s="2" t="s">
        <v>74</v>
      </c>
      <c r="Y67" s="2" t="s">
        <v>74</v>
      </c>
      <c r="Z67" s="2" t="s">
        <v>74</v>
      </c>
      <c r="AA67" s="2" t="s">
        <v>74</v>
      </c>
      <c r="AB67" s="2" t="s">
        <v>74</v>
      </c>
      <c r="AC67" s="2" t="s">
        <v>74</v>
      </c>
      <c r="AD67" s="2" t="s">
        <v>74</v>
      </c>
      <c r="AE67" s="2" t="s">
        <v>74</v>
      </c>
      <c r="AF67" s="2" t="s">
        <v>74</v>
      </c>
      <c r="AG67" s="2" t="s">
        <v>74</v>
      </c>
      <c r="AH67" s="2" t="s">
        <v>74</v>
      </c>
      <c r="AI67" s="2" t="s">
        <v>74</v>
      </c>
      <c r="AJ67" s="2" t="s">
        <v>74</v>
      </c>
      <c r="AK67" s="2" t="s">
        <v>74</v>
      </c>
      <c r="AL67" s="2" t="s">
        <v>74</v>
      </c>
      <c r="AM67" s="2" t="s">
        <v>74</v>
      </c>
      <c r="AN67" s="2" t="s">
        <v>74</v>
      </c>
      <c r="AO67" s="2" t="s">
        <v>74</v>
      </c>
      <c r="AP67" s="2" t="s">
        <v>74</v>
      </c>
      <c r="AQ67" s="2" t="s">
        <v>74</v>
      </c>
      <c r="AR67" s="2" t="s">
        <v>74</v>
      </c>
      <c r="AS67" s="2" t="s">
        <v>74</v>
      </c>
      <c r="AT67" s="2" t="s">
        <v>74</v>
      </c>
      <c r="AU67" s="2" t="s">
        <v>74</v>
      </c>
      <c r="AV67" s="2" t="s">
        <v>74</v>
      </c>
      <c r="AW67" s="2" t="s">
        <v>74</v>
      </c>
      <c r="AX67" s="2" t="s">
        <v>74</v>
      </c>
      <c r="AY67" s="2" t="s">
        <v>74</v>
      </c>
      <c r="AZ67" s="2" t="s">
        <v>74</v>
      </c>
      <c r="BA67" s="2" t="s">
        <v>74</v>
      </c>
      <c r="BB67" s="2" t="s">
        <v>74</v>
      </c>
      <c r="BC67" s="2" t="s">
        <v>74</v>
      </c>
      <c r="BD67" s="2" t="s">
        <v>74</v>
      </c>
      <c r="BE67" s="2" t="s">
        <v>74</v>
      </c>
      <c r="BF67" s="2" t="s">
        <v>74</v>
      </c>
      <c r="BG67" s="2" t="s">
        <v>74</v>
      </c>
      <c r="BH67" s="2" t="s">
        <v>74</v>
      </c>
      <c r="BI67" s="2" t="s">
        <v>74</v>
      </c>
      <c r="BJ67" s="2" t="s">
        <v>74</v>
      </c>
      <c r="BK67" s="2" t="s">
        <v>74</v>
      </c>
      <c r="BL67" s="2" t="s">
        <v>74</v>
      </c>
      <c r="BM67" s="2" t="s">
        <v>74</v>
      </c>
      <c r="BN67" s="2" t="s">
        <v>74</v>
      </c>
      <c r="BO67" s="2" t="s">
        <v>74</v>
      </c>
      <c r="BP67" s="2" t="s">
        <v>74</v>
      </c>
      <c r="BQ67" s="2" t="s">
        <v>74</v>
      </c>
      <c r="BR67" s="2" t="s">
        <v>74</v>
      </c>
      <c r="BS67" s="2" t="s">
        <v>74</v>
      </c>
      <c r="BT67" s="2" t="s">
        <v>74</v>
      </c>
      <c r="BU67" s="2" t="s">
        <v>74</v>
      </c>
      <c r="BV67" s="2" t="s">
        <v>74</v>
      </c>
      <c r="BW67" s="2" t="s">
        <v>74</v>
      </c>
      <c r="BX67" s="2" t="s">
        <v>74</v>
      </c>
      <c r="BY67" s="2" t="s">
        <v>74</v>
      </c>
      <c r="BZ67" s="2" t="s">
        <v>74</v>
      </c>
      <c r="CA67" s="2" t="s">
        <v>74</v>
      </c>
      <c r="CB67" s="2" t="s">
        <v>74</v>
      </c>
      <c r="CC67" s="2" t="s">
        <v>74</v>
      </c>
      <c r="CD67" s="2" t="s">
        <v>74</v>
      </c>
      <c r="CE67" s="2" t="s">
        <v>74</v>
      </c>
      <c r="CF67" s="2" t="s">
        <v>74</v>
      </c>
      <c r="CG67" s="2" t="s">
        <v>74</v>
      </c>
      <c r="CH67" s="2" t="s">
        <v>74</v>
      </c>
      <c r="CI67" s="2" t="s">
        <v>74</v>
      </c>
      <c r="CJ67" s="2" t="s">
        <v>74</v>
      </c>
      <c r="CK67" s="2" t="s">
        <v>74</v>
      </c>
      <c r="CL67" s="2" t="s">
        <v>74</v>
      </c>
      <c r="CM67" s="2" t="s">
        <v>74</v>
      </c>
      <c r="CN67" s="2" t="s">
        <v>74</v>
      </c>
      <c r="CO67" s="2" t="s">
        <v>74</v>
      </c>
      <c r="CP67" s="2" t="s">
        <v>74</v>
      </c>
      <c r="CQ67" s="2" t="s">
        <v>74</v>
      </c>
      <c r="CR67" s="2" t="s">
        <v>74</v>
      </c>
      <c r="CS67" s="2" t="s">
        <v>74</v>
      </c>
      <c r="CT67" s="2" t="s">
        <v>74</v>
      </c>
      <c r="CU67" s="2" t="s">
        <v>74</v>
      </c>
      <c r="CV67" s="2" t="s">
        <v>74</v>
      </c>
      <c r="CW67" s="2" t="s">
        <v>74</v>
      </c>
      <c r="CX67" s="2" t="s">
        <v>74</v>
      </c>
      <c r="CY67" s="2" t="s">
        <v>74</v>
      </c>
    </row>
    <row r="68" spans="1:103" ht="34.799999999999997" x14ac:dyDescent="0.25">
      <c r="A68" s="3" t="s">
        <v>139</v>
      </c>
      <c r="B68" s="4" t="s">
        <v>74</v>
      </c>
      <c r="C68" s="4" t="s">
        <v>74</v>
      </c>
      <c r="D68" s="4" t="s">
        <v>74</v>
      </c>
      <c r="E68" s="4" t="s">
        <v>74</v>
      </c>
      <c r="F68" s="4" t="s">
        <v>74</v>
      </c>
      <c r="G68" s="4" t="s">
        <v>74</v>
      </c>
      <c r="H68" s="4" t="s">
        <v>74</v>
      </c>
      <c r="I68" s="4" t="s">
        <v>74</v>
      </c>
      <c r="J68" s="4" t="s">
        <v>74</v>
      </c>
      <c r="K68" s="4" t="s">
        <v>74</v>
      </c>
      <c r="L68" s="4" t="s">
        <v>74</v>
      </c>
      <c r="M68" s="4" t="s">
        <v>74</v>
      </c>
      <c r="N68" s="4" t="s">
        <v>74</v>
      </c>
      <c r="O68" s="4" t="s">
        <v>74</v>
      </c>
      <c r="P68" s="4" t="s">
        <v>74</v>
      </c>
      <c r="Q68" s="4" t="s">
        <v>74</v>
      </c>
      <c r="R68" s="4" t="s">
        <v>74</v>
      </c>
      <c r="S68" s="4" t="s">
        <v>74</v>
      </c>
      <c r="T68" s="4" t="s">
        <v>74</v>
      </c>
      <c r="U68" s="4" t="s">
        <v>74</v>
      </c>
      <c r="V68" s="4" t="s">
        <v>74</v>
      </c>
      <c r="W68" s="4" t="s">
        <v>74</v>
      </c>
      <c r="X68" s="4" t="s">
        <v>74</v>
      </c>
      <c r="Y68" s="4" t="s">
        <v>74</v>
      </c>
      <c r="Z68" s="4" t="s">
        <v>74</v>
      </c>
      <c r="AA68" s="4" t="s">
        <v>74</v>
      </c>
      <c r="AB68" s="4" t="s">
        <v>74</v>
      </c>
      <c r="AC68" s="4" t="s">
        <v>74</v>
      </c>
      <c r="AD68" s="4" t="s">
        <v>74</v>
      </c>
      <c r="AE68" s="4" t="s">
        <v>74</v>
      </c>
      <c r="AF68" s="4" t="s">
        <v>74</v>
      </c>
      <c r="AG68" s="4" t="s">
        <v>74</v>
      </c>
      <c r="AH68" s="4" t="s">
        <v>74</v>
      </c>
      <c r="AI68" s="4" t="s">
        <v>74</v>
      </c>
      <c r="AJ68" s="4" t="s">
        <v>74</v>
      </c>
      <c r="AK68" s="4" t="s">
        <v>74</v>
      </c>
      <c r="AL68" s="4" t="s">
        <v>74</v>
      </c>
      <c r="AM68" s="4" t="s">
        <v>74</v>
      </c>
      <c r="AN68" s="4" t="s">
        <v>74</v>
      </c>
      <c r="AO68" s="4" t="s">
        <v>74</v>
      </c>
      <c r="AP68" s="4" t="s">
        <v>74</v>
      </c>
      <c r="AQ68" s="4" t="s">
        <v>74</v>
      </c>
      <c r="AR68" s="4" t="s">
        <v>74</v>
      </c>
      <c r="AS68" s="4" t="s">
        <v>74</v>
      </c>
      <c r="AT68" s="4" t="s">
        <v>74</v>
      </c>
      <c r="AU68" s="4" t="s">
        <v>74</v>
      </c>
      <c r="AV68" s="4" t="s">
        <v>74</v>
      </c>
      <c r="AW68" s="4" t="s">
        <v>74</v>
      </c>
      <c r="AX68" s="4" t="s">
        <v>74</v>
      </c>
      <c r="AY68" s="4" t="s">
        <v>74</v>
      </c>
      <c r="AZ68" s="4" t="s">
        <v>74</v>
      </c>
      <c r="BA68" s="4" t="s">
        <v>74</v>
      </c>
      <c r="BB68" s="4" t="s">
        <v>74</v>
      </c>
      <c r="BC68" s="4" t="s">
        <v>74</v>
      </c>
      <c r="BD68" s="4" t="s">
        <v>74</v>
      </c>
      <c r="BE68" s="4" t="s">
        <v>74</v>
      </c>
      <c r="BF68" s="4" t="s">
        <v>74</v>
      </c>
      <c r="BG68" s="4" t="s">
        <v>74</v>
      </c>
      <c r="BH68" s="4" t="s">
        <v>74</v>
      </c>
      <c r="BI68" s="4" t="s">
        <v>74</v>
      </c>
      <c r="BJ68" s="4" t="s">
        <v>74</v>
      </c>
      <c r="BK68" s="4" t="s">
        <v>74</v>
      </c>
      <c r="BL68" s="4" t="s">
        <v>74</v>
      </c>
      <c r="BM68" s="4" t="s">
        <v>74</v>
      </c>
      <c r="BN68" s="4" t="s">
        <v>74</v>
      </c>
      <c r="BO68" s="4" t="s">
        <v>74</v>
      </c>
      <c r="BP68" s="4" t="s">
        <v>74</v>
      </c>
      <c r="BQ68" s="4" t="s">
        <v>74</v>
      </c>
      <c r="BR68" s="4" t="s">
        <v>74</v>
      </c>
      <c r="BS68" s="4" t="s">
        <v>74</v>
      </c>
      <c r="BT68" s="4" t="s">
        <v>74</v>
      </c>
      <c r="BU68" s="4" t="s">
        <v>74</v>
      </c>
      <c r="BV68" s="4" t="s">
        <v>74</v>
      </c>
      <c r="BW68" s="4" t="s">
        <v>74</v>
      </c>
      <c r="BX68" s="4" t="s">
        <v>74</v>
      </c>
      <c r="BY68" s="4" t="s">
        <v>74</v>
      </c>
      <c r="BZ68" s="4">
        <v>15</v>
      </c>
      <c r="CA68" s="4">
        <v>94.42</v>
      </c>
      <c r="CB68" s="4">
        <v>5</v>
      </c>
      <c r="CC68" s="4">
        <v>2793</v>
      </c>
      <c r="CD68" s="4">
        <v>5</v>
      </c>
      <c r="CE68" s="4">
        <v>15945</v>
      </c>
      <c r="CF68" s="4">
        <v>5</v>
      </c>
      <c r="CG68" s="4">
        <v>130.22999999999999</v>
      </c>
      <c r="CH68" s="4">
        <v>10</v>
      </c>
      <c r="CI68" s="4">
        <v>8654.5400000000009</v>
      </c>
      <c r="CJ68" s="4">
        <v>10</v>
      </c>
      <c r="CK68" s="4">
        <v>100</v>
      </c>
      <c r="CL68" s="4">
        <v>0</v>
      </c>
      <c r="CM68" s="4">
        <v>100</v>
      </c>
      <c r="CN68" s="4">
        <v>0</v>
      </c>
      <c r="CO68" s="4">
        <v>100</v>
      </c>
      <c r="CP68" s="4">
        <v>0</v>
      </c>
      <c r="CQ68" s="4">
        <v>100</v>
      </c>
      <c r="CR68" s="4">
        <v>0</v>
      </c>
      <c r="CS68" s="4">
        <v>100</v>
      </c>
      <c r="CT68" s="4">
        <v>0</v>
      </c>
      <c r="CU68" s="4">
        <v>100</v>
      </c>
      <c r="CV68" s="4" t="s">
        <v>74</v>
      </c>
      <c r="CW68" s="4" t="s">
        <v>74</v>
      </c>
      <c r="CX68" s="4" t="s">
        <v>74</v>
      </c>
      <c r="CY68" s="4" t="s">
        <v>74</v>
      </c>
    </row>
    <row r="69" spans="1:103" ht="17.399999999999999" x14ac:dyDescent="0.25">
      <c r="A69" s="1" t="s">
        <v>140</v>
      </c>
      <c r="B69" s="2">
        <v>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 t="s">
        <v>74</v>
      </c>
      <c r="I69" s="2" t="s">
        <v>74</v>
      </c>
      <c r="J69" s="2" t="s">
        <v>74</v>
      </c>
      <c r="K69" s="2" t="s">
        <v>74</v>
      </c>
      <c r="L69" s="2">
        <v>3</v>
      </c>
      <c r="M69" s="2">
        <v>42944.83</v>
      </c>
      <c r="N69" s="2">
        <v>0</v>
      </c>
      <c r="O69" s="2">
        <v>95</v>
      </c>
      <c r="P69" s="2">
        <v>0</v>
      </c>
      <c r="Q69" s="2">
        <v>0</v>
      </c>
      <c r="R69" s="2" t="s">
        <v>74</v>
      </c>
      <c r="S69" s="2" t="s">
        <v>74</v>
      </c>
      <c r="T69" s="2">
        <v>3</v>
      </c>
      <c r="U69" s="2">
        <v>62.58</v>
      </c>
      <c r="V69" s="2" t="s">
        <v>74</v>
      </c>
      <c r="W69" s="2" t="s">
        <v>74</v>
      </c>
      <c r="X69" s="2" t="s">
        <v>74</v>
      </c>
      <c r="Y69" s="2" t="s">
        <v>74</v>
      </c>
      <c r="Z69" s="2" t="s">
        <v>74</v>
      </c>
      <c r="AA69" s="2" t="s">
        <v>74</v>
      </c>
      <c r="AB69" s="2" t="s">
        <v>74</v>
      </c>
      <c r="AC69" s="2" t="s">
        <v>74</v>
      </c>
      <c r="AD69" s="2" t="s">
        <v>74</v>
      </c>
      <c r="AE69" s="2" t="s">
        <v>74</v>
      </c>
      <c r="AF69" s="2">
        <v>2</v>
      </c>
      <c r="AG69" s="2">
        <v>210.3</v>
      </c>
      <c r="AH69" s="2">
        <v>6</v>
      </c>
      <c r="AI69" s="2">
        <v>120</v>
      </c>
      <c r="AJ69" s="2">
        <v>6</v>
      </c>
      <c r="AK69" s="2">
        <v>256</v>
      </c>
      <c r="AL69" s="2">
        <v>3</v>
      </c>
      <c r="AM69" s="2">
        <v>95</v>
      </c>
      <c r="AN69" s="2">
        <v>3</v>
      </c>
      <c r="AO69" s="2">
        <v>13.88</v>
      </c>
      <c r="AP69" s="2">
        <v>3</v>
      </c>
      <c r="AQ69" s="2">
        <v>2.11</v>
      </c>
      <c r="AR69" s="2">
        <v>2</v>
      </c>
      <c r="AS69" s="2">
        <v>210.3</v>
      </c>
      <c r="AT69" s="2">
        <v>1.5</v>
      </c>
      <c r="AU69" s="2">
        <v>19164.41</v>
      </c>
      <c r="AV69" s="2">
        <v>5</v>
      </c>
      <c r="AW69" s="2">
        <v>95</v>
      </c>
      <c r="AX69" s="2">
        <v>5</v>
      </c>
      <c r="AY69" s="2">
        <v>95</v>
      </c>
      <c r="AZ69" s="2">
        <v>4</v>
      </c>
      <c r="BA69" s="2">
        <v>95</v>
      </c>
      <c r="BB69" s="2">
        <v>3</v>
      </c>
      <c r="BC69" s="2">
        <v>95</v>
      </c>
      <c r="BD69" s="2">
        <v>4</v>
      </c>
      <c r="BE69" s="2">
        <v>95</v>
      </c>
      <c r="BF69" s="2">
        <v>12.5</v>
      </c>
      <c r="BG69" s="2">
        <v>8365.19</v>
      </c>
      <c r="BH69" s="2">
        <v>7</v>
      </c>
      <c r="BI69" s="2">
        <v>18.309999999999999</v>
      </c>
      <c r="BJ69" s="2">
        <v>7</v>
      </c>
      <c r="BK69" s="2">
        <v>36.340000000000003</v>
      </c>
      <c r="BL69" s="2">
        <v>20</v>
      </c>
      <c r="BM69" s="2">
        <v>74.88</v>
      </c>
      <c r="BN69" s="2" t="s">
        <v>74</v>
      </c>
      <c r="BO69" s="2" t="s">
        <v>74</v>
      </c>
      <c r="BP69" s="2" t="s">
        <v>74</v>
      </c>
      <c r="BQ69" s="2" t="s">
        <v>74</v>
      </c>
      <c r="BR69" s="2">
        <v>0</v>
      </c>
      <c r="BS69" s="2">
        <v>0</v>
      </c>
      <c r="BT69" s="2" t="s">
        <v>74</v>
      </c>
      <c r="BU69" s="2" t="s">
        <v>74</v>
      </c>
      <c r="BV69" s="2" t="s">
        <v>74</v>
      </c>
      <c r="BW69" s="2" t="s">
        <v>74</v>
      </c>
      <c r="BX69" s="2" t="s">
        <v>74</v>
      </c>
      <c r="BY69" s="2" t="s">
        <v>74</v>
      </c>
      <c r="BZ69" s="2" t="s">
        <v>74</v>
      </c>
      <c r="CA69" s="2" t="s">
        <v>74</v>
      </c>
      <c r="CB69" s="2" t="s">
        <v>74</v>
      </c>
      <c r="CC69" s="2" t="s">
        <v>74</v>
      </c>
      <c r="CD69" s="2" t="s">
        <v>74</v>
      </c>
      <c r="CE69" s="2" t="s">
        <v>74</v>
      </c>
      <c r="CF69" s="2" t="s">
        <v>74</v>
      </c>
      <c r="CG69" s="2" t="s">
        <v>74</v>
      </c>
      <c r="CH69" s="2" t="s">
        <v>74</v>
      </c>
      <c r="CI69" s="2" t="s">
        <v>74</v>
      </c>
      <c r="CJ69" s="2" t="s">
        <v>74</v>
      </c>
      <c r="CK69" s="2" t="s">
        <v>74</v>
      </c>
      <c r="CL69" s="2" t="s">
        <v>74</v>
      </c>
      <c r="CM69" s="2" t="s">
        <v>74</v>
      </c>
      <c r="CN69" s="2" t="s">
        <v>74</v>
      </c>
      <c r="CO69" s="2" t="s">
        <v>74</v>
      </c>
      <c r="CP69" s="2" t="s">
        <v>74</v>
      </c>
      <c r="CQ69" s="2" t="s">
        <v>74</v>
      </c>
      <c r="CR69" s="2" t="s">
        <v>74</v>
      </c>
      <c r="CS69" s="2" t="s">
        <v>74</v>
      </c>
      <c r="CT69" s="2" t="s">
        <v>74</v>
      </c>
      <c r="CU69" s="2" t="s">
        <v>74</v>
      </c>
      <c r="CV69" s="2" t="s">
        <v>74</v>
      </c>
      <c r="CW69" s="2" t="s">
        <v>74</v>
      </c>
      <c r="CX69" s="2" t="s">
        <v>74</v>
      </c>
      <c r="CY69" s="2" t="s">
        <v>74</v>
      </c>
    </row>
    <row r="70" spans="1:103" ht="17.399999999999999" x14ac:dyDescent="0.25">
      <c r="A70" s="3" t="s">
        <v>141</v>
      </c>
      <c r="B70" s="4" t="s">
        <v>74</v>
      </c>
      <c r="C70" s="4" t="s">
        <v>74</v>
      </c>
      <c r="D70" s="4" t="s">
        <v>74</v>
      </c>
      <c r="E70" s="4" t="s">
        <v>74</v>
      </c>
      <c r="F70" s="4" t="s">
        <v>74</v>
      </c>
      <c r="G70" s="4" t="s">
        <v>74</v>
      </c>
      <c r="H70" s="4" t="s">
        <v>74</v>
      </c>
      <c r="I70" s="4" t="s">
        <v>74</v>
      </c>
      <c r="J70" s="4" t="s">
        <v>74</v>
      </c>
      <c r="K70" s="4" t="s">
        <v>74</v>
      </c>
      <c r="L70" s="4" t="s">
        <v>74</v>
      </c>
      <c r="M70" s="4" t="s">
        <v>74</v>
      </c>
      <c r="N70" s="4" t="s">
        <v>74</v>
      </c>
      <c r="O70" s="4" t="s">
        <v>74</v>
      </c>
      <c r="P70" s="4" t="s">
        <v>74</v>
      </c>
      <c r="Q70" s="4" t="s">
        <v>74</v>
      </c>
      <c r="R70" s="4" t="s">
        <v>74</v>
      </c>
      <c r="S70" s="4" t="s">
        <v>74</v>
      </c>
      <c r="T70" s="4" t="s">
        <v>74</v>
      </c>
      <c r="U70" s="4" t="s">
        <v>74</v>
      </c>
      <c r="V70" s="4" t="s">
        <v>74</v>
      </c>
      <c r="W70" s="4" t="s">
        <v>74</v>
      </c>
      <c r="X70" s="4" t="s">
        <v>74</v>
      </c>
      <c r="Y70" s="4" t="s">
        <v>74</v>
      </c>
      <c r="Z70" s="4" t="s">
        <v>74</v>
      </c>
      <c r="AA70" s="4" t="s">
        <v>74</v>
      </c>
      <c r="AB70" s="4" t="s">
        <v>74</v>
      </c>
      <c r="AC70" s="4" t="s">
        <v>74</v>
      </c>
      <c r="AD70" s="4" t="s">
        <v>74</v>
      </c>
      <c r="AE70" s="4" t="s">
        <v>74</v>
      </c>
      <c r="AF70" s="4" t="s">
        <v>74</v>
      </c>
      <c r="AG70" s="4" t="s">
        <v>74</v>
      </c>
      <c r="AH70" s="4" t="s">
        <v>74</v>
      </c>
      <c r="AI70" s="4" t="s">
        <v>74</v>
      </c>
      <c r="AJ70" s="4" t="s">
        <v>74</v>
      </c>
      <c r="AK70" s="4" t="s">
        <v>74</v>
      </c>
      <c r="AL70" s="4" t="s">
        <v>74</v>
      </c>
      <c r="AM70" s="4" t="s">
        <v>74</v>
      </c>
      <c r="AN70" s="4" t="s">
        <v>74</v>
      </c>
      <c r="AO70" s="4" t="s">
        <v>74</v>
      </c>
      <c r="AP70" s="4" t="s">
        <v>74</v>
      </c>
      <c r="AQ70" s="4" t="s">
        <v>74</v>
      </c>
      <c r="AR70" s="4" t="s">
        <v>74</v>
      </c>
      <c r="AS70" s="4" t="s">
        <v>74</v>
      </c>
      <c r="AT70" s="4" t="s">
        <v>74</v>
      </c>
      <c r="AU70" s="4" t="s">
        <v>74</v>
      </c>
      <c r="AV70" s="4" t="s">
        <v>74</v>
      </c>
      <c r="AW70" s="4" t="s">
        <v>74</v>
      </c>
      <c r="AX70" s="4" t="s">
        <v>74</v>
      </c>
      <c r="AY70" s="4" t="s">
        <v>74</v>
      </c>
      <c r="AZ70" s="4" t="s">
        <v>74</v>
      </c>
      <c r="BA70" s="4" t="s">
        <v>74</v>
      </c>
      <c r="BB70" s="4" t="s">
        <v>74</v>
      </c>
      <c r="BC70" s="4" t="s">
        <v>74</v>
      </c>
      <c r="BD70" s="4" t="s">
        <v>74</v>
      </c>
      <c r="BE70" s="4" t="s">
        <v>74</v>
      </c>
      <c r="BF70" s="4" t="s">
        <v>74</v>
      </c>
      <c r="BG70" s="4" t="s">
        <v>74</v>
      </c>
      <c r="BH70" s="4" t="s">
        <v>74</v>
      </c>
      <c r="BI70" s="4" t="s">
        <v>74</v>
      </c>
      <c r="BJ70" s="4" t="s">
        <v>74</v>
      </c>
      <c r="BK70" s="4" t="s">
        <v>74</v>
      </c>
      <c r="BL70" s="4" t="s">
        <v>74</v>
      </c>
      <c r="BM70" s="4" t="s">
        <v>74</v>
      </c>
      <c r="BN70" s="4" t="s">
        <v>74</v>
      </c>
      <c r="BO70" s="4" t="s">
        <v>74</v>
      </c>
      <c r="BP70" s="4" t="s">
        <v>74</v>
      </c>
      <c r="BQ70" s="4" t="s">
        <v>74</v>
      </c>
      <c r="BR70" s="4" t="s">
        <v>74</v>
      </c>
      <c r="BS70" s="4" t="s">
        <v>74</v>
      </c>
      <c r="BT70" s="4" t="s">
        <v>74</v>
      </c>
      <c r="BU70" s="4" t="s">
        <v>74</v>
      </c>
      <c r="BV70" s="4" t="s">
        <v>74</v>
      </c>
      <c r="BW70" s="4" t="s">
        <v>74</v>
      </c>
      <c r="BX70" s="4" t="s">
        <v>74</v>
      </c>
      <c r="BY70" s="4" t="s">
        <v>74</v>
      </c>
      <c r="BZ70" s="4" t="s">
        <v>74</v>
      </c>
      <c r="CA70" s="4" t="s">
        <v>74</v>
      </c>
      <c r="CB70" s="4" t="s">
        <v>74</v>
      </c>
      <c r="CC70" s="4" t="s">
        <v>74</v>
      </c>
      <c r="CD70" s="4" t="s">
        <v>74</v>
      </c>
      <c r="CE70" s="4" t="s">
        <v>74</v>
      </c>
      <c r="CF70" s="4" t="s">
        <v>74</v>
      </c>
      <c r="CG70" s="4" t="s">
        <v>74</v>
      </c>
      <c r="CH70" s="4" t="s">
        <v>74</v>
      </c>
      <c r="CI70" s="4" t="s">
        <v>74</v>
      </c>
      <c r="CJ70" s="4" t="s">
        <v>74</v>
      </c>
      <c r="CK70" s="4" t="s">
        <v>74</v>
      </c>
      <c r="CL70" s="4" t="s">
        <v>74</v>
      </c>
      <c r="CM70" s="4" t="s">
        <v>74</v>
      </c>
      <c r="CN70" s="4" t="s">
        <v>74</v>
      </c>
      <c r="CO70" s="4" t="s">
        <v>74</v>
      </c>
      <c r="CP70" s="4" t="s">
        <v>74</v>
      </c>
      <c r="CQ70" s="4" t="s">
        <v>74</v>
      </c>
      <c r="CR70" s="4" t="s">
        <v>74</v>
      </c>
      <c r="CS70" s="4" t="s">
        <v>74</v>
      </c>
      <c r="CT70" s="4" t="s">
        <v>74</v>
      </c>
      <c r="CU70" s="4" t="s">
        <v>74</v>
      </c>
      <c r="CV70" s="4" t="s">
        <v>74</v>
      </c>
      <c r="CW70" s="4" t="s">
        <v>74</v>
      </c>
      <c r="CX70" s="4" t="s">
        <v>74</v>
      </c>
      <c r="CY70" s="4" t="s">
        <v>74</v>
      </c>
    </row>
    <row r="71" spans="1:103" ht="34.799999999999997" x14ac:dyDescent="0.25">
      <c r="A71" s="1" t="s">
        <v>142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 t="s">
        <v>74</v>
      </c>
      <c r="I71" s="2" t="s">
        <v>74</v>
      </c>
      <c r="J71" s="2" t="s">
        <v>74</v>
      </c>
      <c r="K71" s="2" t="s">
        <v>74</v>
      </c>
      <c r="L71" s="2">
        <v>3</v>
      </c>
      <c r="M71" s="2">
        <v>32037.21</v>
      </c>
      <c r="N71" s="2">
        <v>0</v>
      </c>
      <c r="O71" s="2">
        <v>95</v>
      </c>
      <c r="P71" s="2">
        <v>0</v>
      </c>
      <c r="Q71" s="2">
        <v>0</v>
      </c>
      <c r="R71" s="2" t="s">
        <v>74</v>
      </c>
      <c r="S71" s="2" t="s">
        <v>74</v>
      </c>
      <c r="T71" s="2">
        <v>3</v>
      </c>
      <c r="U71" s="2">
        <v>70.56</v>
      </c>
      <c r="V71" s="2" t="s">
        <v>74</v>
      </c>
      <c r="W71" s="2" t="s">
        <v>74</v>
      </c>
      <c r="X71" s="2" t="s">
        <v>74</v>
      </c>
      <c r="Y71" s="2" t="s">
        <v>74</v>
      </c>
      <c r="Z71" s="2" t="s">
        <v>74</v>
      </c>
      <c r="AA71" s="2" t="s">
        <v>74</v>
      </c>
      <c r="AB71" s="2" t="s">
        <v>74</v>
      </c>
      <c r="AC71" s="2" t="s">
        <v>74</v>
      </c>
      <c r="AD71" s="2" t="s">
        <v>74</v>
      </c>
      <c r="AE71" s="2" t="s">
        <v>74</v>
      </c>
      <c r="AF71" s="2">
        <v>2</v>
      </c>
      <c r="AG71" s="2">
        <v>198.42</v>
      </c>
      <c r="AH71" s="2">
        <v>6</v>
      </c>
      <c r="AI71" s="2">
        <v>164</v>
      </c>
      <c r="AJ71" s="2">
        <v>6</v>
      </c>
      <c r="AK71" s="2">
        <v>457</v>
      </c>
      <c r="AL71" s="2">
        <v>3</v>
      </c>
      <c r="AM71" s="2">
        <v>95</v>
      </c>
      <c r="AN71" s="2">
        <v>3</v>
      </c>
      <c r="AO71" s="2">
        <v>7.5</v>
      </c>
      <c r="AP71" s="2">
        <v>3</v>
      </c>
      <c r="AQ71" s="2">
        <v>3.57</v>
      </c>
      <c r="AR71" s="2">
        <v>2</v>
      </c>
      <c r="AS71" s="2">
        <v>198.42</v>
      </c>
      <c r="AT71" s="2">
        <v>1.5</v>
      </c>
      <c r="AU71" s="2">
        <v>7397.93</v>
      </c>
      <c r="AV71" s="2">
        <v>5</v>
      </c>
      <c r="AW71" s="2">
        <v>95</v>
      </c>
      <c r="AX71" s="2">
        <v>5</v>
      </c>
      <c r="AY71" s="2">
        <v>95</v>
      </c>
      <c r="AZ71" s="2">
        <v>4</v>
      </c>
      <c r="BA71" s="2">
        <v>95</v>
      </c>
      <c r="BB71" s="2">
        <v>3</v>
      </c>
      <c r="BC71" s="2">
        <v>95</v>
      </c>
      <c r="BD71" s="2">
        <v>4</v>
      </c>
      <c r="BE71" s="2">
        <v>95</v>
      </c>
      <c r="BF71" s="2">
        <v>12.5</v>
      </c>
      <c r="BG71" s="2">
        <v>3834.6</v>
      </c>
      <c r="BH71" s="2">
        <v>7</v>
      </c>
      <c r="BI71" s="2">
        <v>4.46</v>
      </c>
      <c r="BJ71" s="2">
        <v>7</v>
      </c>
      <c r="BK71" s="2">
        <v>44.11</v>
      </c>
      <c r="BL71" s="2">
        <v>20</v>
      </c>
      <c r="BM71" s="2">
        <v>70.430000000000007</v>
      </c>
      <c r="BN71" s="2" t="s">
        <v>74</v>
      </c>
      <c r="BO71" s="2" t="s">
        <v>74</v>
      </c>
      <c r="BP71" s="2" t="s">
        <v>74</v>
      </c>
      <c r="BQ71" s="2" t="s">
        <v>74</v>
      </c>
      <c r="BR71" s="2">
        <v>0</v>
      </c>
      <c r="BS71" s="2">
        <v>0</v>
      </c>
      <c r="BT71" s="2" t="s">
        <v>74</v>
      </c>
      <c r="BU71" s="2" t="s">
        <v>74</v>
      </c>
      <c r="BV71" s="2" t="s">
        <v>74</v>
      </c>
      <c r="BW71" s="2" t="s">
        <v>74</v>
      </c>
      <c r="BX71" s="2" t="s">
        <v>74</v>
      </c>
      <c r="BY71" s="2" t="s">
        <v>74</v>
      </c>
      <c r="BZ71" s="2" t="s">
        <v>74</v>
      </c>
      <c r="CA71" s="2" t="s">
        <v>74</v>
      </c>
      <c r="CB71" s="2" t="s">
        <v>74</v>
      </c>
      <c r="CC71" s="2" t="s">
        <v>74</v>
      </c>
      <c r="CD71" s="2" t="s">
        <v>74</v>
      </c>
      <c r="CE71" s="2" t="s">
        <v>74</v>
      </c>
      <c r="CF71" s="2" t="s">
        <v>74</v>
      </c>
      <c r="CG71" s="2" t="s">
        <v>74</v>
      </c>
      <c r="CH71" s="2" t="s">
        <v>74</v>
      </c>
      <c r="CI71" s="2" t="s">
        <v>74</v>
      </c>
      <c r="CJ71" s="2" t="s">
        <v>74</v>
      </c>
      <c r="CK71" s="2" t="s">
        <v>74</v>
      </c>
      <c r="CL71" s="2" t="s">
        <v>74</v>
      </c>
      <c r="CM71" s="2" t="s">
        <v>74</v>
      </c>
      <c r="CN71" s="2" t="s">
        <v>74</v>
      </c>
      <c r="CO71" s="2" t="s">
        <v>74</v>
      </c>
      <c r="CP71" s="2" t="s">
        <v>74</v>
      </c>
      <c r="CQ71" s="2" t="s">
        <v>74</v>
      </c>
      <c r="CR71" s="2" t="s">
        <v>74</v>
      </c>
      <c r="CS71" s="2" t="s">
        <v>74</v>
      </c>
      <c r="CT71" s="2" t="s">
        <v>74</v>
      </c>
      <c r="CU71" s="2" t="s">
        <v>74</v>
      </c>
      <c r="CV71" s="2" t="s">
        <v>74</v>
      </c>
      <c r="CW71" s="2" t="s">
        <v>74</v>
      </c>
      <c r="CX71" s="2" t="s">
        <v>74</v>
      </c>
      <c r="CY71" s="2" t="s">
        <v>74</v>
      </c>
    </row>
    <row r="72" spans="1:103" ht="17.399999999999999" x14ac:dyDescent="0.25">
      <c r="A72" s="3" t="s">
        <v>143</v>
      </c>
      <c r="B72" s="4" t="s">
        <v>74</v>
      </c>
      <c r="C72" s="4" t="s">
        <v>74</v>
      </c>
      <c r="D72" s="4" t="s">
        <v>74</v>
      </c>
      <c r="E72" s="4" t="s">
        <v>74</v>
      </c>
      <c r="F72" s="4" t="s">
        <v>74</v>
      </c>
      <c r="G72" s="4" t="s">
        <v>74</v>
      </c>
      <c r="H72" s="4" t="s">
        <v>74</v>
      </c>
      <c r="I72" s="4" t="s">
        <v>74</v>
      </c>
      <c r="J72" s="4" t="s">
        <v>74</v>
      </c>
      <c r="K72" s="4" t="s">
        <v>74</v>
      </c>
      <c r="L72" s="4" t="s">
        <v>74</v>
      </c>
      <c r="M72" s="4" t="s">
        <v>74</v>
      </c>
      <c r="N72" s="4" t="s">
        <v>74</v>
      </c>
      <c r="O72" s="4" t="s">
        <v>74</v>
      </c>
      <c r="P72" s="4" t="s">
        <v>74</v>
      </c>
      <c r="Q72" s="4" t="s">
        <v>74</v>
      </c>
      <c r="R72" s="4" t="s">
        <v>74</v>
      </c>
      <c r="S72" s="4" t="s">
        <v>74</v>
      </c>
      <c r="T72" s="4" t="s">
        <v>74</v>
      </c>
      <c r="U72" s="4" t="s">
        <v>74</v>
      </c>
      <c r="V72" s="4" t="s">
        <v>74</v>
      </c>
      <c r="W72" s="4" t="s">
        <v>74</v>
      </c>
      <c r="X72" s="4" t="s">
        <v>74</v>
      </c>
      <c r="Y72" s="4" t="s">
        <v>74</v>
      </c>
      <c r="Z72" s="4" t="s">
        <v>74</v>
      </c>
      <c r="AA72" s="4" t="s">
        <v>74</v>
      </c>
      <c r="AB72" s="4" t="s">
        <v>74</v>
      </c>
      <c r="AC72" s="4" t="s">
        <v>74</v>
      </c>
      <c r="AD72" s="4" t="s">
        <v>74</v>
      </c>
      <c r="AE72" s="4" t="s">
        <v>74</v>
      </c>
      <c r="AF72" s="4" t="s">
        <v>74</v>
      </c>
      <c r="AG72" s="4" t="s">
        <v>74</v>
      </c>
      <c r="AH72" s="4" t="s">
        <v>74</v>
      </c>
      <c r="AI72" s="4" t="s">
        <v>74</v>
      </c>
      <c r="AJ72" s="4" t="s">
        <v>74</v>
      </c>
      <c r="AK72" s="4" t="s">
        <v>74</v>
      </c>
      <c r="AL72" s="4" t="s">
        <v>74</v>
      </c>
      <c r="AM72" s="4" t="s">
        <v>74</v>
      </c>
      <c r="AN72" s="4" t="s">
        <v>74</v>
      </c>
      <c r="AO72" s="4" t="s">
        <v>74</v>
      </c>
      <c r="AP72" s="4" t="s">
        <v>74</v>
      </c>
      <c r="AQ72" s="4" t="s">
        <v>74</v>
      </c>
      <c r="AR72" s="4" t="s">
        <v>74</v>
      </c>
      <c r="AS72" s="4" t="s">
        <v>74</v>
      </c>
      <c r="AT72" s="4" t="s">
        <v>74</v>
      </c>
      <c r="AU72" s="4" t="s">
        <v>74</v>
      </c>
      <c r="AV72" s="4" t="s">
        <v>74</v>
      </c>
      <c r="AW72" s="4" t="s">
        <v>74</v>
      </c>
      <c r="AX72" s="4" t="s">
        <v>74</v>
      </c>
      <c r="AY72" s="4" t="s">
        <v>74</v>
      </c>
      <c r="AZ72" s="4" t="s">
        <v>74</v>
      </c>
      <c r="BA72" s="4" t="s">
        <v>74</v>
      </c>
      <c r="BB72" s="4" t="s">
        <v>74</v>
      </c>
      <c r="BC72" s="4" t="s">
        <v>74</v>
      </c>
      <c r="BD72" s="4" t="s">
        <v>74</v>
      </c>
      <c r="BE72" s="4" t="s">
        <v>74</v>
      </c>
      <c r="BF72" s="4" t="s">
        <v>74</v>
      </c>
      <c r="BG72" s="4" t="s">
        <v>74</v>
      </c>
      <c r="BH72" s="4" t="s">
        <v>74</v>
      </c>
      <c r="BI72" s="4" t="s">
        <v>74</v>
      </c>
      <c r="BJ72" s="4" t="s">
        <v>74</v>
      </c>
      <c r="BK72" s="4" t="s">
        <v>74</v>
      </c>
      <c r="BL72" s="4" t="s">
        <v>74</v>
      </c>
      <c r="BM72" s="4" t="s">
        <v>74</v>
      </c>
      <c r="BN72" s="4" t="s">
        <v>74</v>
      </c>
      <c r="BO72" s="4" t="s">
        <v>74</v>
      </c>
      <c r="BP72" s="4" t="s">
        <v>74</v>
      </c>
      <c r="BQ72" s="4" t="s">
        <v>74</v>
      </c>
      <c r="BR72" s="4" t="s">
        <v>74</v>
      </c>
      <c r="BS72" s="4" t="s">
        <v>74</v>
      </c>
      <c r="BT72" s="4" t="s">
        <v>74</v>
      </c>
      <c r="BU72" s="4" t="s">
        <v>74</v>
      </c>
      <c r="BV72" s="4" t="s">
        <v>74</v>
      </c>
      <c r="BW72" s="4" t="s">
        <v>74</v>
      </c>
      <c r="BX72" s="4" t="s">
        <v>74</v>
      </c>
      <c r="BY72" s="4" t="s">
        <v>74</v>
      </c>
      <c r="BZ72" s="4">
        <v>15</v>
      </c>
      <c r="CA72" s="4">
        <v>94.42</v>
      </c>
      <c r="CB72" s="4">
        <v>5</v>
      </c>
      <c r="CC72" s="4">
        <v>2793</v>
      </c>
      <c r="CD72" s="4">
        <v>5</v>
      </c>
      <c r="CE72" s="4">
        <v>15945</v>
      </c>
      <c r="CF72" s="4">
        <v>5</v>
      </c>
      <c r="CG72" s="4">
        <v>130.22999999999999</v>
      </c>
      <c r="CH72" s="4">
        <v>10</v>
      </c>
      <c r="CI72" s="4">
        <v>8654.5400000000009</v>
      </c>
      <c r="CJ72" s="4">
        <v>10</v>
      </c>
      <c r="CK72" s="4">
        <v>100</v>
      </c>
      <c r="CL72" s="4">
        <v>0</v>
      </c>
      <c r="CM72" s="4">
        <v>100</v>
      </c>
      <c r="CN72" s="4">
        <v>0</v>
      </c>
      <c r="CO72" s="4">
        <v>100</v>
      </c>
      <c r="CP72" s="4">
        <v>0</v>
      </c>
      <c r="CQ72" s="4">
        <v>100</v>
      </c>
      <c r="CR72" s="4">
        <v>0</v>
      </c>
      <c r="CS72" s="4">
        <v>100</v>
      </c>
      <c r="CT72" s="4">
        <v>0</v>
      </c>
      <c r="CU72" s="4">
        <v>100</v>
      </c>
      <c r="CV72" s="4" t="s">
        <v>74</v>
      </c>
      <c r="CW72" s="4" t="s">
        <v>74</v>
      </c>
      <c r="CX72" s="4" t="s">
        <v>74</v>
      </c>
      <c r="CY72" s="4" t="s">
        <v>74</v>
      </c>
    </row>
    <row r="73" spans="1:103" ht="17.399999999999999" x14ac:dyDescent="0.25">
      <c r="A73" s="1" t="s">
        <v>144</v>
      </c>
      <c r="B73" s="2" t="s">
        <v>74</v>
      </c>
      <c r="C73" s="2" t="s">
        <v>74</v>
      </c>
      <c r="D73" s="2" t="s">
        <v>74</v>
      </c>
      <c r="E73" s="2" t="s">
        <v>74</v>
      </c>
      <c r="F73" s="2" t="s">
        <v>74</v>
      </c>
      <c r="G73" s="2" t="s">
        <v>74</v>
      </c>
      <c r="H73" s="2" t="s">
        <v>74</v>
      </c>
      <c r="I73" s="2" t="s">
        <v>74</v>
      </c>
      <c r="J73" s="2" t="s">
        <v>74</v>
      </c>
      <c r="K73" s="2" t="s">
        <v>74</v>
      </c>
      <c r="L73" s="2" t="s">
        <v>74</v>
      </c>
      <c r="M73" s="2" t="s">
        <v>74</v>
      </c>
      <c r="N73" s="2" t="s">
        <v>74</v>
      </c>
      <c r="O73" s="2" t="s">
        <v>74</v>
      </c>
      <c r="P73" s="2" t="s">
        <v>74</v>
      </c>
      <c r="Q73" s="2" t="s">
        <v>74</v>
      </c>
      <c r="R73" s="2" t="s">
        <v>74</v>
      </c>
      <c r="S73" s="2" t="s">
        <v>74</v>
      </c>
      <c r="T73" s="2" t="s">
        <v>74</v>
      </c>
      <c r="U73" s="2" t="s">
        <v>74</v>
      </c>
      <c r="V73" s="2" t="s">
        <v>74</v>
      </c>
      <c r="W73" s="2" t="s">
        <v>74</v>
      </c>
      <c r="X73" s="2" t="s">
        <v>74</v>
      </c>
      <c r="Y73" s="2" t="s">
        <v>74</v>
      </c>
      <c r="Z73" s="2" t="s">
        <v>74</v>
      </c>
      <c r="AA73" s="2" t="s">
        <v>74</v>
      </c>
      <c r="AB73" s="2" t="s">
        <v>74</v>
      </c>
      <c r="AC73" s="2" t="s">
        <v>74</v>
      </c>
      <c r="AD73" s="2" t="s">
        <v>74</v>
      </c>
      <c r="AE73" s="2" t="s">
        <v>74</v>
      </c>
      <c r="AF73" s="2" t="s">
        <v>74</v>
      </c>
      <c r="AG73" s="2" t="s">
        <v>74</v>
      </c>
      <c r="AH73" s="2" t="s">
        <v>74</v>
      </c>
      <c r="AI73" s="2" t="s">
        <v>74</v>
      </c>
      <c r="AJ73" s="2" t="s">
        <v>74</v>
      </c>
      <c r="AK73" s="2" t="s">
        <v>74</v>
      </c>
      <c r="AL73" s="2" t="s">
        <v>74</v>
      </c>
      <c r="AM73" s="2" t="s">
        <v>74</v>
      </c>
      <c r="AN73" s="2" t="s">
        <v>74</v>
      </c>
      <c r="AO73" s="2" t="s">
        <v>74</v>
      </c>
      <c r="AP73" s="2" t="s">
        <v>74</v>
      </c>
      <c r="AQ73" s="2" t="s">
        <v>74</v>
      </c>
      <c r="AR73" s="2" t="s">
        <v>74</v>
      </c>
      <c r="AS73" s="2" t="s">
        <v>74</v>
      </c>
      <c r="AT73" s="2" t="s">
        <v>74</v>
      </c>
      <c r="AU73" s="2" t="s">
        <v>74</v>
      </c>
      <c r="AV73" s="2" t="s">
        <v>74</v>
      </c>
      <c r="AW73" s="2" t="s">
        <v>74</v>
      </c>
      <c r="AX73" s="2" t="s">
        <v>74</v>
      </c>
      <c r="AY73" s="2" t="s">
        <v>74</v>
      </c>
      <c r="AZ73" s="2" t="s">
        <v>74</v>
      </c>
      <c r="BA73" s="2" t="s">
        <v>74</v>
      </c>
      <c r="BB73" s="2" t="s">
        <v>74</v>
      </c>
      <c r="BC73" s="2" t="s">
        <v>74</v>
      </c>
      <c r="BD73" s="2" t="s">
        <v>74</v>
      </c>
      <c r="BE73" s="2" t="s">
        <v>74</v>
      </c>
      <c r="BF73" s="2" t="s">
        <v>74</v>
      </c>
      <c r="BG73" s="2" t="s">
        <v>74</v>
      </c>
      <c r="BH73" s="2" t="s">
        <v>74</v>
      </c>
      <c r="BI73" s="2" t="s">
        <v>74</v>
      </c>
      <c r="BJ73" s="2" t="s">
        <v>74</v>
      </c>
      <c r="BK73" s="2" t="s">
        <v>74</v>
      </c>
      <c r="BL73" s="2" t="s">
        <v>74</v>
      </c>
      <c r="BM73" s="2" t="s">
        <v>74</v>
      </c>
      <c r="BN73" s="2" t="s">
        <v>74</v>
      </c>
      <c r="BO73" s="2" t="s">
        <v>74</v>
      </c>
      <c r="BP73" s="2" t="s">
        <v>74</v>
      </c>
      <c r="BQ73" s="2" t="s">
        <v>74</v>
      </c>
      <c r="BR73" s="2" t="s">
        <v>74</v>
      </c>
      <c r="BS73" s="2" t="s">
        <v>74</v>
      </c>
      <c r="BT73" s="2" t="s">
        <v>74</v>
      </c>
      <c r="BU73" s="2" t="s">
        <v>74</v>
      </c>
      <c r="BV73" s="2" t="s">
        <v>74</v>
      </c>
      <c r="BW73" s="2" t="s">
        <v>74</v>
      </c>
      <c r="BX73" s="2" t="s">
        <v>74</v>
      </c>
      <c r="BY73" s="2" t="s">
        <v>74</v>
      </c>
      <c r="BZ73" s="2">
        <v>15</v>
      </c>
      <c r="CA73" s="2">
        <v>94.42</v>
      </c>
      <c r="CB73" s="2">
        <v>5</v>
      </c>
      <c r="CC73" s="2">
        <v>2793</v>
      </c>
      <c r="CD73" s="2">
        <v>5</v>
      </c>
      <c r="CE73" s="2">
        <v>15945</v>
      </c>
      <c r="CF73" s="2">
        <v>5</v>
      </c>
      <c r="CG73" s="2">
        <v>130.22999999999999</v>
      </c>
      <c r="CH73" s="2">
        <v>10</v>
      </c>
      <c r="CI73" s="2">
        <v>8654.5400000000009</v>
      </c>
      <c r="CJ73" s="2">
        <v>10</v>
      </c>
      <c r="CK73" s="2">
        <v>100</v>
      </c>
      <c r="CL73" s="2">
        <v>0</v>
      </c>
      <c r="CM73" s="2">
        <v>100</v>
      </c>
      <c r="CN73" s="2">
        <v>0</v>
      </c>
      <c r="CO73" s="2">
        <v>100</v>
      </c>
      <c r="CP73" s="2">
        <v>0</v>
      </c>
      <c r="CQ73" s="2">
        <v>100</v>
      </c>
      <c r="CR73" s="2">
        <v>0</v>
      </c>
      <c r="CS73" s="2">
        <v>100</v>
      </c>
      <c r="CT73" s="2">
        <v>0</v>
      </c>
      <c r="CU73" s="2">
        <v>100</v>
      </c>
      <c r="CV73" s="2" t="s">
        <v>74</v>
      </c>
      <c r="CW73" s="2" t="s">
        <v>74</v>
      </c>
      <c r="CX73" s="2" t="s">
        <v>74</v>
      </c>
      <c r="CY73" s="2" t="s">
        <v>74</v>
      </c>
    </row>
    <row r="74" spans="1:103" ht="17.399999999999999" x14ac:dyDescent="0.25">
      <c r="A74" s="3" t="s">
        <v>145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 t="s">
        <v>74</v>
      </c>
      <c r="I74" s="4" t="s">
        <v>74</v>
      </c>
      <c r="J74" s="4" t="s">
        <v>74</v>
      </c>
      <c r="K74" s="4" t="s">
        <v>74</v>
      </c>
      <c r="L74" s="4" t="s">
        <v>74</v>
      </c>
      <c r="M74" s="4" t="s">
        <v>74</v>
      </c>
      <c r="N74" s="4">
        <v>0</v>
      </c>
      <c r="O74" s="4">
        <v>95</v>
      </c>
      <c r="P74" s="4">
        <v>0</v>
      </c>
      <c r="Q74" s="4">
        <v>0</v>
      </c>
      <c r="R74" s="4" t="s">
        <v>74</v>
      </c>
      <c r="S74" s="4" t="s">
        <v>74</v>
      </c>
      <c r="T74" s="4" t="s">
        <v>74</v>
      </c>
      <c r="U74" s="4" t="s">
        <v>74</v>
      </c>
      <c r="V74" s="4" t="s">
        <v>74</v>
      </c>
      <c r="W74" s="4" t="s">
        <v>74</v>
      </c>
      <c r="X74" s="4" t="s">
        <v>74</v>
      </c>
      <c r="Y74" s="4" t="s">
        <v>74</v>
      </c>
      <c r="Z74" s="4" t="s">
        <v>74</v>
      </c>
      <c r="AA74" s="4" t="s">
        <v>74</v>
      </c>
      <c r="AB74" s="4" t="s">
        <v>74</v>
      </c>
      <c r="AC74" s="4" t="s">
        <v>74</v>
      </c>
      <c r="AD74" s="4" t="s">
        <v>74</v>
      </c>
      <c r="AE74" s="4" t="s">
        <v>74</v>
      </c>
      <c r="AF74" s="4">
        <v>0</v>
      </c>
      <c r="AG74" s="4">
        <v>269.77999999999997</v>
      </c>
      <c r="AH74" s="4" t="s">
        <v>74</v>
      </c>
      <c r="AI74" s="4" t="s">
        <v>74</v>
      </c>
      <c r="AJ74" s="4">
        <v>10</v>
      </c>
      <c r="AK74" s="4">
        <v>15945</v>
      </c>
      <c r="AL74" s="4">
        <v>3</v>
      </c>
      <c r="AM74" s="4">
        <v>95</v>
      </c>
      <c r="AN74" s="4" t="s">
        <v>74</v>
      </c>
      <c r="AO74" s="4" t="s">
        <v>74</v>
      </c>
      <c r="AP74" s="4" t="s">
        <v>74</v>
      </c>
      <c r="AQ74" s="4" t="s">
        <v>74</v>
      </c>
      <c r="AR74" s="4">
        <v>0</v>
      </c>
      <c r="AS74" s="4">
        <v>269.77999999999997</v>
      </c>
      <c r="AT74" s="4" t="s">
        <v>74</v>
      </c>
      <c r="AU74" s="4" t="s">
        <v>74</v>
      </c>
      <c r="AV74" s="4">
        <v>5</v>
      </c>
      <c r="AW74" s="4">
        <v>95</v>
      </c>
      <c r="AX74" s="4" t="s">
        <v>74</v>
      </c>
      <c r="AY74" s="4" t="s">
        <v>74</v>
      </c>
      <c r="AZ74" s="4">
        <v>5</v>
      </c>
      <c r="BA74" s="4">
        <v>95</v>
      </c>
      <c r="BB74" s="4">
        <v>5</v>
      </c>
      <c r="BC74" s="4">
        <v>95</v>
      </c>
      <c r="BD74" s="4">
        <v>4</v>
      </c>
      <c r="BE74" s="4">
        <v>95</v>
      </c>
      <c r="BF74" s="4" t="s">
        <v>74</v>
      </c>
      <c r="BG74" s="4" t="s">
        <v>74</v>
      </c>
      <c r="BH74" s="4" t="s">
        <v>74</v>
      </c>
      <c r="BI74" s="4" t="s">
        <v>74</v>
      </c>
      <c r="BJ74" s="4" t="s">
        <v>74</v>
      </c>
      <c r="BK74" s="4" t="s">
        <v>74</v>
      </c>
      <c r="BL74" s="4" t="s">
        <v>74</v>
      </c>
      <c r="BM74" s="4" t="s">
        <v>74</v>
      </c>
      <c r="BN74" s="4" t="s">
        <v>74</v>
      </c>
      <c r="BO74" s="4" t="s">
        <v>74</v>
      </c>
      <c r="BP74" s="4">
        <v>20</v>
      </c>
      <c r="BQ74" s="4">
        <v>130.22999999999999</v>
      </c>
      <c r="BR74" s="4">
        <v>0</v>
      </c>
      <c r="BS74" s="4">
        <v>0</v>
      </c>
      <c r="BT74" s="4">
        <v>8</v>
      </c>
      <c r="BU74" s="4">
        <v>2.74</v>
      </c>
      <c r="BV74" s="4" t="s">
        <v>74</v>
      </c>
      <c r="BW74" s="4" t="s">
        <v>74</v>
      </c>
      <c r="BX74" s="4">
        <v>40</v>
      </c>
      <c r="BY74" s="4">
        <v>64.459999999999994</v>
      </c>
      <c r="BZ74" s="4" t="s">
        <v>74</v>
      </c>
      <c r="CA74" s="4" t="s">
        <v>74</v>
      </c>
      <c r="CB74" s="4" t="s">
        <v>74</v>
      </c>
      <c r="CC74" s="4" t="s">
        <v>74</v>
      </c>
      <c r="CD74" s="4" t="s">
        <v>74</v>
      </c>
      <c r="CE74" s="4" t="s">
        <v>74</v>
      </c>
      <c r="CF74" s="4" t="s">
        <v>74</v>
      </c>
      <c r="CG74" s="4" t="s">
        <v>74</v>
      </c>
      <c r="CH74" s="4" t="s">
        <v>74</v>
      </c>
      <c r="CI74" s="4" t="s">
        <v>74</v>
      </c>
      <c r="CJ74" s="4" t="s">
        <v>74</v>
      </c>
      <c r="CK74" s="4" t="s">
        <v>74</v>
      </c>
      <c r="CL74" s="4" t="s">
        <v>74</v>
      </c>
      <c r="CM74" s="4" t="s">
        <v>74</v>
      </c>
      <c r="CN74" s="4" t="s">
        <v>74</v>
      </c>
      <c r="CO74" s="4" t="s">
        <v>74</v>
      </c>
      <c r="CP74" s="4" t="s">
        <v>74</v>
      </c>
      <c r="CQ74" s="4" t="s">
        <v>74</v>
      </c>
      <c r="CR74" s="4" t="s">
        <v>74</v>
      </c>
      <c r="CS74" s="4" t="s">
        <v>74</v>
      </c>
      <c r="CT74" s="4" t="s">
        <v>74</v>
      </c>
      <c r="CU74" s="4" t="s">
        <v>74</v>
      </c>
      <c r="CV74" s="4" t="s">
        <v>74</v>
      </c>
      <c r="CW74" s="4" t="s">
        <v>74</v>
      </c>
      <c r="CX74" s="4" t="s">
        <v>74</v>
      </c>
      <c r="CY74" s="4" t="s">
        <v>74</v>
      </c>
    </row>
    <row r="75" spans="1:103" ht="34.799999999999997" x14ac:dyDescent="0.25">
      <c r="A75" s="1" t="s">
        <v>146</v>
      </c>
      <c r="B75" s="2" t="s">
        <v>74</v>
      </c>
      <c r="C75" s="2" t="s">
        <v>74</v>
      </c>
      <c r="D75" s="2" t="s">
        <v>74</v>
      </c>
      <c r="E75" s="2" t="s">
        <v>74</v>
      </c>
      <c r="F75" s="2" t="s">
        <v>74</v>
      </c>
      <c r="G75" s="2" t="s">
        <v>74</v>
      </c>
      <c r="H75" s="2" t="s">
        <v>74</v>
      </c>
      <c r="I75" s="2" t="s">
        <v>74</v>
      </c>
      <c r="J75" s="2" t="s">
        <v>74</v>
      </c>
      <c r="K75" s="2" t="s">
        <v>74</v>
      </c>
      <c r="L75" s="2" t="s">
        <v>74</v>
      </c>
      <c r="M75" s="2" t="s">
        <v>74</v>
      </c>
      <c r="N75" s="2" t="s">
        <v>74</v>
      </c>
      <c r="O75" s="2" t="s">
        <v>74</v>
      </c>
      <c r="P75" s="2" t="s">
        <v>74</v>
      </c>
      <c r="Q75" s="2" t="s">
        <v>74</v>
      </c>
      <c r="R75" s="2" t="s">
        <v>74</v>
      </c>
      <c r="S75" s="2" t="s">
        <v>74</v>
      </c>
      <c r="T75" s="2" t="s">
        <v>74</v>
      </c>
      <c r="U75" s="2" t="s">
        <v>74</v>
      </c>
      <c r="V75" s="2" t="s">
        <v>74</v>
      </c>
      <c r="W75" s="2" t="s">
        <v>74</v>
      </c>
      <c r="X75" s="2" t="s">
        <v>74</v>
      </c>
      <c r="Y75" s="2" t="s">
        <v>74</v>
      </c>
      <c r="Z75" s="2" t="s">
        <v>74</v>
      </c>
      <c r="AA75" s="2" t="s">
        <v>74</v>
      </c>
      <c r="AB75" s="2" t="s">
        <v>74</v>
      </c>
      <c r="AC75" s="2" t="s">
        <v>74</v>
      </c>
      <c r="AD75" s="2" t="s">
        <v>74</v>
      </c>
      <c r="AE75" s="2" t="s">
        <v>74</v>
      </c>
      <c r="AF75" s="2" t="s">
        <v>74</v>
      </c>
      <c r="AG75" s="2" t="s">
        <v>74</v>
      </c>
      <c r="AH75" s="2" t="s">
        <v>74</v>
      </c>
      <c r="AI75" s="2" t="s">
        <v>74</v>
      </c>
      <c r="AJ75" s="2" t="s">
        <v>74</v>
      </c>
      <c r="AK75" s="2" t="s">
        <v>74</v>
      </c>
      <c r="AL75" s="2" t="s">
        <v>74</v>
      </c>
      <c r="AM75" s="2" t="s">
        <v>74</v>
      </c>
      <c r="AN75" s="2" t="s">
        <v>74</v>
      </c>
      <c r="AO75" s="2" t="s">
        <v>74</v>
      </c>
      <c r="AP75" s="2" t="s">
        <v>74</v>
      </c>
      <c r="AQ75" s="2" t="s">
        <v>74</v>
      </c>
      <c r="AR75" s="2" t="s">
        <v>74</v>
      </c>
      <c r="AS75" s="2" t="s">
        <v>74</v>
      </c>
      <c r="AT75" s="2" t="s">
        <v>74</v>
      </c>
      <c r="AU75" s="2" t="s">
        <v>74</v>
      </c>
      <c r="AV75" s="2" t="s">
        <v>74</v>
      </c>
      <c r="AW75" s="2" t="s">
        <v>74</v>
      </c>
      <c r="AX75" s="2" t="s">
        <v>74</v>
      </c>
      <c r="AY75" s="2" t="s">
        <v>74</v>
      </c>
      <c r="AZ75" s="2" t="s">
        <v>74</v>
      </c>
      <c r="BA75" s="2" t="s">
        <v>74</v>
      </c>
      <c r="BB75" s="2" t="s">
        <v>74</v>
      </c>
      <c r="BC75" s="2" t="s">
        <v>74</v>
      </c>
      <c r="BD75" s="2" t="s">
        <v>74</v>
      </c>
      <c r="BE75" s="2" t="s">
        <v>74</v>
      </c>
      <c r="BF75" s="2" t="s">
        <v>74</v>
      </c>
      <c r="BG75" s="2" t="s">
        <v>74</v>
      </c>
      <c r="BH75" s="2" t="s">
        <v>74</v>
      </c>
      <c r="BI75" s="2" t="s">
        <v>74</v>
      </c>
      <c r="BJ75" s="2" t="s">
        <v>74</v>
      </c>
      <c r="BK75" s="2" t="s">
        <v>74</v>
      </c>
      <c r="BL75" s="2" t="s">
        <v>74</v>
      </c>
      <c r="BM75" s="2" t="s">
        <v>74</v>
      </c>
      <c r="BN75" s="2" t="s">
        <v>74</v>
      </c>
      <c r="BO75" s="2" t="s">
        <v>74</v>
      </c>
      <c r="BP75" s="2" t="s">
        <v>74</v>
      </c>
      <c r="BQ75" s="2" t="s">
        <v>74</v>
      </c>
      <c r="BR75" s="2" t="s">
        <v>74</v>
      </c>
      <c r="BS75" s="2" t="s">
        <v>74</v>
      </c>
      <c r="BT75" s="2" t="s">
        <v>74</v>
      </c>
      <c r="BU75" s="2" t="s">
        <v>74</v>
      </c>
      <c r="BV75" s="2" t="s">
        <v>74</v>
      </c>
      <c r="BW75" s="2" t="s">
        <v>74</v>
      </c>
      <c r="BX75" s="2" t="s">
        <v>74</v>
      </c>
      <c r="BY75" s="2" t="s">
        <v>74</v>
      </c>
      <c r="BZ75" s="2">
        <v>15</v>
      </c>
      <c r="CA75" s="2">
        <v>94.42</v>
      </c>
      <c r="CB75" s="2">
        <v>5</v>
      </c>
      <c r="CC75" s="2">
        <v>2793</v>
      </c>
      <c r="CD75" s="2">
        <v>5</v>
      </c>
      <c r="CE75" s="2">
        <v>15945</v>
      </c>
      <c r="CF75" s="2">
        <v>5</v>
      </c>
      <c r="CG75" s="2">
        <v>130.22999999999999</v>
      </c>
      <c r="CH75" s="2">
        <v>10</v>
      </c>
      <c r="CI75" s="2">
        <v>8654.5400000000009</v>
      </c>
      <c r="CJ75" s="2">
        <v>10</v>
      </c>
      <c r="CK75" s="2">
        <v>100</v>
      </c>
      <c r="CL75" s="2">
        <v>0</v>
      </c>
      <c r="CM75" s="2">
        <v>100</v>
      </c>
      <c r="CN75" s="2">
        <v>0</v>
      </c>
      <c r="CO75" s="2">
        <v>100</v>
      </c>
      <c r="CP75" s="2">
        <v>0</v>
      </c>
      <c r="CQ75" s="2">
        <v>100</v>
      </c>
      <c r="CR75" s="2">
        <v>0</v>
      </c>
      <c r="CS75" s="2">
        <v>100</v>
      </c>
      <c r="CT75" s="2">
        <v>0</v>
      </c>
      <c r="CU75" s="2">
        <v>100</v>
      </c>
      <c r="CV75" s="2" t="s">
        <v>74</v>
      </c>
      <c r="CW75" s="2" t="s">
        <v>74</v>
      </c>
      <c r="CX75" s="2" t="s">
        <v>74</v>
      </c>
      <c r="CY75" s="2" t="s">
        <v>74</v>
      </c>
    </row>
    <row r="76" spans="1:103" ht="17.399999999999999" x14ac:dyDescent="0.25">
      <c r="A76" s="3" t="s">
        <v>147</v>
      </c>
      <c r="B76" s="4">
        <v>0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 t="s">
        <v>74</v>
      </c>
      <c r="I76" s="4" t="s">
        <v>74</v>
      </c>
      <c r="J76" s="4" t="s">
        <v>74</v>
      </c>
      <c r="K76" s="4" t="s">
        <v>74</v>
      </c>
      <c r="L76" s="4">
        <v>3</v>
      </c>
      <c r="M76" s="4">
        <v>39554.53</v>
      </c>
      <c r="N76" s="4">
        <v>0</v>
      </c>
      <c r="O76" s="4">
        <v>95</v>
      </c>
      <c r="P76" s="4">
        <v>0</v>
      </c>
      <c r="Q76" s="4">
        <v>0</v>
      </c>
      <c r="R76" s="4" t="s">
        <v>74</v>
      </c>
      <c r="S76" s="4" t="s">
        <v>74</v>
      </c>
      <c r="T76" s="4">
        <v>3</v>
      </c>
      <c r="U76" s="4">
        <v>34.869999999999997</v>
      </c>
      <c r="V76" s="4" t="s">
        <v>74</v>
      </c>
      <c r="W76" s="4" t="s">
        <v>74</v>
      </c>
      <c r="X76" s="4" t="s">
        <v>74</v>
      </c>
      <c r="Y76" s="4" t="s">
        <v>74</v>
      </c>
      <c r="Z76" s="4" t="s">
        <v>74</v>
      </c>
      <c r="AA76" s="4" t="s">
        <v>74</v>
      </c>
      <c r="AB76" s="4" t="s">
        <v>74</v>
      </c>
      <c r="AC76" s="4" t="s">
        <v>74</v>
      </c>
      <c r="AD76" s="4" t="s">
        <v>74</v>
      </c>
      <c r="AE76" s="4" t="s">
        <v>74</v>
      </c>
      <c r="AF76" s="4">
        <v>2</v>
      </c>
      <c r="AG76" s="4">
        <v>291.95999999999998</v>
      </c>
      <c r="AH76" s="4">
        <v>6</v>
      </c>
      <c r="AI76" s="4">
        <v>76</v>
      </c>
      <c r="AJ76" s="4">
        <v>6</v>
      </c>
      <c r="AK76" s="4">
        <v>233</v>
      </c>
      <c r="AL76" s="4">
        <v>3</v>
      </c>
      <c r="AM76" s="4">
        <v>95</v>
      </c>
      <c r="AN76" s="4">
        <v>3</v>
      </c>
      <c r="AO76" s="4">
        <v>12.42</v>
      </c>
      <c r="AP76" s="4">
        <v>3</v>
      </c>
      <c r="AQ76" s="4">
        <v>2.0499999999999998</v>
      </c>
      <c r="AR76" s="4">
        <v>2</v>
      </c>
      <c r="AS76" s="4">
        <v>291.95999999999998</v>
      </c>
      <c r="AT76" s="4">
        <v>1.5</v>
      </c>
      <c r="AU76" s="4">
        <v>15250.79</v>
      </c>
      <c r="AV76" s="4">
        <v>5</v>
      </c>
      <c r="AW76" s="4">
        <v>95</v>
      </c>
      <c r="AX76" s="4">
        <v>5</v>
      </c>
      <c r="AY76" s="4">
        <v>95</v>
      </c>
      <c r="AZ76" s="4">
        <v>4</v>
      </c>
      <c r="BA76" s="4">
        <v>95</v>
      </c>
      <c r="BB76" s="4">
        <v>3</v>
      </c>
      <c r="BC76" s="4">
        <v>95</v>
      </c>
      <c r="BD76" s="4">
        <v>4</v>
      </c>
      <c r="BE76" s="4">
        <v>95</v>
      </c>
      <c r="BF76" s="4">
        <v>12.5</v>
      </c>
      <c r="BG76" s="4">
        <v>6793.56</v>
      </c>
      <c r="BH76" s="4">
        <v>7</v>
      </c>
      <c r="BI76" s="4">
        <v>6.77</v>
      </c>
      <c r="BJ76" s="4">
        <v>7</v>
      </c>
      <c r="BK76" s="4">
        <v>42.27</v>
      </c>
      <c r="BL76" s="4">
        <v>20</v>
      </c>
      <c r="BM76" s="4">
        <v>69.61</v>
      </c>
      <c r="BN76" s="4" t="s">
        <v>74</v>
      </c>
      <c r="BO76" s="4" t="s">
        <v>74</v>
      </c>
      <c r="BP76" s="4" t="s">
        <v>74</v>
      </c>
      <c r="BQ76" s="4" t="s">
        <v>74</v>
      </c>
      <c r="BR76" s="4">
        <v>0</v>
      </c>
      <c r="BS76" s="4">
        <v>0</v>
      </c>
      <c r="BT76" s="4" t="s">
        <v>74</v>
      </c>
      <c r="BU76" s="4" t="s">
        <v>74</v>
      </c>
      <c r="BV76" s="4" t="s">
        <v>74</v>
      </c>
      <c r="BW76" s="4" t="s">
        <v>74</v>
      </c>
      <c r="BX76" s="4" t="s">
        <v>74</v>
      </c>
      <c r="BY76" s="4" t="s">
        <v>74</v>
      </c>
      <c r="BZ76" s="4" t="s">
        <v>74</v>
      </c>
      <c r="CA76" s="4" t="s">
        <v>74</v>
      </c>
      <c r="CB76" s="4" t="s">
        <v>74</v>
      </c>
      <c r="CC76" s="4" t="s">
        <v>74</v>
      </c>
      <c r="CD76" s="4" t="s">
        <v>74</v>
      </c>
      <c r="CE76" s="4" t="s">
        <v>74</v>
      </c>
      <c r="CF76" s="4" t="s">
        <v>74</v>
      </c>
      <c r="CG76" s="4" t="s">
        <v>74</v>
      </c>
      <c r="CH76" s="4" t="s">
        <v>74</v>
      </c>
      <c r="CI76" s="4" t="s">
        <v>74</v>
      </c>
      <c r="CJ76" s="4" t="s">
        <v>74</v>
      </c>
      <c r="CK76" s="4" t="s">
        <v>74</v>
      </c>
      <c r="CL76" s="4" t="s">
        <v>74</v>
      </c>
      <c r="CM76" s="4" t="s">
        <v>74</v>
      </c>
      <c r="CN76" s="4" t="s">
        <v>74</v>
      </c>
      <c r="CO76" s="4" t="s">
        <v>74</v>
      </c>
      <c r="CP76" s="4" t="s">
        <v>74</v>
      </c>
      <c r="CQ76" s="4" t="s">
        <v>74</v>
      </c>
      <c r="CR76" s="4" t="s">
        <v>74</v>
      </c>
      <c r="CS76" s="4" t="s">
        <v>74</v>
      </c>
      <c r="CT76" s="4" t="s">
        <v>74</v>
      </c>
      <c r="CU76" s="4" t="s">
        <v>74</v>
      </c>
      <c r="CV76" s="4" t="s">
        <v>74</v>
      </c>
      <c r="CW76" s="4" t="s">
        <v>74</v>
      </c>
      <c r="CX76" s="4" t="s">
        <v>74</v>
      </c>
      <c r="CY76" s="4" t="s">
        <v>74</v>
      </c>
    </row>
    <row r="77" spans="1:103" ht="17.399999999999999" x14ac:dyDescent="0.25">
      <c r="A77" s="1" t="s">
        <v>148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 t="s">
        <v>74</v>
      </c>
      <c r="I77" s="2" t="s">
        <v>74</v>
      </c>
      <c r="J77" s="2" t="s">
        <v>74</v>
      </c>
      <c r="K77" s="2" t="s">
        <v>74</v>
      </c>
      <c r="L77" s="2">
        <v>3</v>
      </c>
      <c r="M77" s="2">
        <v>28292.92</v>
      </c>
      <c r="N77" s="2">
        <v>0</v>
      </c>
      <c r="O77" s="2">
        <v>95</v>
      </c>
      <c r="P77" s="2">
        <v>0</v>
      </c>
      <c r="Q77" s="2">
        <v>0</v>
      </c>
      <c r="R77" s="2" t="s">
        <v>74</v>
      </c>
      <c r="S77" s="2" t="s">
        <v>74</v>
      </c>
      <c r="T77" s="2">
        <v>2</v>
      </c>
      <c r="U77" s="2">
        <v>15.57</v>
      </c>
      <c r="V77" s="2" t="s">
        <v>74</v>
      </c>
      <c r="W77" s="2" t="s">
        <v>74</v>
      </c>
      <c r="X77" s="2" t="s">
        <v>74</v>
      </c>
      <c r="Y77" s="2" t="s">
        <v>74</v>
      </c>
      <c r="Z77" s="2" t="s">
        <v>74</v>
      </c>
      <c r="AA77" s="2" t="s">
        <v>74</v>
      </c>
      <c r="AB77" s="2" t="s">
        <v>74</v>
      </c>
      <c r="AC77" s="2" t="s">
        <v>74</v>
      </c>
      <c r="AD77" s="2" t="s">
        <v>74</v>
      </c>
      <c r="AE77" s="2" t="s">
        <v>74</v>
      </c>
      <c r="AF77" s="2" t="s">
        <v>74</v>
      </c>
      <c r="AG77" s="2" t="s">
        <v>74</v>
      </c>
      <c r="AH77" s="2">
        <v>10</v>
      </c>
      <c r="AI77" s="2">
        <v>37</v>
      </c>
      <c r="AJ77" s="2" t="s">
        <v>74</v>
      </c>
      <c r="AK77" s="2" t="s">
        <v>74</v>
      </c>
      <c r="AL77" s="2">
        <v>2</v>
      </c>
      <c r="AM77" s="2">
        <v>95</v>
      </c>
      <c r="AN77" s="2">
        <v>2</v>
      </c>
      <c r="AO77" s="2">
        <v>10.83</v>
      </c>
      <c r="AP77" s="2">
        <v>3</v>
      </c>
      <c r="AQ77" s="2">
        <v>2.1800000000000002</v>
      </c>
      <c r="AR77" s="2" t="s">
        <v>74</v>
      </c>
      <c r="AS77" s="2" t="s">
        <v>74</v>
      </c>
      <c r="AT77" s="2">
        <v>3</v>
      </c>
      <c r="AU77" s="2">
        <v>14071.27</v>
      </c>
      <c r="AV77" s="2">
        <v>5</v>
      </c>
      <c r="AW77" s="2">
        <v>95</v>
      </c>
      <c r="AX77" s="2">
        <v>5</v>
      </c>
      <c r="AY77" s="2">
        <v>95</v>
      </c>
      <c r="AZ77" s="2">
        <v>4</v>
      </c>
      <c r="BA77" s="2">
        <v>95</v>
      </c>
      <c r="BB77" s="2">
        <v>3</v>
      </c>
      <c r="BC77" s="2">
        <v>95</v>
      </c>
      <c r="BD77" s="2">
        <v>3</v>
      </c>
      <c r="BE77" s="2">
        <v>95</v>
      </c>
      <c r="BF77" s="2">
        <v>12</v>
      </c>
      <c r="BG77" s="2">
        <v>7791.31</v>
      </c>
      <c r="BH77" s="2" t="s">
        <v>74</v>
      </c>
      <c r="BI77" s="2" t="s">
        <v>74</v>
      </c>
      <c r="BJ77" s="2">
        <v>5</v>
      </c>
      <c r="BK77" s="2">
        <v>31.71</v>
      </c>
      <c r="BL77" s="2" t="s">
        <v>74</v>
      </c>
      <c r="BM77" s="2" t="s">
        <v>74</v>
      </c>
      <c r="BN77" s="2" t="s">
        <v>74</v>
      </c>
      <c r="BO77" s="2" t="s">
        <v>74</v>
      </c>
      <c r="BP77" s="2">
        <v>8</v>
      </c>
      <c r="BQ77" s="2">
        <v>641.19000000000005</v>
      </c>
      <c r="BR77" s="2">
        <v>0</v>
      </c>
      <c r="BS77" s="2">
        <v>0</v>
      </c>
      <c r="BT77" s="2">
        <v>5</v>
      </c>
      <c r="BU77" s="2">
        <v>24.55</v>
      </c>
      <c r="BV77" s="2" t="s">
        <v>74</v>
      </c>
      <c r="BW77" s="2" t="s">
        <v>74</v>
      </c>
      <c r="BX77" s="2">
        <v>25</v>
      </c>
      <c r="BY77" s="2">
        <v>75.08</v>
      </c>
      <c r="BZ77" s="2" t="s">
        <v>74</v>
      </c>
      <c r="CA77" s="2" t="s">
        <v>74</v>
      </c>
      <c r="CB77" s="2" t="s">
        <v>74</v>
      </c>
      <c r="CC77" s="2" t="s">
        <v>74</v>
      </c>
      <c r="CD77" s="2" t="s">
        <v>74</v>
      </c>
      <c r="CE77" s="2" t="s">
        <v>74</v>
      </c>
      <c r="CF77" s="2" t="s">
        <v>74</v>
      </c>
      <c r="CG77" s="2" t="s">
        <v>74</v>
      </c>
      <c r="CH77" s="2" t="s">
        <v>74</v>
      </c>
      <c r="CI77" s="2" t="s">
        <v>74</v>
      </c>
      <c r="CJ77" s="2" t="s">
        <v>74</v>
      </c>
      <c r="CK77" s="2" t="s">
        <v>74</v>
      </c>
      <c r="CL77" s="2" t="s">
        <v>74</v>
      </c>
      <c r="CM77" s="2" t="s">
        <v>74</v>
      </c>
      <c r="CN77" s="2" t="s">
        <v>74</v>
      </c>
      <c r="CO77" s="2" t="s">
        <v>74</v>
      </c>
      <c r="CP77" s="2" t="s">
        <v>74</v>
      </c>
      <c r="CQ77" s="2" t="s">
        <v>74</v>
      </c>
      <c r="CR77" s="2" t="s">
        <v>74</v>
      </c>
      <c r="CS77" s="2" t="s">
        <v>74</v>
      </c>
      <c r="CT77" s="2" t="s">
        <v>74</v>
      </c>
      <c r="CU77" s="2" t="s">
        <v>74</v>
      </c>
      <c r="CV77" s="2" t="s">
        <v>74</v>
      </c>
      <c r="CW77" s="2" t="s">
        <v>74</v>
      </c>
      <c r="CX77" s="2" t="s">
        <v>74</v>
      </c>
      <c r="CY77" s="2" t="s">
        <v>74</v>
      </c>
    </row>
    <row r="78" spans="1:103" ht="34.799999999999997" x14ac:dyDescent="0.25">
      <c r="A78" s="3" t="s">
        <v>149</v>
      </c>
      <c r="B78" s="4">
        <v>0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 t="s">
        <v>74</v>
      </c>
      <c r="I78" s="4" t="s">
        <v>74</v>
      </c>
      <c r="J78" s="4" t="s">
        <v>74</v>
      </c>
      <c r="K78" s="4" t="s">
        <v>74</v>
      </c>
      <c r="L78" s="4">
        <v>3</v>
      </c>
      <c r="M78" s="4">
        <v>24570.21</v>
      </c>
      <c r="N78" s="4">
        <v>0</v>
      </c>
      <c r="O78" s="4">
        <v>95</v>
      </c>
      <c r="P78" s="4">
        <v>0</v>
      </c>
      <c r="Q78" s="4">
        <v>0</v>
      </c>
      <c r="R78" s="4" t="s">
        <v>74</v>
      </c>
      <c r="S78" s="4" t="s">
        <v>74</v>
      </c>
      <c r="T78" s="4">
        <v>3</v>
      </c>
      <c r="U78" s="4">
        <v>60</v>
      </c>
      <c r="V78" s="4" t="s">
        <v>74</v>
      </c>
      <c r="W78" s="4" t="s">
        <v>74</v>
      </c>
      <c r="X78" s="4" t="s">
        <v>74</v>
      </c>
      <c r="Y78" s="4" t="s">
        <v>74</v>
      </c>
      <c r="Z78" s="4" t="s">
        <v>74</v>
      </c>
      <c r="AA78" s="4" t="s">
        <v>74</v>
      </c>
      <c r="AB78" s="4" t="s">
        <v>74</v>
      </c>
      <c r="AC78" s="4" t="s">
        <v>74</v>
      </c>
      <c r="AD78" s="4" t="s">
        <v>74</v>
      </c>
      <c r="AE78" s="4" t="s">
        <v>74</v>
      </c>
      <c r="AF78" s="4">
        <v>2</v>
      </c>
      <c r="AG78" s="4">
        <v>138.03</v>
      </c>
      <c r="AH78" s="4">
        <v>6</v>
      </c>
      <c r="AI78" s="4">
        <v>106</v>
      </c>
      <c r="AJ78" s="4">
        <v>6</v>
      </c>
      <c r="AK78" s="4">
        <v>294</v>
      </c>
      <c r="AL78" s="4">
        <v>3</v>
      </c>
      <c r="AM78" s="4">
        <v>95</v>
      </c>
      <c r="AN78" s="4">
        <v>3</v>
      </c>
      <c r="AO78" s="4">
        <v>10.039999999999999</v>
      </c>
      <c r="AP78" s="4">
        <v>3</v>
      </c>
      <c r="AQ78" s="4">
        <v>2.2999999999999998</v>
      </c>
      <c r="AR78" s="4">
        <v>2</v>
      </c>
      <c r="AS78" s="4">
        <v>138.03</v>
      </c>
      <c r="AT78" s="4">
        <v>1.5</v>
      </c>
      <c r="AU78" s="4">
        <v>8928.0499999999993</v>
      </c>
      <c r="AV78" s="4">
        <v>5</v>
      </c>
      <c r="AW78" s="4">
        <v>95</v>
      </c>
      <c r="AX78" s="4">
        <v>5</v>
      </c>
      <c r="AY78" s="4">
        <v>95</v>
      </c>
      <c r="AZ78" s="4">
        <v>4</v>
      </c>
      <c r="BA78" s="4">
        <v>95</v>
      </c>
      <c r="BB78" s="4">
        <v>3</v>
      </c>
      <c r="BC78" s="4">
        <v>95</v>
      </c>
      <c r="BD78" s="4">
        <v>4</v>
      </c>
      <c r="BE78" s="4">
        <v>95</v>
      </c>
      <c r="BF78" s="4">
        <v>12.5</v>
      </c>
      <c r="BG78" s="4">
        <v>4477.88</v>
      </c>
      <c r="BH78" s="4">
        <v>7</v>
      </c>
      <c r="BI78" s="4">
        <v>1.96</v>
      </c>
      <c r="BJ78" s="4">
        <v>7</v>
      </c>
      <c r="BK78" s="4">
        <v>44.95</v>
      </c>
      <c r="BL78" s="4">
        <v>20</v>
      </c>
      <c r="BM78" s="4">
        <v>63.79</v>
      </c>
      <c r="BN78" s="4" t="s">
        <v>74</v>
      </c>
      <c r="BO78" s="4" t="s">
        <v>74</v>
      </c>
      <c r="BP78" s="4" t="s">
        <v>74</v>
      </c>
      <c r="BQ78" s="4" t="s">
        <v>74</v>
      </c>
      <c r="BR78" s="4">
        <v>0</v>
      </c>
      <c r="BS78" s="4">
        <v>0</v>
      </c>
      <c r="BT78" s="4" t="s">
        <v>74</v>
      </c>
      <c r="BU78" s="4" t="s">
        <v>74</v>
      </c>
      <c r="BV78" s="4" t="s">
        <v>74</v>
      </c>
      <c r="BW78" s="4" t="s">
        <v>74</v>
      </c>
      <c r="BX78" s="4" t="s">
        <v>74</v>
      </c>
      <c r="BY78" s="4" t="s">
        <v>74</v>
      </c>
      <c r="BZ78" s="4" t="s">
        <v>74</v>
      </c>
      <c r="CA78" s="4" t="s">
        <v>74</v>
      </c>
      <c r="CB78" s="4" t="s">
        <v>74</v>
      </c>
      <c r="CC78" s="4" t="s">
        <v>74</v>
      </c>
      <c r="CD78" s="4" t="s">
        <v>74</v>
      </c>
      <c r="CE78" s="4" t="s">
        <v>74</v>
      </c>
      <c r="CF78" s="4" t="s">
        <v>74</v>
      </c>
      <c r="CG78" s="4" t="s">
        <v>74</v>
      </c>
      <c r="CH78" s="4" t="s">
        <v>74</v>
      </c>
      <c r="CI78" s="4" t="s">
        <v>74</v>
      </c>
      <c r="CJ78" s="4" t="s">
        <v>74</v>
      </c>
      <c r="CK78" s="4" t="s">
        <v>74</v>
      </c>
      <c r="CL78" s="4" t="s">
        <v>74</v>
      </c>
      <c r="CM78" s="4" t="s">
        <v>74</v>
      </c>
      <c r="CN78" s="4" t="s">
        <v>74</v>
      </c>
      <c r="CO78" s="4" t="s">
        <v>74</v>
      </c>
      <c r="CP78" s="4" t="s">
        <v>74</v>
      </c>
      <c r="CQ78" s="4" t="s">
        <v>74</v>
      </c>
      <c r="CR78" s="4" t="s">
        <v>74</v>
      </c>
      <c r="CS78" s="4" t="s">
        <v>74</v>
      </c>
      <c r="CT78" s="4" t="s">
        <v>74</v>
      </c>
      <c r="CU78" s="4" t="s">
        <v>74</v>
      </c>
      <c r="CV78" s="4" t="s">
        <v>74</v>
      </c>
      <c r="CW78" s="4" t="s">
        <v>74</v>
      </c>
      <c r="CX78" s="4" t="s">
        <v>74</v>
      </c>
      <c r="CY78" s="4" t="s">
        <v>74</v>
      </c>
    </row>
    <row r="79" spans="1:103" ht="17.399999999999999" x14ac:dyDescent="0.25">
      <c r="A79" s="1" t="s">
        <v>150</v>
      </c>
      <c r="B79" s="2" t="s">
        <v>74</v>
      </c>
      <c r="C79" s="2" t="s">
        <v>74</v>
      </c>
      <c r="D79" s="2" t="s">
        <v>74</v>
      </c>
      <c r="E79" s="2" t="s">
        <v>74</v>
      </c>
      <c r="F79" s="2" t="s">
        <v>74</v>
      </c>
      <c r="G79" s="2" t="s">
        <v>74</v>
      </c>
      <c r="H79" s="2" t="s">
        <v>74</v>
      </c>
      <c r="I79" s="2" t="s">
        <v>74</v>
      </c>
      <c r="J79" s="2" t="s">
        <v>74</v>
      </c>
      <c r="K79" s="2" t="s">
        <v>74</v>
      </c>
      <c r="L79" s="2" t="s">
        <v>74</v>
      </c>
      <c r="M79" s="2" t="s">
        <v>74</v>
      </c>
      <c r="N79" s="2" t="s">
        <v>74</v>
      </c>
      <c r="O79" s="2" t="s">
        <v>74</v>
      </c>
      <c r="P79" s="2" t="s">
        <v>74</v>
      </c>
      <c r="Q79" s="2" t="s">
        <v>74</v>
      </c>
      <c r="R79" s="2" t="s">
        <v>74</v>
      </c>
      <c r="S79" s="2" t="s">
        <v>74</v>
      </c>
      <c r="T79" s="2" t="s">
        <v>74</v>
      </c>
      <c r="U79" s="2" t="s">
        <v>74</v>
      </c>
      <c r="V79" s="2" t="s">
        <v>74</v>
      </c>
      <c r="W79" s="2" t="s">
        <v>74</v>
      </c>
      <c r="X79" s="2" t="s">
        <v>74</v>
      </c>
      <c r="Y79" s="2" t="s">
        <v>74</v>
      </c>
      <c r="Z79" s="2" t="s">
        <v>74</v>
      </c>
      <c r="AA79" s="2" t="s">
        <v>74</v>
      </c>
      <c r="AB79" s="2" t="s">
        <v>74</v>
      </c>
      <c r="AC79" s="2" t="s">
        <v>74</v>
      </c>
      <c r="AD79" s="2" t="s">
        <v>74</v>
      </c>
      <c r="AE79" s="2" t="s">
        <v>74</v>
      </c>
      <c r="AF79" s="2" t="s">
        <v>74</v>
      </c>
      <c r="AG79" s="2" t="s">
        <v>74</v>
      </c>
      <c r="AH79" s="2" t="s">
        <v>74</v>
      </c>
      <c r="AI79" s="2" t="s">
        <v>74</v>
      </c>
      <c r="AJ79" s="2" t="s">
        <v>74</v>
      </c>
      <c r="AK79" s="2" t="s">
        <v>74</v>
      </c>
      <c r="AL79" s="2" t="s">
        <v>74</v>
      </c>
      <c r="AM79" s="2" t="s">
        <v>74</v>
      </c>
      <c r="AN79" s="2" t="s">
        <v>74</v>
      </c>
      <c r="AO79" s="2" t="s">
        <v>74</v>
      </c>
      <c r="AP79" s="2" t="s">
        <v>74</v>
      </c>
      <c r="AQ79" s="2" t="s">
        <v>74</v>
      </c>
      <c r="AR79" s="2" t="s">
        <v>74</v>
      </c>
      <c r="AS79" s="2" t="s">
        <v>74</v>
      </c>
      <c r="AT79" s="2" t="s">
        <v>74</v>
      </c>
      <c r="AU79" s="2" t="s">
        <v>74</v>
      </c>
      <c r="AV79" s="2" t="s">
        <v>74</v>
      </c>
      <c r="AW79" s="2" t="s">
        <v>74</v>
      </c>
      <c r="AX79" s="2" t="s">
        <v>74</v>
      </c>
      <c r="AY79" s="2" t="s">
        <v>74</v>
      </c>
      <c r="AZ79" s="2" t="s">
        <v>74</v>
      </c>
      <c r="BA79" s="2" t="s">
        <v>74</v>
      </c>
      <c r="BB79" s="2" t="s">
        <v>74</v>
      </c>
      <c r="BC79" s="2" t="s">
        <v>74</v>
      </c>
      <c r="BD79" s="2" t="s">
        <v>74</v>
      </c>
      <c r="BE79" s="2" t="s">
        <v>74</v>
      </c>
      <c r="BF79" s="2" t="s">
        <v>74</v>
      </c>
      <c r="BG79" s="2" t="s">
        <v>74</v>
      </c>
      <c r="BH79" s="2" t="s">
        <v>74</v>
      </c>
      <c r="BI79" s="2" t="s">
        <v>74</v>
      </c>
      <c r="BJ79" s="2" t="s">
        <v>74</v>
      </c>
      <c r="BK79" s="2" t="s">
        <v>74</v>
      </c>
      <c r="BL79" s="2" t="s">
        <v>74</v>
      </c>
      <c r="BM79" s="2" t="s">
        <v>74</v>
      </c>
      <c r="BN79" s="2" t="s">
        <v>74</v>
      </c>
      <c r="BO79" s="2" t="s">
        <v>74</v>
      </c>
      <c r="BP79" s="2" t="s">
        <v>74</v>
      </c>
      <c r="BQ79" s="2" t="s">
        <v>74</v>
      </c>
      <c r="BR79" s="2" t="s">
        <v>74</v>
      </c>
      <c r="BS79" s="2" t="s">
        <v>74</v>
      </c>
      <c r="BT79" s="2" t="s">
        <v>74</v>
      </c>
      <c r="BU79" s="2" t="s">
        <v>74</v>
      </c>
      <c r="BV79" s="2" t="s">
        <v>74</v>
      </c>
      <c r="BW79" s="2" t="s">
        <v>74</v>
      </c>
      <c r="BX79" s="2" t="s">
        <v>74</v>
      </c>
      <c r="BY79" s="2" t="s">
        <v>74</v>
      </c>
      <c r="BZ79" s="2">
        <v>15</v>
      </c>
      <c r="CA79" s="2">
        <v>94.42</v>
      </c>
      <c r="CB79" s="2">
        <v>5</v>
      </c>
      <c r="CC79" s="2">
        <v>2793</v>
      </c>
      <c r="CD79" s="2">
        <v>5</v>
      </c>
      <c r="CE79" s="2">
        <v>15945</v>
      </c>
      <c r="CF79" s="2">
        <v>5</v>
      </c>
      <c r="CG79" s="2">
        <v>130.22999999999999</v>
      </c>
      <c r="CH79" s="2">
        <v>10</v>
      </c>
      <c r="CI79" s="2">
        <v>8654.5400000000009</v>
      </c>
      <c r="CJ79" s="2">
        <v>10</v>
      </c>
      <c r="CK79" s="2">
        <v>100</v>
      </c>
      <c r="CL79" s="2">
        <v>0</v>
      </c>
      <c r="CM79" s="2">
        <v>100</v>
      </c>
      <c r="CN79" s="2">
        <v>0</v>
      </c>
      <c r="CO79" s="2">
        <v>100</v>
      </c>
      <c r="CP79" s="2">
        <v>0</v>
      </c>
      <c r="CQ79" s="2">
        <v>100</v>
      </c>
      <c r="CR79" s="2">
        <v>0</v>
      </c>
      <c r="CS79" s="2">
        <v>100</v>
      </c>
      <c r="CT79" s="2">
        <v>0</v>
      </c>
      <c r="CU79" s="2">
        <v>100</v>
      </c>
      <c r="CV79" s="2" t="s">
        <v>74</v>
      </c>
      <c r="CW79" s="2" t="s">
        <v>74</v>
      </c>
      <c r="CX79" s="2" t="s">
        <v>74</v>
      </c>
      <c r="CY79" s="2" t="s">
        <v>74</v>
      </c>
    </row>
    <row r="80" spans="1:103" ht="17.399999999999999" x14ac:dyDescent="0.25">
      <c r="A80" s="3" t="s">
        <v>151</v>
      </c>
      <c r="B80" s="4" t="s">
        <v>74</v>
      </c>
      <c r="C80" s="4" t="s">
        <v>74</v>
      </c>
      <c r="D80" s="4" t="s">
        <v>74</v>
      </c>
      <c r="E80" s="4" t="s">
        <v>74</v>
      </c>
      <c r="F80" s="4" t="s">
        <v>74</v>
      </c>
      <c r="G80" s="4" t="s">
        <v>74</v>
      </c>
      <c r="H80" s="4" t="s">
        <v>74</v>
      </c>
      <c r="I80" s="4" t="s">
        <v>74</v>
      </c>
      <c r="J80" s="4" t="s">
        <v>74</v>
      </c>
      <c r="K80" s="4" t="s">
        <v>74</v>
      </c>
      <c r="L80" s="4" t="s">
        <v>74</v>
      </c>
      <c r="M80" s="4" t="s">
        <v>74</v>
      </c>
      <c r="N80" s="4" t="s">
        <v>74</v>
      </c>
      <c r="O80" s="4" t="s">
        <v>74</v>
      </c>
      <c r="P80" s="4" t="s">
        <v>74</v>
      </c>
      <c r="Q80" s="4" t="s">
        <v>74</v>
      </c>
      <c r="R80" s="4" t="s">
        <v>74</v>
      </c>
      <c r="S80" s="4" t="s">
        <v>74</v>
      </c>
      <c r="T80" s="4" t="s">
        <v>74</v>
      </c>
      <c r="U80" s="4" t="s">
        <v>74</v>
      </c>
      <c r="V80" s="4" t="s">
        <v>74</v>
      </c>
      <c r="W80" s="4" t="s">
        <v>74</v>
      </c>
      <c r="X80" s="4" t="s">
        <v>74</v>
      </c>
      <c r="Y80" s="4" t="s">
        <v>74</v>
      </c>
      <c r="Z80" s="4" t="s">
        <v>74</v>
      </c>
      <c r="AA80" s="4" t="s">
        <v>74</v>
      </c>
      <c r="AB80" s="4" t="s">
        <v>74</v>
      </c>
      <c r="AC80" s="4" t="s">
        <v>74</v>
      </c>
      <c r="AD80" s="4" t="s">
        <v>74</v>
      </c>
      <c r="AE80" s="4" t="s">
        <v>74</v>
      </c>
      <c r="AF80" s="4" t="s">
        <v>74</v>
      </c>
      <c r="AG80" s="4" t="s">
        <v>74</v>
      </c>
      <c r="AH80" s="4" t="s">
        <v>74</v>
      </c>
      <c r="AI80" s="4" t="s">
        <v>74</v>
      </c>
      <c r="AJ80" s="4" t="s">
        <v>74</v>
      </c>
      <c r="AK80" s="4" t="s">
        <v>74</v>
      </c>
      <c r="AL80" s="4" t="s">
        <v>74</v>
      </c>
      <c r="AM80" s="4" t="s">
        <v>74</v>
      </c>
      <c r="AN80" s="4" t="s">
        <v>74</v>
      </c>
      <c r="AO80" s="4" t="s">
        <v>74</v>
      </c>
      <c r="AP80" s="4" t="s">
        <v>74</v>
      </c>
      <c r="AQ80" s="4" t="s">
        <v>74</v>
      </c>
      <c r="AR80" s="4" t="s">
        <v>74</v>
      </c>
      <c r="AS80" s="4" t="s">
        <v>74</v>
      </c>
      <c r="AT80" s="4" t="s">
        <v>74</v>
      </c>
      <c r="AU80" s="4" t="s">
        <v>74</v>
      </c>
      <c r="AV80" s="4" t="s">
        <v>74</v>
      </c>
      <c r="AW80" s="4" t="s">
        <v>74</v>
      </c>
      <c r="AX80" s="4" t="s">
        <v>74</v>
      </c>
      <c r="AY80" s="4" t="s">
        <v>74</v>
      </c>
      <c r="AZ80" s="4" t="s">
        <v>74</v>
      </c>
      <c r="BA80" s="4" t="s">
        <v>74</v>
      </c>
      <c r="BB80" s="4" t="s">
        <v>74</v>
      </c>
      <c r="BC80" s="4" t="s">
        <v>74</v>
      </c>
      <c r="BD80" s="4" t="s">
        <v>74</v>
      </c>
      <c r="BE80" s="4" t="s">
        <v>74</v>
      </c>
      <c r="BF80" s="4" t="s">
        <v>74</v>
      </c>
      <c r="BG80" s="4" t="s">
        <v>74</v>
      </c>
      <c r="BH80" s="4" t="s">
        <v>74</v>
      </c>
      <c r="BI80" s="4" t="s">
        <v>74</v>
      </c>
      <c r="BJ80" s="4" t="s">
        <v>74</v>
      </c>
      <c r="BK80" s="4" t="s">
        <v>74</v>
      </c>
      <c r="BL80" s="4" t="s">
        <v>74</v>
      </c>
      <c r="BM80" s="4" t="s">
        <v>74</v>
      </c>
      <c r="BN80" s="4" t="s">
        <v>74</v>
      </c>
      <c r="BO80" s="4" t="s">
        <v>74</v>
      </c>
      <c r="BP80" s="4" t="s">
        <v>74</v>
      </c>
      <c r="BQ80" s="4" t="s">
        <v>74</v>
      </c>
      <c r="BR80" s="4" t="s">
        <v>74</v>
      </c>
      <c r="BS80" s="4" t="s">
        <v>74</v>
      </c>
      <c r="BT80" s="4" t="s">
        <v>74</v>
      </c>
      <c r="BU80" s="4" t="s">
        <v>74</v>
      </c>
      <c r="BV80" s="4" t="s">
        <v>74</v>
      </c>
      <c r="BW80" s="4" t="s">
        <v>74</v>
      </c>
      <c r="BX80" s="4" t="s">
        <v>74</v>
      </c>
      <c r="BY80" s="4" t="s">
        <v>74</v>
      </c>
      <c r="BZ80" s="4">
        <v>15</v>
      </c>
      <c r="CA80" s="4">
        <v>94.42</v>
      </c>
      <c r="CB80" s="4">
        <v>5</v>
      </c>
      <c r="CC80" s="4">
        <v>2793</v>
      </c>
      <c r="CD80" s="4">
        <v>5</v>
      </c>
      <c r="CE80" s="4">
        <v>15945</v>
      </c>
      <c r="CF80" s="4">
        <v>5</v>
      </c>
      <c r="CG80" s="4">
        <v>130.22999999999999</v>
      </c>
      <c r="CH80" s="4">
        <v>10</v>
      </c>
      <c r="CI80" s="4">
        <v>8654.5400000000009</v>
      </c>
      <c r="CJ80" s="4">
        <v>10</v>
      </c>
      <c r="CK80" s="4">
        <v>100</v>
      </c>
      <c r="CL80" s="4">
        <v>0</v>
      </c>
      <c r="CM80" s="4">
        <v>100</v>
      </c>
      <c r="CN80" s="4">
        <v>0</v>
      </c>
      <c r="CO80" s="4">
        <v>100</v>
      </c>
      <c r="CP80" s="4">
        <v>0</v>
      </c>
      <c r="CQ80" s="4">
        <v>100</v>
      </c>
      <c r="CR80" s="4">
        <v>0</v>
      </c>
      <c r="CS80" s="4">
        <v>100</v>
      </c>
      <c r="CT80" s="4">
        <v>0</v>
      </c>
      <c r="CU80" s="4">
        <v>100</v>
      </c>
      <c r="CV80" s="4" t="s">
        <v>74</v>
      </c>
      <c r="CW80" s="4" t="s">
        <v>74</v>
      </c>
      <c r="CX80" s="4" t="s">
        <v>74</v>
      </c>
      <c r="CY80" s="4" t="s">
        <v>74</v>
      </c>
    </row>
    <row r="81" spans="1:103" ht="17.399999999999999" x14ac:dyDescent="0.25">
      <c r="A81" s="1" t="s">
        <v>152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 t="s">
        <v>74</v>
      </c>
      <c r="I81" s="2" t="s">
        <v>74</v>
      </c>
      <c r="J81" s="2" t="s">
        <v>74</v>
      </c>
      <c r="K81" s="2" t="s">
        <v>74</v>
      </c>
      <c r="L81" s="2" t="s">
        <v>74</v>
      </c>
      <c r="M81" s="2" t="s">
        <v>74</v>
      </c>
      <c r="N81" s="2">
        <v>0</v>
      </c>
      <c r="O81" s="2">
        <v>95</v>
      </c>
      <c r="P81" s="2">
        <v>0</v>
      </c>
      <c r="Q81" s="2">
        <v>0</v>
      </c>
      <c r="R81" s="2" t="s">
        <v>74</v>
      </c>
      <c r="S81" s="2" t="s">
        <v>74</v>
      </c>
      <c r="T81" s="2" t="s">
        <v>74</v>
      </c>
      <c r="U81" s="2" t="s">
        <v>74</v>
      </c>
      <c r="V81" s="2" t="s">
        <v>74</v>
      </c>
      <c r="W81" s="2" t="s">
        <v>74</v>
      </c>
      <c r="X81" s="2" t="s">
        <v>74</v>
      </c>
      <c r="Y81" s="2" t="s">
        <v>74</v>
      </c>
      <c r="Z81" s="2" t="s">
        <v>74</v>
      </c>
      <c r="AA81" s="2" t="s">
        <v>74</v>
      </c>
      <c r="AB81" s="2" t="s">
        <v>74</v>
      </c>
      <c r="AC81" s="2" t="s">
        <v>74</v>
      </c>
      <c r="AD81" s="2" t="s">
        <v>74</v>
      </c>
      <c r="AE81" s="2" t="s">
        <v>74</v>
      </c>
      <c r="AF81" s="2">
        <v>2.5</v>
      </c>
      <c r="AG81" s="2">
        <v>58.73</v>
      </c>
      <c r="AH81" s="2" t="s">
        <v>74</v>
      </c>
      <c r="AI81" s="2" t="s">
        <v>74</v>
      </c>
      <c r="AJ81" s="2">
        <v>10</v>
      </c>
      <c r="AK81" s="2">
        <v>37</v>
      </c>
      <c r="AL81" s="2">
        <v>3</v>
      </c>
      <c r="AM81" s="2">
        <v>95</v>
      </c>
      <c r="AN81" s="2" t="s">
        <v>74</v>
      </c>
      <c r="AO81" s="2" t="s">
        <v>74</v>
      </c>
      <c r="AP81" s="2" t="s">
        <v>74</v>
      </c>
      <c r="AQ81" s="2" t="s">
        <v>74</v>
      </c>
      <c r="AR81" s="2">
        <v>2.5</v>
      </c>
      <c r="AS81" s="2">
        <v>58.73</v>
      </c>
      <c r="AT81" s="2" t="s">
        <v>74</v>
      </c>
      <c r="AU81" s="2" t="s">
        <v>74</v>
      </c>
      <c r="AV81" s="2">
        <v>5</v>
      </c>
      <c r="AW81" s="2">
        <v>95</v>
      </c>
      <c r="AX81" s="2" t="s">
        <v>74</v>
      </c>
      <c r="AY81" s="2" t="s">
        <v>74</v>
      </c>
      <c r="AZ81" s="2">
        <v>5</v>
      </c>
      <c r="BA81" s="2">
        <v>95</v>
      </c>
      <c r="BB81" s="2">
        <v>5</v>
      </c>
      <c r="BC81" s="2">
        <v>95</v>
      </c>
      <c r="BD81" s="2">
        <v>4</v>
      </c>
      <c r="BE81" s="2">
        <v>95</v>
      </c>
      <c r="BF81" s="2" t="s">
        <v>74</v>
      </c>
      <c r="BG81" s="2" t="s">
        <v>74</v>
      </c>
      <c r="BH81" s="2" t="s">
        <v>74</v>
      </c>
      <c r="BI81" s="2" t="s">
        <v>74</v>
      </c>
      <c r="BJ81" s="2" t="s">
        <v>74</v>
      </c>
      <c r="BK81" s="2" t="s">
        <v>74</v>
      </c>
      <c r="BL81" s="2" t="s">
        <v>74</v>
      </c>
      <c r="BM81" s="2" t="s">
        <v>74</v>
      </c>
      <c r="BN81" s="2" t="s">
        <v>74</v>
      </c>
      <c r="BO81" s="2" t="s">
        <v>74</v>
      </c>
      <c r="BP81" s="2">
        <v>15</v>
      </c>
      <c r="BQ81" s="2">
        <v>5.16</v>
      </c>
      <c r="BR81" s="2">
        <v>0</v>
      </c>
      <c r="BS81" s="2">
        <v>0</v>
      </c>
      <c r="BT81" s="2">
        <v>8</v>
      </c>
      <c r="BU81" s="2">
        <v>29.48</v>
      </c>
      <c r="BV81" s="2">
        <v>10</v>
      </c>
      <c r="BW81" s="2">
        <v>37.43</v>
      </c>
      <c r="BX81" s="2">
        <v>30</v>
      </c>
      <c r="BY81" s="2">
        <v>500.17</v>
      </c>
      <c r="BZ81" s="2" t="s">
        <v>74</v>
      </c>
      <c r="CA81" s="2" t="s">
        <v>74</v>
      </c>
      <c r="CB81" s="2" t="s">
        <v>74</v>
      </c>
      <c r="CC81" s="2" t="s">
        <v>74</v>
      </c>
      <c r="CD81" s="2" t="s">
        <v>74</v>
      </c>
      <c r="CE81" s="2" t="s">
        <v>74</v>
      </c>
      <c r="CF81" s="2" t="s">
        <v>74</v>
      </c>
      <c r="CG81" s="2" t="s">
        <v>74</v>
      </c>
      <c r="CH81" s="2" t="s">
        <v>74</v>
      </c>
      <c r="CI81" s="2" t="s">
        <v>74</v>
      </c>
      <c r="CJ81" s="2" t="s">
        <v>74</v>
      </c>
      <c r="CK81" s="2" t="s">
        <v>74</v>
      </c>
      <c r="CL81" s="2" t="s">
        <v>74</v>
      </c>
      <c r="CM81" s="2" t="s">
        <v>74</v>
      </c>
      <c r="CN81" s="2" t="s">
        <v>74</v>
      </c>
      <c r="CO81" s="2" t="s">
        <v>74</v>
      </c>
      <c r="CP81" s="2" t="s">
        <v>74</v>
      </c>
      <c r="CQ81" s="2" t="s">
        <v>74</v>
      </c>
      <c r="CR81" s="2" t="s">
        <v>74</v>
      </c>
      <c r="CS81" s="2" t="s">
        <v>74</v>
      </c>
      <c r="CT81" s="2" t="s">
        <v>74</v>
      </c>
      <c r="CU81" s="2" t="s">
        <v>74</v>
      </c>
      <c r="CV81" s="2" t="s">
        <v>74</v>
      </c>
      <c r="CW81" s="2" t="s">
        <v>74</v>
      </c>
      <c r="CX81" s="2" t="s">
        <v>74</v>
      </c>
      <c r="CY81" s="2" t="s">
        <v>74</v>
      </c>
    </row>
  </sheetData>
  <mergeCells count="52">
    <mergeCell ref="CL1:CM1"/>
    <mergeCell ref="CN1:CO1"/>
    <mergeCell ref="CD1:CE1"/>
    <mergeCell ref="CF1:CG1"/>
    <mergeCell ref="BJ1:BK1"/>
    <mergeCell ref="BL1:BM1"/>
    <mergeCell ref="BN1:BO1"/>
    <mergeCell ref="BP1:BQ1"/>
    <mergeCell ref="BZ1:CA1"/>
    <mergeCell ref="X1:Y1"/>
    <mergeCell ref="Z1:AA1"/>
    <mergeCell ref="AB1:AC1"/>
    <mergeCell ref="CH1:CI1"/>
    <mergeCell ref="CJ1:CK1"/>
    <mergeCell ref="BF1:BG1"/>
    <mergeCell ref="BH1:BI1"/>
    <mergeCell ref="AL1:AM1"/>
    <mergeCell ref="AN1:AO1"/>
    <mergeCell ref="AP1:AQ1"/>
    <mergeCell ref="AR1:AS1"/>
    <mergeCell ref="AD1:AE1"/>
    <mergeCell ref="AF1:AG1"/>
    <mergeCell ref="AH1:AI1"/>
    <mergeCell ref="AJ1:AK1"/>
    <mergeCell ref="CB1:CC1"/>
    <mergeCell ref="P1:Q1"/>
    <mergeCell ref="R1:S1"/>
    <mergeCell ref="T1:U1"/>
    <mergeCell ref="V1:W1"/>
    <mergeCell ref="A1:A2"/>
    <mergeCell ref="B1:C1"/>
    <mergeCell ref="D1:E1"/>
    <mergeCell ref="F1:G1"/>
    <mergeCell ref="H1:I1"/>
    <mergeCell ref="J1:K1"/>
    <mergeCell ref="L1:M1"/>
    <mergeCell ref="N1:O1"/>
    <mergeCell ref="AT1:AU1"/>
    <mergeCell ref="AV1:AW1"/>
    <mergeCell ref="AX1:AY1"/>
    <mergeCell ref="AZ1:BA1"/>
    <mergeCell ref="BB1:BC1"/>
    <mergeCell ref="BD1:BE1"/>
    <mergeCell ref="BR1:BS1"/>
    <mergeCell ref="BT1:BU1"/>
    <mergeCell ref="BV1:BW1"/>
    <mergeCell ref="BX1:BY1"/>
    <mergeCell ref="CP1:CQ1"/>
    <mergeCell ref="CR1:CS1"/>
    <mergeCell ref="CT1:CU1"/>
    <mergeCell ref="CV1:CW1"/>
    <mergeCell ref="CX1:CY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结果</vt:lpstr>
      <vt:lpstr>固定数据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殇樱狐</cp:lastModifiedBy>
  <dcterms:created xsi:type="dcterms:W3CDTF">2011-11-02T08:59:34Z</dcterms:created>
  <dcterms:modified xsi:type="dcterms:W3CDTF">2024-12-20T04:53:43Z</dcterms:modified>
</cp:coreProperties>
</file>