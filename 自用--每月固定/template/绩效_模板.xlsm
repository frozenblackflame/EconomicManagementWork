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aveExternalLinkValues="0"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iyun\Desktop\work\2025年1月绩效模版\"/>
    </mc:Choice>
  </mc:AlternateContent>
  <xr:revisionPtr revIDLastSave="0" documentId="13_ncr:1_{ED4B2AA8-FCFE-44C3-941C-3F20276D4F6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考核结果" sheetId="12" r:id="rId1"/>
    <sheet name="结果" sheetId="1" r:id="rId2"/>
    <sheet name="积分" sheetId="7" r:id="rId3"/>
    <sheet name="系数（护理）" sheetId="10" r:id="rId4"/>
    <sheet name="次均费用" sheetId="8" r:id="rId5"/>
  </sheets>
  <functionGroups builtInGroupCount="19"/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2" i="12" l="1"/>
  <c r="G82" i="12"/>
  <c r="E83" i="12"/>
  <c r="G83" i="12"/>
  <c r="E55" i="12"/>
  <c r="G55" i="12"/>
  <c r="E56" i="12"/>
  <c r="G56" i="12"/>
  <c r="Y66" i="1" a="1"/>
  <c r="Y66" i="1" s="1"/>
  <c r="AA66" i="1" a="1"/>
  <c r="AA66" i="1" s="1"/>
  <c r="AB66" i="1" a="1"/>
  <c r="AB66" i="1" s="1"/>
  <c r="AK66" i="1"/>
  <c r="AL66" i="1"/>
  <c r="AM66" i="1"/>
  <c r="AN66" i="1"/>
  <c r="AO66" i="1"/>
  <c r="AP66" i="1"/>
  <c r="AS66" i="1"/>
  <c r="AU66" i="1"/>
  <c r="AV66" i="1"/>
  <c r="AW66" i="1"/>
  <c r="AX66" i="1"/>
  <c r="AY66" i="1"/>
  <c r="AZ66" i="1"/>
  <c r="BA66" i="1"/>
  <c r="BB66" i="1"/>
  <c r="BC66" i="1"/>
  <c r="Y67" i="1" a="1"/>
  <c r="Y67" i="1" s="1"/>
  <c r="AA67" i="1" a="1"/>
  <c r="AA67" i="1" s="1"/>
  <c r="AB67" i="1" a="1"/>
  <c r="AB67" i="1" s="1"/>
  <c r="AK67" i="1"/>
  <c r="AL67" i="1"/>
  <c r="AM67" i="1"/>
  <c r="AN67" i="1"/>
  <c r="AO67" i="1"/>
  <c r="AP67" i="1"/>
  <c r="AS67" i="1"/>
  <c r="AU67" i="1"/>
  <c r="AV67" i="1"/>
  <c r="AW67" i="1"/>
  <c r="AX67" i="1"/>
  <c r="AY67" i="1"/>
  <c r="AZ67" i="1"/>
  <c r="BA67" i="1"/>
  <c r="BB67" i="1"/>
  <c r="BC67" i="1"/>
  <c r="G19" i="1"/>
  <c r="H19" i="1"/>
  <c r="I19" i="1"/>
  <c r="J19" i="1"/>
  <c r="K19" i="1"/>
  <c r="M19" i="1"/>
  <c r="N19" i="1"/>
  <c r="O19" i="1"/>
  <c r="P19" i="1"/>
  <c r="Q19" i="1"/>
  <c r="R19" i="1" a="1"/>
  <c r="R19" i="1" s="1"/>
  <c r="S19" i="1" a="1"/>
  <c r="S19" i="1" s="1"/>
  <c r="T19" i="1" a="1"/>
  <c r="T19" i="1" s="1"/>
  <c r="U19" i="1" a="1"/>
  <c r="U19" i="1" s="1"/>
  <c r="V19" i="1" a="1"/>
  <c r="V19" i="1" s="1"/>
  <c r="W19" i="1"/>
  <c r="X19" i="1"/>
  <c r="Y19" i="1" a="1"/>
  <c r="Y19" i="1" s="1"/>
  <c r="Z19" i="1" a="1"/>
  <c r="Z19" i="1" s="1"/>
  <c r="AA19" i="1" a="1"/>
  <c r="AA19" i="1" s="1"/>
  <c r="AB19" i="1" a="1"/>
  <c r="AB19" i="1" s="1"/>
  <c r="AC19" i="1" a="1"/>
  <c r="AC19" i="1" s="1"/>
  <c r="AD19" i="1" a="1"/>
  <c r="AD19" i="1" s="1"/>
  <c r="AE19" i="1"/>
  <c r="AF19" i="1"/>
  <c r="AG19" i="1"/>
  <c r="AH19" i="1"/>
  <c r="AI19" i="1"/>
  <c r="AJ19" i="1"/>
  <c r="AK19" i="1"/>
  <c r="AL19" i="1"/>
  <c r="AM19" i="1"/>
  <c r="AN19" i="1"/>
  <c r="AO19" i="1"/>
  <c r="AP19" i="1"/>
  <c r="G20" i="1"/>
  <c r="H20" i="1"/>
  <c r="I20" i="1"/>
  <c r="J20" i="1"/>
  <c r="K20" i="1"/>
  <c r="M20" i="1"/>
  <c r="N20" i="1"/>
  <c r="O20" i="1"/>
  <c r="P20" i="1"/>
  <c r="Q20" i="1"/>
  <c r="R20" i="1" a="1"/>
  <c r="R20" i="1" s="1"/>
  <c r="S20" i="1" a="1"/>
  <c r="S20" i="1" s="1"/>
  <c r="T20" i="1" a="1"/>
  <c r="T20" i="1" s="1"/>
  <c r="U20" i="1" a="1"/>
  <c r="U20" i="1" s="1"/>
  <c r="V20" i="1" a="1"/>
  <c r="V20" i="1" s="1"/>
  <c r="W20" i="1"/>
  <c r="X20" i="1"/>
  <c r="Y20" i="1" a="1"/>
  <c r="Y20" i="1" s="1"/>
  <c r="Z20" i="1" a="1"/>
  <c r="Z20" i="1" s="1"/>
  <c r="AA20" i="1" a="1"/>
  <c r="AA20" i="1" s="1"/>
  <c r="AB20" i="1" a="1"/>
  <c r="AB20" i="1" s="1"/>
  <c r="AC20" i="1" a="1"/>
  <c r="AC20" i="1" s="1"/>
  <c r="AD20" i="1" a="1"/>
  <c r="AD20" i="1" s="1"/>
  <c r="AE20" i="1"/>
  <c r="AF20" i="1"/>
  <c r="AG20" i="1"/>
  <c r="AH20" i="1"/>
  <c r="AI20" i="1"/>
  <c r="AJ20" i="1"/>
  <c r="AK20" i="1"/>
  <c r="AL20" i="1"/>
  <c r="AM20" i="1"/>
  <c r="AN20" i="1"/>
  <c r="AO20" i="1"/>
  <c r="AP20" i="1"/>
  <c r="L20" i="1" a="1"/>
  <c r="L19" i="1" a="1"/>
  <c r="F19" i="1" a="1"/>
  <c r="F20" i="1" a="1"/>
  <c r="B66" i="1" l="1"/>
  <c r="D82" i="12" s="1"/>
  <c r="F82" i="12" s="1"/>
  <c r="H82" i="12" s="1"/>
  <c r="B67" i="1"/>
  <c r="D83" i="12" s="1"/>
  <c r="F83" i="12" s="1"/>
  <c r="H83" i="12" s="1"/>
  <c r="L19" i="1"/>
  <c r="C19" i="1" s="1"/>
  <c r="F20" i="1"/>
  <c r="D20" i="1" s="1"/>
  <c r="F19" i="1"/>
  <c r="D19" i="1" s="1"/>
  <c r="L20" i="1"/>
  <c r="C20" i="1" s="1"/>
  <c r="E20" i="1"/>
  <c r="E19" i="1"/>
  <c r="B20" i="1" l="1"/>
  <c r="D56" i="12" s="1"/>
  <c r="F56" i="12" s="1"/>
  <c r="H56" i="12" s="1"/>
  <c r="B19" i="1"/>
  <c r="D55" i="12" s="1"/>
  <c r="F55" i="12" s="1"/>
  <c r="H55" i="12" s="1"/>
  <c r="A103" i="12" l="1"/>
  <c r="A3" i="12"/>
  <c r="A2" i="12"/>
  <c r="E96" i="12"/>
  <c r="E95" i="12"/>
  <c r="E80" i="12"/>
  <c r="E78" i="12"/>
  <c r="E76" i="12"/>
  <c r="E70" i="12"/>
  <c r="E68" i="12"/>
  <c r="E67" i="12"/>
  <c r="E65" i="12"/>
  <c r="E64" i="12"/>
  <c r="E90" i="12"/>
  <c r="E91" i="12"/>
  <c r="E92" i="12"/>
  <c r="E93" i="12"/>
  <c r="E94" i="12"/>
  <c r="E79" i="12"/>
  <c r="E81" i="12"/>
  <c r="E84" i="12"/>
  <c r="E85" i="12"/>
  <c r="E86" i="12"/>
  <c r="E87" i="12"/>
  <c r="E88" i="12"/>
  <c r="E89" i="12"/>
  <c r="E77" i="12"/>
  <c r="D37" i="12" l="1"/>
  <c r="D38" i="12"/>
  <c r="D33" i="12"/>
  <c r="D34" i="12"/>
  <c r="D35" i="12"/>
  <c r="D36" i="12"/>
  <c r="D27" i="12"/>
  <c r="D28" i="12"/>
  <c r="D29" i="12"/>
  <c r="D30" i="12"/>
  <c r="D31" i="12"/>
  <c r="D32" i="12"/>
  <c r="D23" i="12"/>
  <c r="D24" i="12"/>
  <c r="D25" i="12"/>
  <c r="D26" i="12"/>
  <c r="D19" i="12"/>
  <c r="D20" i="12"/>
  <c r="D21" i="12"/>
  <c r="D22" i="12"/>
  <c r="D14" i="12"/>
  <c r="D15" i="12"/>
  <c r="D16" i="12"/>
  <c r="D17" i="12"/>
  <c r="D18" i="12"/>
  <c r="D8" i="12"/>
  <c r="D9" i="12"/>
  <c r="D10" i="12"/>
  <c r="D11" i="12"/>
  <c r="D12" i="12"/>
  <c r="D13" i="12"/>
  <c r="D7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5" i="12"/>
  <c r="G102" i="12" l="1"/>
  <c r="E15" i="12"/>
  <c r="H15" i="12" s="1"/>
  <c r="E10" i="12"/>
  <c r="H37" i="12"/>
  <c r="H38" i="12"/>
  <c r="H35" i="12"/>
  <c r="H34" i="12"/>
  <c r="H33" i="12"/>
  <c r="H36" i="12"/>
  <c r="H27" i="12"/>
  <c r="H26" i="12"/>
  <c r="H25" i="12"/>
  <c r="H24" i="12"/>
  <c r="H22" i="12"/>
  <c r="H21" i="12"/>
  <c r="H20" i="12"/>
  <c r="H19" i="12"/>
  <c r="H18" i="12"/>
  <c r="H17" i="12"/>
  <c r="H13" i="12"/>
  <c r="H12" i="12"/>
  <c r="H10" i="12"/>
  <c r="H9" i="12"/>
  <c r="H8" i="12"/>
  <c r="H7" i="12"/>
  <c r="E48" i="12" l="1"/>
  <c r="E100" i="12"/>
  <c r="E45" i="12"/>
  <c r="E97" i="12"/>
  <c r="E28" i="12"/>
  <c r="H28" i="12" s="1"/>
  <c r="E34" i="12"/>
  <c r="E44" i="12"/>
  <c r="E49" i="12"/>
  <c r="E7" i="12"/>
  <c r="E40" i="12"/>
  <c r="E25" i="12"/>
  <c r="E14" i="12"/>
  <c r="H14" i="12" s="1"/>
  <c r="E30" i="12"/>
  <c r="H30" i="12" s="1"/>
  <c r="E69" i="12"/>
  <c r="E50" i="12"/>
  <c r="E60" i="12"/>
  <c r="E59" i="12"/>
  <c r="E39" i="12"/>
  <c r="E53" i="12"/>
  <c r="E52" i="12"/>
  <c r="E54" i="12"/>
  <c r="E47" i="12"/>
  <c r="E11" i="12"/>
  <c r="E41" i="12"/>
  <c r="E16" i="12"/>
  <c r="H16" i="12" s="1"/>
  <c r="E73" i="12"/>
  <c r="E27" i="12"/>
  <c r="E24" i="12"/>
  <c r="E61" i="12"/>
  <c r="E9" i="12"/>
  <c r="E57" i="12"/>
  <c r="E17" i="12"/>
  <c r="E12" i="12"/>
  <c r="E51" i="12"/>
  <c r="E29" i="12"/>
  <c r="H29" i="12" s="1"/>
  <c r="E31" i="12"/>
  <c r="H31" i="12" s="1"/>
  <c r="E21" i="12"/>
  <c r="E38" i="12"/>
  <c r="E43" i="12"/>
  <c r="E99" i="12"/>
  <c r="E8" i="12"/>
  <c r="E37" i="12"/>
  <c r="E35" i="12"/>
  <c r="E101" i="12"/>
  <c r="E6" i="12"/>
  <c r="E63" i="12"/>
  <c r="E32" i="12"/>
  <c r="H32" i="12" s="1"/>
  <c r="E18" i="12"/>
  <c r="E46" i="12"/>
  <c r="E75" i="12"/>
  <c r="E33" i="12"/>
  <c r="E74" i="12"/>
  <c r="E62" i="12"/>
  <c r="E22" i="12"/>
  <c r="E5" i="12"/>
  <c r="E72" i="12"/>
  <c r="E71" i="12"/>
  <c r="E42" i="12"/>
  <c r="E58" i="12"/>
  <c r="E66" i="12"/>
  <c r="E13" i="12"/>
  <c r="E26" i="12"/>
  <c r="E23" i="12"/>
  <c r="H23" i="12" s="1"/>
  <c r="E19" i="12"/>
  <c r="E36" i="12"/>
  <c r="E20" i="12"/>
  <c r="E98" i="12"/>
  <c r="E102" i="12" l="1"/>
  <c r="Y70" i="1" a="1"/>
  <c r="Y70" i="1" s="1"/>
  <c r="AA71" i="1" a="1"/>
  <c r="AA71" i="1" s="1"/>
  <c r="AA69" i="1" a="1"/>
  <c r="AA69" i="1" s="1"/>
  <c r="Y68" i="1" a="1"/>
  <c r="Y68" i="1" s="1"/>
  <c r="AB70" i="1" a="1"/>
  <c r="AB70" i="1" s="1"/>
  <c r="AA65" i="1" a="1"/>
  <c r="AA65" i="1" s="1"/>
  <c r="AB65" i="1" a="1"/>
  <c r="AB65" i="1" s="1"/>
  <c r="AB68" i="1" a="1"/>
  <c r="AB68" i="1" s="1"/>
  <c r="Y65" i="1" a="1"/>
  <c r="Y65" i="1" s="1"/>
  <c r="AB69" i="1" a="1"/>
  <c r="AB69" i="1" s="1"/>
  <c r="Y71" i="1" a="1"/>
  <c r="Y71" i="1" s="1"/>
  <c r="AA70" i="1" a="1"/>
  <c r="AA70" i="1" s="1"/>
  <c r="Y69" i="1" a="1"/>
  <c r="Y69" i="1" s="1"/>
  <c r="AB71" i="1" a="1"/>
  <c r="AB71" i="1" s="1"/>
  <c r="AA68" i="1" a="1"/>
  <c r="AA68" i="1" s="1"/>
  <c r="AC51" i="1" a="1"/>
  <c r="AC51" i="1" s="1"/>
  <c r="AB53" i="1" a="1"/>
  <c r="AB53" i="1" s="1"/>
  <c r="Y52" i="1" a="1"/>
  <c r="Y52" i="1" s="1"/>
  <c r="Y63" i="1" a="1"/>
  <c r="Y63" i="1" s="1"/>
  <c r="Y59" i="1" a="1"/>
  <c r="Y59" i="1" s="1"/>
  <c r="AB51" i="1" a="1"/>
  <c r="AB51" i="1" s="1"/>
  <c r="Y60" i="1" a="1"/>
  <c r="Y60" i="1" s="1"/>
  <c r="AA62" i="1" a="1"/>
  <c r="AA62" i="1" s="1"/>
  <c r="Y50" i="1" a="1"/>
  <c r="Y50" i="1" s="1"/>
  <c r="AB58" i="1" a="1"/>
  <c r="AB58" i="1" s="1"/>
  <c r="AB57" i="1" a="1"/>
  <c r="AB57" i="1" s="1"/>
  <c r="AB50" i="1" a="1"/>
  <c r="AB50" i="1" s="1"/>
  <c r="Y57" i="1" a="1"/>
  <c r="Y57" i="1" s="1"/>
  <c r="Z51" i="1" a="1"/>
  <c r="Z51" i="1" s="1"/>
  <c r="Z50" i="1" a="1"/>
  <c r="Z50" i="1" s="1"/>
  <c r="AB54" i="1" a="1"/>
  <c r="AB54" i="1" s="1"/>
  <c r="AB55" i="1" a="1"/>
  <c r="AB55" i="1" s="1"/>
  <c r="AA55" i="1" a="1"/>
  <c r="AA55" i="1" s="1"/>
  <c r="AB52" i="1" a="1"/>
  <c r="AB52" i="1" s="1"/>
  <c r="AD51" i="1" a="1"/>
  <c r="AD51" i="1" s="1"/>
  <c r="AD50" i="1" a="1"/>
  <c r="AD50" i="1" s="1"/>
  <c r="Y64" i="1" a="1"/>
  <c r="Y64" i="1" s="1"/>
  <c r="AA63" i="1" a="1"/>
  <c r="AA63" i="1" s="1"/>
  <c r="AB61" i="1" a="1"/>
  <c r="AB61" i="1" s="1"/>
  <c r="AA50" i="1" a="1"/>
  <c r="AA50" i="1" s="1"/>
  <c r="Y62" i="1" a="1"/>
  <c r="Y62" i="1" s="1"/>
  <c r="AA61" i="1" a="1"/>
  <c r="AA61" i="1" s="1"/>
  <c r="AB60" i="1" a="1"/>
  <c r="AB60" i="1" s="1"/>
  <c r="AA60" i="1" a="1"/>
  <c r="AA60" i="1" s="1"/>
  <c r="AA59" i="1" a="1"/>
  <c r="AA59" i="1" s="1"/>
  <c r="AB59" i="1" a="1"/>
  <c r="AB59" i="1" s="1"/>
  <c r="AA52" i="1" a="1"/>
  <c r="AA52" i="1" s="1"/>
  <c r="Y55" i="1" a="1"/>
  <c r="Y55" i="1" s="1"/>
  <c r="Y58" i="1" a="1"/>
  <c r="Y58" i="1" s="1"/>
  <c r="Y53" i="1" a="1"/>
  <c r="Y53" i="1" s="1"/>
  <c r="AA51" i="1" a="1"/>
  <c r="AA51" i="1" s="1"/>
  <c r="AA54" i="1" a="1"/>
  <c r="AA54" i="1" s="1"/>
  <c r="AA53" i="1" a="1"/>
  <c r="AA53" i="1" s="1"/>
  <c r="AC50" i="1" a="1"/>
  <c r="AC50" i="1" s="1"/>
  <c r="AB56" i="1" a="1"/>
  <c r="AB56" i="1" s="1"/>
  <c r="AB64" i="1" a="1"/>
  <c r="AB64" i="1" s="1"/>
  <c r="AA64" i="1" a="1"/>
  <c r="AA64" i="1" s="1"/>
  <c r="AB63" i="1" a="1"/>
  <c r="AB63" i="1" s="1"/>
  <c r="Y51" i="1" a="1"/>
  <c r="Y51" i="1" s="1"/>
  <c r="AB62" i="1" a="1"/>
  <c r="AB62" i="1" s="1"/>
  <c r="Y61" i="1" a="1"/>
  <c r="Y61" i="1" s="1"/>
  <c r="AA58" i="1" a="1"/>
  <c r="AA58" i="1" s="1"/>
  <c r="AA56" i="1" a="1"/>
  <c r="AA56" i="1" s="1"/>
  <c r="AA57" i="1" a="1"/>
  <c r="AA57" i="1" s="1"/>
  <c r="Y56" i="1" a="1"/>
  <c r="Y56" i="1" s="1"/>
  <c r="Y54" i="1" a="1"/>
  <c r="Y54" i="1" s="1"/>
  <c r="AA45" i="1" a="1"/>
  <c r="AA45" i="1" s="1"/>
  <c r="AA47" i="1" a="1"/>
  <c r="AA47" i="1" s="1"/>
  <c r="AD48" i="1" a="1"/>
  <c r="AD48" i="1" s="1"/>
  <c r="AB46" i="1" a="1"/>
  <c r="AB46" i="1" s="1"/>
  <c r="AB45" i="1" a="1"/>
  <c r="AB45" i="1" s="1"/>
  <c r="AD47" i="1" a="1"/>
  <c r="AD47" i="1" s="1"/>
  <c r="AB47" i="1" a="1"/>
  <c r="AB47" i="1" s="1"/>
  <c r="Z45" i="1" a="1"/>
  <c r="Z45" i="1" s="1"/>
  <c r="AC46" i="1" a="1"/>
  <c r="AC46" i="1" s="1"/>
  <c r="AD46" i="1" a="1"/>
  <c r="AD46" i="1" s="1"/>
  <c r="AD45" i="1" a="1"/>
  <c r="AD45" i="1" s="1"/>
  <c r="AD49" i="1" a="1"/>
  <c r="AD49" i="1" s="1"/>
  <c r="AC49" i="1" a="1"/>
  <c r="AC49" i="1" s="1"/>
  <c r="Z49" i="1" a="1"/>
  <c r="Z49" i="1" s="1"/>
  <c r="Y48" i="1" a="1"/>
  <c r="Y48" i="1" s="1"/>
  <c r="Y46" i="1" a="1"/>
  <c r="Y46" i="1" s="1"/>
  <c r="Z48" i="1" a="1"/>
  <c r="Z48" i="1" s="1"/>
  <c r="AA46" i="1" a="1"/>
  <c r="AA46" i="1" s="1"/>
  <c r="Y45" i="1" a="1"/>
  <c r="Y45" i="1" s="1"/>
  <c r="AC45" i="1" a="1"/>
  <c r="AC45" i="1" s="1"/>
  <c r="AC47" i="1" a="1"/>
  <c r="AC47" i="1" s="1"/>
  <c r="Y49" i="1" a="1"/>
  <c r="Y49" i="1" s="1"/>
  <c r="AB48" i="1" a="1"/>
  <c r="AB48" i="1" s="1"/>
  <c r="Z46" i="1" a="1"/>
  <c r="Z46" i="1" s="1"/>
  <c r="AB49" i="1" a="1"/>
  <c r="AB49" i="1" s="1"/>
  <c r="AC48" i="1" a="1"/>
  <c r="AC48" i="1" s="1"/>
  <c r="Y47" i="1" a="1"/>
  <c r="Y47" i="1" s="1"/>
  <c r="AA49" i="1" a="1"/>
  <c r="AA49" i="1" s="1"/>
  <c r="Z47" i="1" a="1"/>
  <c r="Z47" i="1" s="1"/>
  <c r="AA48" i="1" a="1"/>
  <c r="AA48" i="1" s="1"/>
  <c r="AA42" i="1" a="1"/>
  <c r="AA42" i="1" s="1"/>
  <c r="Y44" i="1" a="1"/>
  <c r="Y44" i="1" s="1"/>
  <c r="AD40" i="1" a="1"/>
  <c r="AD40" i="1" s="1"/>
  <c r="AD42" i="1" a="1"/>
  <c r="AD42" i="1" s="1"/>
  <c r="Y42" i="1" a="1"/>
  <c r="Y42" i="1" s="1"/>
  <c r="AB41" i="1" a="1"/>
  <c r="AB41" i="1" s="1"/>
  <c r="AC42" i="1" a="1"/>
  <c r="AC42" i="1" s="1"/>
  <c r="AD43" i="1" a="1"/>
  <c r="AD43" i="1" s="1"/>
  <c r="AA43" i="1" a="1"/>
  <c r="AA43" i="1" s="1"/>
  <c r="Y43" i="1" a="1"/>
  <c r="Y43" i="1" s="1"/>
  <c r="Z42" i="1" a="1"/>
  <c r="Z42" i="1" s="1"/>
  <c r="AD41" i="1" a="1"/>
  <c r="AD41" i="1" s="1"/>
  <c r="Y41" i="1" a="1"/>
  <c r="Y41" i="1" s="1"/>
  <c r="AC40" i="1" a="1"/>
  <c r="AC40" i="1" s="1"/>
  <c r="AC41" i="1" a="1"/>
  <c r="AC41" i="1" s="1"/>
  <c r="Z41" i="1" a="1"/>
  <c r="Z41" i="1" s="1"/>
  <c r="AB40" i="1" a="1"/>
  <c r="AB40" i="1" s="1"/>
  <c r="AB43" i="1" a="1"/>
  <c r="AB43" i="1" s="1"/>
  <c r="AA41" i="1" a="1"/>
  <c r="AA41" i="1" s="1"/>
  <c r="Y40" i="1" a="1"/>
  <c r="Y40" i="1" s="1"/>
  <c r="AC43" i="1" a="1"/>
  <c r="AC43" i="1" s="1"/>
  <c r="AD44" i="1" a="1"/>
  <c r="AD44" i="1" s="1"/>
  <c r="AA40" i="1" a="1"/>
  <c r="AA40" i="1" s="1"/>
  <c r="AB42" i="1" a="1"/>
  <c r="AB42" i="1" s="1"/>
  <c r="AC44" i="1" a="1"/>
  <c r="AC44" i="1" s="1"/>
  <c r="AB44" i="1" a="1"/>
  <c r="AB44" i="1" s="1"/>
  <c r="AA44" i="1" a="1"/>
  <c r="AA44" i="1" s="1"/>
  <c r="Z44" i="1" a="1"/>
  <c r="Z44" i="1" s="1"/>
  <c r="Z43" i="1" a="1"/>
  <c r="Z43" i="1" s="1"/>
  <c r="Z40" i="1" a="1"/>
  <c r="Z40" i="1" s="1"/>
  <c r="AD38" i="1" a="1"/>
  <c r="AD38" i="1" s="1"/>
  <c r="Y39" i="1" a="1"/>
  <c r="Y39" i="1" s="1"/>
  <c r="AD32" i="1" a="1"/>
  <c r="AD32" i="1" s="1"/>
  <c r="AA31" i="1" a="1"/>
  <c r="AA31" i="1" s="1"/>
  <c r="AD30" i="1" a="1"/>
  <c r="AD30" i="1" s="1"/>
  <c r="AD29" i="1" a="1"/>
  <c r="AD29" i="1" s="1"/>
  <c r="AA32" i="1" a="1"/>
  <c r="AA32" i="1" s="1"/>
  <c r="AC30" i="1" a="1"/>
  <c r="AC30" i="1" s="1"/>
  <c r="AA30" i="1" a="1"/>
  <c r="AA30" i="1" s="1"/>
  <c r="Y30" i="1" a="1"/>
  <c r="Y30" i="1" s="1"/>
  <c r="Y33" i="1" a="1"/>
  <c r="Y33" i="1" s="1"/>
  <c r="AC31" i="1" a="1"/>
  <c r="AC31" i="1" s="1"/>
  <c r="AC32" i="1" a="1"/>
  <c r="AC32" i="1" s="1"/>
  <c r="Y32" i="1" a="1"/>
  <c r="Y32" i="1" s="1"/>
  <c r="AB31" i="1" a="1"/>
  <c r="AB31" i="1" s="1"/>
  <c r="Z29" i="1" a="1"/>
  <c r="Z29" i="1" s="1"/>
  <c r="AA29" i="1" a="1"/>
  <c r="AA29" i="1" s="1"/>
  <c r="AD31" i="1" a="1"/>
  <c r="AD31" i="1" s="1"/>
  <c r="Y29" i="1" a="1"/>
  <c r="Y29" i="1" s="1"/>
  <c r="Z30" i="1" a="1"/>
  <c r="Z30" i="1" s="1"/>
  <c r="AB30" i="1" a="1"/>
  <c r="AB30" i="1" s="1"/>
  <c r="AB32" i="1" a="1"/>
  <c r="AB32" i="1" s="1"/>
  <c r="Z32" i="1" a="1"/>
  <c r="Z32" i="1" s="1"/>
  <c r="Z31" i="1" a="1"/>
  <c r="Z31" i="1" s="1"/>
  <c r="AC29" i="1" a="1"/>
  <c r="AC29" i="1" s="1"/>
  <c r="AB29" i="1" a="1"/>
  <c r="AB29" i="1" s="1"/>
  <c r="Y31" i="1" a="1"/>
  <c r="Y31" i="1" s="1"/>
  <c r="AC33" i="1" a="1"/>
  <c r="AC33" i="1" s="1"/>
  <c r="AB33" i="1" a="1"/>
  <c r="AB33" i="1" s="1"/>
  <c r="AA33" i="1" a="1"/>
  <c r="AA33" i="1" s="1"/>
  <c r="Z33" i="1" a="1"/>
  <c r="Z33" i="1" s="1"/>
  <c r="AD26" i="1" a="1"/>
  <c r="AD26" i="1" s="1"/>
  <c r="AB26" i="1" a="1"/>
  <c r="AB26" i="1" s="1"/>
  <c r="AA26" i="1" a="1"/>
  <c r="AA26" i="1" s="1"/>
  <c r="AB24" i="1" a="1"/>
  <c r="AB24" i="1" s="1"/>
  <c r="Z24" i="1" a="1"/>
  <c r="Z24" i="1" s="1"/>
  <c r="AC25" i="1" a="1"/>
  <c r="AC25" i="1" s="1"/>
  <c r="AA25" i="1" a="1"/>
  <c r="AA25" i="1" s="1"/>
  <c r="AB25" i="1" a="1"/>
  <c r="AB25" i="1" s="1"/>
  <c r="Z25" i="1" a="1"/>
  <c r="Z25" i="1" s="1"/>
  <c r="AC24" i="1" a="1"/>
  <c r="AC24" i="1" s="1"/>
  <c r="Y28" i="1" a="1"/>
  <c r="Y28" i="1" s="1"/>
  <c r="AC26" i="1" a="1"/>
  <c r="AC26" i="1" s="1"/>
  <c r="AD28" i="1" a="1"/>
  <c r="AD28" i="1" s="1"/>
  <c r="AC28" i="1" a="1"/>
  <c r="AC28" i="1" s="1"/>
  <c r="AB28" i="1" a="1"/>
  <c r="AB28" i="1" s="1"/>
  <c r="AA28" i="1" a="1"/>
  <c r="AA28" i="1" s="1"/>
  <c r="Z28" i="1" a="1"/>
  <c r="Z28" i="1" s="1"/>
  <c r="AD25" i="1" a="1"/>
  <c r="AD25" i="1" s="1"/>
  <c r="AB27" i="1" a="1"/>
  <c r="AB27" i="1" s="1"/>
  <c r="Y27" i="1" a="1"/>
  <c r="Y27" i="1" s="1"/>
  <c r="AA24" i="1" a="1"/>
  <c r="AA24" i="1" s="1"/>
  <c r="Y26" i="1" a="1"/>
  <c r="Y26" i="1" s="1"/>
  <c r="Y24" i="1" a="1"/>
  <c r="Y24" i="1" s="1"/>
  <c r="Z26" i="1" a="1"/>
  <c r="Z26" i="1" s="1"/>
  <c r="Z27" i="1" a="1"/>
  <c r="Z27" i="1" s="1"/>
  <c r="AD27" i="1" a="1"/>
  <c r="AD27" i="1" s="1"/>
  <c r="AC27" i="1" a="1"/>
  <c r="AC27" i="1" s="1"/>
  <c r="AD24" i="1" a="1"/>
  <c r="AD24" i="1" s="1"/>
  <c r="AA27" i="1" a="1"/>
  <c r="AA27" i="1" s="1"/>
  <c r="Y25" i="1" a="1"/>
  <c r="Y25" i="1" s="1"/>
  <c r="AC22" i="1" a="1"/>
  <c r="AC22" i="1" s="1"/>
  <c r="AC21" i="1" a="1"/>
  <c r="AC21" i="1" s="1"/>
  <c r="Y18" i="1" a="1"/>
  <c r="Y18" i="1" s="1"/>
  <c r="Y21" i="1" a="1"/>
  <c r="Y21" i="1" s="1"/>
  <c r="AD18" i="1" a="1"/>
  <c r="AD18" i="1" s="1"/>
  <c r="AA17" i="1" a="1"/>
  <c r="AA17" i="1" s="1"/>
  <c r="Z17" i="1" a="1"/>
  <c r="Z17" i="1" s="1"/>
  <c r="AB18" i="1" a="1"/>
  <c r="AB18" i="1" s="1"/>
  <c r="Z18" i="1" a="1"/>
  <c r="Z18" i="1" s="1"/>
  <c r="Z21" i="1" a="1"/>
  <c r="Z21" i="1" s="1"/>
  <c r="AB23" i="1" a="1"/>
  <c r="AB23" i="1" s="1"/>
  <c r="AA23" i="1" a="1"/>
  <c r="AA23" i="1" s="1"/>
  <c r="Y22" i="1" a="1"/>
  <c r="Y22" i="1" s="1"/>
  <c r="Z22" i="1" a="1"/>
  <c r="Z22" i="1" s="1"/>
  <c r="AD21" i="1" a="1"/>
  <c r="AD21" i="1" s="1"/>
  <c r="AC17" i="1" a="1"/>
  <c r="AC17" i="1" s="1"/>
  <c r="AD23" i="1" a="1"/>
  <c r="AD23" i="1" s="1"/>
  <c r="AC23" i="1" a="1"/>
  <c r="AC23" i="1" s="1"/>
  <c r="Z23" i="1" a="1"/>
  <c r="Z23" i="1" s="1"/>
  <c r="AD22" i="1" a="1"/>
  <c r="AD22" i="1" s="1"/>
  <c r="AB22" i="1" a="1"/>
  <c r="AB22" i="1" s="1"/>
  <c r="AA22" i="1" a="1"/>
  <c r="AA22" i="1" s="1"/>
  <c r="AA21" i="1" a="1"/>
  <c r="AA21" i="1" s="1"/>
  <c r="AB21" i="1" a="1"/>
  <c r="AB21" i="1" s="1"/>
  <c r="Y23" i="1" a="1"/>
  <c r="Y23" i="1" s="1"/>
  <c r="AD17" i="1" a="1"/>
  <c r="AD17" i="1" s="1"/>
  <c r="AC18" i="1" a="1"/>
  <c r="AC18" i="1" s="1"/>
  <c r="AA18" i="1" a="1"/>
  <c r="AA18" i="1" s="1"/>
  <c r="AB17" i="1" a="1"/>
  <c r="AB17" i="1" s="1"/>
  <c r="AA16" i="1" a="1"/>
  <c r="AA16" i="1" s="1"/>
  <c r="Z16" i="1" a="1"/>
  <c r="Z16" i="1" s="1"/>
  <c r="AD14" i="1" a="1"/>
  <c r="AD14" i="1" s="1"/>
  <c r="Y16" i="1" a="1"/>
  <c r="Y16" i="1" s="1"/>
  <c r="Z13" i="1" a="1"/>
  <c r="Z13" i="1" s="1"/>
  <c r="AB13" i="1" a="1"/>
  <c r="AB13" i="1" s="1"/>
  <c r="AC12" i="1" a="1"/>
  <c r="AC12" i="1" s="1"/>
  <c r="AC16" i="1" a="1"/>
  <c r="AC16" i="1" s="1"/>
  <c r="AD16" i="1" a="1"/>
  <c r="AD16" i="1" s="1"/>
  <c r="AB15" i="1" a="1"/>
  <c r="AB15" i="1" s="1"/>
  <c r="Z12" i="1" a="1"/>
  <c r="Z12" i="1" s="1"/>
  <c r="Y13" i="1" a="1"/>
  <c r="Y13" i="1" s="1"/>
  <c r="AB14" i="1" a="1"/>
  <c r="AB14" i="1" s="1"/>
  <c r="AA14" i="1" a="1"/>
  <c r="AA14" i="1" s="1"/>
  <c r="Z15" i="1" a="1"/>
  <c r="Z15" i="1" s="1"/>
  <c r="Y12" i="1" a="1"/>
  <c r="Y12" i="1" s="1"/>
  <c r="AD15" i="1" a="1"/>
  <c r="AD15" i="1" s="1"/>
  <c r="AB16" i="1" a="1"/>
  <c r="AB16" i="1" s="1"/>
  <c r="AC15" i="1" a="1"/>
  <c r="AC15" i="1" s="1"/>
  <c r="Y14" i="1" a="1"/>
  <c r="Y14" i="1" s="1"/>
  <c r="AD12" i="1" a="1"/>
  <c r="AD12" i="1" s="1"/>
  <c r="AC13" i="1" a="1"/>
  <c r="AC13" i="1" s="1"/>
  <c r="AC14" i="1" a="1"/>
  <c r="AC14" i="1" s="1"/>
  <c r="Z14" i="1" a="1"/>
  <c r="Z14" i="1" s="1"/>
  <c r="AA15" i="1" a="1"/>
  <c r="AA15" i="1" s="1"/>
  <c r="Y15" i="1" a="1"/>
  <c r="Y15" i="1" s="1"/>
  <c r="AA12" i="1" a="1"/>
  <c r="AA12" i="1" s="1"/>
  <c r="AB12" i="1" a="1"/>
  <c r="AB12" i="1" s="1"/>
  <c r="AD13" i="1" a="1"/>
  <c r="AD13" i="1" s="1"/>
  <c r="AA13" i="1" a="1"/>
  <c r="AA13" i="1" s="1"/>
  <c r="Z9" i="1" a="1"/>
  <c r="Z9" i="1" s="1"/>
  <c r="Z10" i="1" a="1"/>
  <c r="Z10" i="1" s="1"/>
  <c r="AB7" i="1" a="1"/>
  <c r="AB7" i="1" s="1"/>
  <c r="AD8" i="1" a="1"/>
  <c r="AD8" i="1" s="1"/>
  <c r="AB11" i="1" a="1"/>
  <c r="AB11" i="1" s="1"/>
  <c r="Y11" i="1" a="1"/>
  <c r="Y11" i="1" s="1"/>
  <c r="AC8" i="1" a="1"/>
  <c r="AC8" i="1" s="1"/>
  <c r="AA11" i="1" a="1"/>
  <c r="AA11" i="1" s="1"/>
  <c r="AD11" i="1" a="1"/>
  <c r="AD11" i="1" s="1"/>
  <c r="Z8" i="1" a="1"/>
  <c r="Z8" i="1" s="1"/>
  <c r="Z7" i="1" a="1"/>
  <c r="Z7" i="1" s="1"/>
  <c r="AC9" i="1" a="1"/>
  <c r="AC9" i="1" s="1"/>
  <c r="Z11" i="1" a="1"/>
  <c r="Z11" i="1" s="1"/>
  <c r="AD7" i="1" a="1"/>
  <c r="AD7" i="1" s="1"/>
  <c r="AC10" i="1" a="1"/>
  <c r="AC10" i="1" s="1"/>
  <c r="AD10" i="1" a="1"/>
  <c r="AD10" i="1" s="1"/>
  <c r="AA10" i="1" a="1"/>
  <c r="AA10" i="1" s="1"/>
  <c r="Y10" i="1" a="1"/>
  <c r="Y10" i="1" s="1"/>
  <c r="AD9" i="1" a="1"/>
  <c r="AD9" i="1" s="1"/>
  <c r="AB8" i="1" a="1"/>
  <c r="AB8" i="1" s="1"/>
  <c r="Y9" i="1" a="1"/>
  <c r="Y9" i="1" s="1"/>
  <c r="AC7" i="1" a="1"/>
  <c r="AC7" i="1" s="1"/>
  <c r="AA7" i="1" a="1"/>
  <c r="AA7" i="1" s="1"/>
  <c r="AB9" i="1" a="1"/>
  <c r="AB9" i="1" s="1"/>
  <c r="AA9" i="1" a="1"/>
  <c r="AA9" i="1" s="1"/>
  <c r="AA8" i="1" a="1"/>
  <c r="AA8" i="1" s="1"/>
  <c r="Y7" i="1" a="1"/>
  <c r="Y7" i="1" s="1"/>
  <c r="Y8" i="1" a="1"/>
  <c r="Y8" i="1" s="1"/>
  <c r="AC11" i="1" a="1"/>
  <c r="AC11" i="1" s="1"/>
  <c r="AB10" i="1" a="1"/>
  <c r="AB10" i="1" s="1"/>
  <c r="AB3" i="1" a="1"/>
  <c r="AB3" i="1" s="1"/>
  <c r="AC6" i="1" a="1"/>
  <c r="AC6" i="1" s="1"/>
  <c r="AB5" i="1" a="1"/>
  <c r="AB5" i="1" s="1"/>
  <c r="Z4" i="1" a="1"/>
  <c r="Z4" i="1" s="1"/>
  <c r="AA5" i="1" a="1"/>
  <c r="AA5" i="1" s="1"/>
  <c r="Y5" i="1" a="1"/>
  <c r="Y5" i="1" s="1"/>
  <c r="AD3" i="1" a="1"/>
  <c r="AD3" i="1" s="1"/>
  <c r="AD6" i="1" a="1"/>
  <c r="AD6" i="1" s="1"/>
  <c r="AB6" i="1" a="1"/>
  <c r="AB6" i="1" s="1"/>
  <c r="AA6" i="1" a="1"/>
  <c r="AA6" i="1" s="1"/>
  <c r="Z5" i="1" a="1"/>
  <c r="Z5" i="1" s="1"/>
  <c r="Z6" i="1" a="1"/>
  <c r="Z6" i="1" s="1"/>
  <c r="AC5" i="1" a="1"/>
  <c r="AC5" i="1" s="1"/>
  <c r="AB4" i="1" a="1"/>
  <c r="AB4" i="1" s="1"/>
  <c r="AA3" i="1" a="1"/>
  <c r="AA3" i="1" s="1"/>
  <c r="Z3" i="1" a="1"/>
  <c r="Z3" i="1" s="1"/>
  <c r="AA4" i="1" a="1"/>
  <c r="AA4" i="1" s="1"/>
  <c r="AC4" i="1" a="1"/>
  <c r="AC4" i="1" s="1"/>
  <c r="Y4" i="1" a="1"/>
  <c r="Y4" i="1" s="1"/>
  <c r="AD4" i="1" a="1"/>
  <c r="AD4" i="1" s="1"/>
  <c r="AC3" i="1" a="1"/>
  <c r="AC3" i="1" s="1"/>
  <c r="AD5" i="1" a="1"/>
  <c r="AD5" i="1" s="1"/>
  <c r="Y6" i="1" a="1"/>
  <c r="Y6" i="1" s="1"/>
  <c r="Y3" i="1" a="1"/>
  <c r="Y3" i="1" s="1"/>
  <c r="AC38" i="1" a="1"/>
  <c r="AC38" i="1" s="1"/>
  <c r="AB37" i="1" a="1"/>
  <c r="AB37" i="1" s="1"/>
  <c r="Y34" i="1" a="1"/>
  <c r="Y34" i="1" s="1"/>
  <c r="Z36" i="1" a="1"/>
  <c r="Z36" i="1" s="1"/>
  <c r="Z38" i="1" a="1"/>
  <c r="Z38" i="1" s="1"/>
  <c r="AB36" i="1" a="1"/>
  <c r="AB36" i="1" s="1"/>
  <c r="Z35" i="1" a="1"/>
  <c r="Z35" i="1" s="1"/>
  <c r="AD34" i="1" a="1"/>
  <c r="AD34" i="1" s="1"/>
  <c r="AA34" i="1" a="1"/>
  <c r="AA34" i="1" s="1"/>
  <c r="Y38" i="1" a="1"/>
  <c r="Y38" i="1" s="1"/>
  <c r="AD37" i="1" a="1"/>
  <c r="AD37" i="1" s="1"/>
  <c r="AC37" i="1" a="1"/>
  <c r="AC37" i="1" s="1"/>
  <c r="AD35" i="1" a="1"/>
  <c r="AD35" i="1" s="1"/>
  <c r="AB35" i="1" a="1"/>
  <c r="AB35" i="1" s="1"/>
  <c r="Z37" i="1" a="1"/>
  <c r="Z37" i="1" s="1"/>
  <c r="AC36" i="1" a="1"/>
  <c r="AC36" i="1" s="1"/>
  <c r="Z34" i="1" a="1"/>
  <c r="Z34" i="1" s="1"/>
  <c r="AD36" i="1" a="1"/>
  <c r="AD36" i="1" s="1"/>
  <c r="AC34" i="1" a="1"/>
  <c r="AC34" i="1" s="1"/>
  <c r="AC35" i="1" a="1"/>
  <c r="AC35" i="1" s="1"/>
  <c r="AD33" i="1" a="1"/>
  <c r="AD33" i="1" s="1"/>
  <c r="AA36" i="1" a="1"/>
  <c r="AA36" i="1" s="1"/>
  <c r="Y36" i="1" a="1"/>
  <c r="Y36" i="1" s="1"/>
  <c r="AA37" i="1" a="1"/>
  <c r="AA37" i="1" s="1"/>
  <c r="AA35" i="1" a="1"/>
  <c r="AA35" i="1" s="1"/>
  <c r="Y35" i="1" a="1"/>
  <c r="Y35" i="1" s="1"/>
  <c r="Y37" i="1" a="1"/>
  <c r="Y37" i="1" s="1"/>
  <c r="AB34" i="1" a="1"/>
  <c r="AB34" i="1" s="1"/>
  <c r="AB38" i="1" a="1"/>
  <c r="AB38" i="1" s="1"/>
  <c r="AA38" i="1" a="1"/>
  <c r="AA38" i="1" s="1"/>
  <c r="Z39" i="1" a="1"/>
  <c r="Z39" i="1" s="1"/>
  <c r="AC39" i="1" a="1"/>
  <c r="AC39" i="1" s="1"/>
  <c r="AD39" i="1" a="1"/>
  <c r="AD39" i="1" s="1"/>
  <c r="AB39" i="1" a="1"/>
  <c r="AB39" i="1" s="1"/>
  <c r="AA39" i="1" a="1"/>
  <c r="AA39" i="1" s="1"/>
  <c r="AR44" i="1"/>
  <c r="AQ44" i="1"/>
  <c r="AR43" i="1"/>
  <c r="AQ43" i="1"/>
  <c r="X51" i="1"/>
  <c r="W51" i="1"/>
  <c r="X50" i="1"/>
  <c r="W50" i="1"/>
  <c r="X49" i="1"/>
  <c r="W49" i="1"/>
  <c r="X48" i="1"/>
  <c r="W48" i="1"/>
  <c r="X47" i="1"/>
  <c r="W47" i="1"/>
  <c r="X46" i="1"/>
  <c r="W46" i="1"/>
  <c r="X45" i="1"/>
  <c r="W45" i="1"/>
  <c r="X44" i="1"/>
  <c r="W44" i="1"/>
  <c r="X43" i="1"/>
  <c r="W43" i="1"/>
  <c r="X42" i="1"/>
  <c r="W42" i="1"/>
  <c r="X41" i="1"/>
  <c r="W41" i="1"/>
  <c r="X40" i="1"/>
  <c r="W40" i="1"/>
  <c r="X39" i="1"/>
  <c r="W39" i="1"/>
  <c r="X38" i="1"/>
  <c r="W38" i="1"/>
  <c r="X37" i="1"/>
  <c r="W37" i="1"/>
  <c r="X36" i="1"/>
  <c r="W36" i="1"/>
  <c r="X35" i="1"/>
  <c r="W35" i="1"/>
  <c r="X34" i="1"/>
  <c r="W34" i="1"/>
  <c r="X33" i="1"/>
  <c r="W33" i="1"/>
  <c r="X32" i="1"/>
  <c r="W32" i="1"/>
  <c r="X31" i="1"/>
  <c r="W31" i="1"/>
  <c r="X30" i="1"/>
  <c r="W30" i="1"/>
  <c r="X29" i="1"/>
  <c r="W29" i="1"/>
  <c r="X28" i="1"/>
  <c r="W28" i="1"/>
  <c r="X27" i="1"/>
  <c r="W27" i="1"/>
  <c r="X26" i="1"/>
  <c r="W26" i="1"/>
  <c r="X25" i="1"/>
  <c r="W25" i="1"/>
  <c r="X24" i="1"/>
  <c r="W24" i="1"/>
  <c r="X23" i="1"/>
  <c r="W23" i="1"/>
  <c r="X22" i="1"/>
  <c r="W22" i="1"/>
  <c r="X21" i="1"/>
  <c r="W21" i="1"/>
  <c r="X18" i="1"/>
  <c r="W18" i="1"/>
  <c r="X17" i="1"/>
  <c r="W17" i="1"/>
  <c r="X16" i="1"/>
  <c r="W16" i="1"/>
  <c r="X15" i="1"/>
  <c r="W15" i="1"/>
  <c r="X14" i="1"/>
  <c r="W14" i="1"/>
  <c r="X13" i="1"/>
  <c r="W13" i="1"/>
  <c r="X12" i="1"/>
  <c r="W12" i="1"/>
  <c r="X11" i="1"/>
  <c r="W11" i="1"/>
  <c r="X10" i="1"/>
  <c r="W10" i="1"/>
  <c r="X9" i="1"/>
  <c r="W9" i="1"/>
  <c r="X8" i="1"/>
  <c r="W8" i="1"/>
  <c r="X7" i="1"/>
  <c r="W7" i="1"/>
  <c r="X6" i="1"/>
  <c r="W6" i="1"/>
  <c r="X5" i="1"/>
  <c r="W5" i="1"/>
  <c r="X4" i="1"/>
  <c r="W4" i="1"/>
  <c r="X3" i="1"/>
  <c r="W3" i="1"/>
  <c r="Q51" i="1"/>
  <c r="P51" i="1"/>
  <c r="O51" i="1"/>
  <c r="N51" i="1"/>
  <c r="M51" i="1"/>
  <c r="Q50" i="1"/>
  <c r="P50" i="1"/>
  <c r="O50" i="1"/>
  <c r="N50" i="1"/>
  <c r="M50" i="1"/>
  <c r="Q49" i="1"/>
  <c r="P49" i="1"/>
  <c r="O49" i="1"/>
  <c r="N49" i="1"/>
  <c r="M49" i="1"/>
  <c r="Q48" i="1"/>
  <c r="P48" i="1"/>
  <c r="O48" i="1"/>
  <c r="N48" i="1"/>
  <c r="M48" i="1"/>
  <c r="Q47" i="1"/>
  <c r="P47" i="1"/>
  <c r="O47" i="1"/>
  <c r="N47" i="1"/>
  <c r="M47" i="1"/>
  <c r="Q46" i="1"/>
  <c r="P46" i="1"/>
  <c r="O46" i="1"/>
  <c r="N46" i="1"/>
  <c r="M46" i="1"/>
  <c r="Q45" i="1"/>
  <c r="P45" i="1"/>
  <c r="O45" i="1"/>
  <c r="N45" i="1"/>
  <c r="M45" i="1"/>
  <c r="Q44" i="1"/>
  <c r="P44" i="1"/>
  <c r="O44" i="1"/>
  <c r="N44" i="1"/>
  <c r="M44" i="1"/>
  <c r="Q43" i="1"/>
  <c r="P43" i="1"/>
  <c r="O43" i="1"/>
  <c r="N43" i="1"/>
  <c r="M43" i="1"/>
  <c r="Q42" i="1"/>
  <c r="P42" i="1"/>
  <c r="O42" i="1"/>
  <c r="N42" i="1"/>
  <c r="M42" i="1"/>
  <c r="Q41" i="1"/>
  <c r="P41" i="1"/>
  <c r="O41" i="1"/>
  <c r="N41" i="1"/>
  <c r="M41" i="1"/>
  <c r="Q40" i="1"/>
  <c r="P40" i="1"/>
  <c r="O40" i="1"/>
  <c r="N40" i="1"/>
  <c r="M40" i="1"/>
  <c r="Q39" i="1"/>
  <c r="P39" i="1"/>
  <c r="O39" i="1"/>
  <c r="N39" i="1"/>
  <c r="M39" i="1"/>
  <c r="Q38" i="1"/>
  <c r="P38" i="1"/>
  <c r="O38" i="1"/>
  <c r="N38" i="1"/>
  <c r="M38" i="1"/>
  <c r="Q37" i="1"/>
  <c r="P37" i="1"/>
  <c r="O37" i="1"/>
  <c r="N37" i="1"/>
  <c r="M37" i="1"/>
  <c r="Q36" i="1"/>
  <c r="P36" i="1"/>
  <c r="O36" i="1"/>
  <c r="N36" i="1"/>
  <c r="M36" i="1"/>
  <c r="Q35" i="1"/>
  <c r="P35" i="1"/>
  <c r="O35" i="1"/>
  <c r="N35" i="1"/>
  <c r="M35" i="1"/>
  <c r="Q34" i="1"/>
  <c r="P34" i="1"/>
  <c r="O34" i="1"/>
  <c r="N34" i="1"/>
  <c r="M34" i="1"/>
  <c r="Q33" i="1"/>
  <c r="P33" i="1"/>
  <c r="O33" i="1"/>
  <c r="N33" i="1"/>
  <c r="M33" i="1"/>
  <c r="Q32" i="1"/>
  <c r="P32" i="1"/>
  <c r="O32" i="1"/>
  <c r="N32" i="1"/>
  <c r="M32" i="1"/>
  <c r="Q31" i="1"/>
  <c r="P31" i="1"/>
  <c r="O31" i="1"/>
  <c r="N31" i="1"/>
  <c r="M31" i="1"/>
  <c r="Q30" i="1"/>
  <c r="P30" i="1"/>
  <c r="O30" i="1"/>
  <c r="N30" i="1"/>
  <c r="M30" i="1"/>
  <c r="Q29" i="1"/>
  <c r="P29" i="1"/>
  <c r="O29" i="1"/>
  <c r="N29" i="1"/>
  <c r="M29" i="1"/>
  <c r="Q28" i="1"/>
  <c r="P28" i="1"/>
  <c r="O28" i="1"/>
  <c r="N28" i="1"/>
  <c r="M28" i="1"/>
  <c r="Q27" i="1"/>
  <c r="P27" i="1"/>
  <c r="O27" i="1"/>
  <c r="N27" i="1"/>
  <c r="M27" i="1"/>
  <c r="Q26" i="1"/>
  <c r="P26" i="1"/>
  <c r="O26" i="1"/>
  <c r="N26" i="1"/>
  <c r="M26" i="1"/>
  <c r="Q25" i="1"/>
  <c r="P25" i="1"/>
  <c r="O25" i="1"/>
  <c r="N25" i="1"/>
  <c r="M25" i="1"/>
  <c r="Q24" i="1"/>
  <c r="P24" i="1"/>
  <c r="O24" i="1"/>
  <c r="N24" i="1"/>
  <c r="M24" i="1"/>
  <c r="Q23" i="1"/>
  <c r="P23" i="1"/>
  <c r="O23" i="1"/>
  <c r="N23" i="1"/>
  <c r="M23" i="1"/>
  <c r="Q22" i="1"/>
  <c r="P22" i="1"/>
  <c r="O22" i="1"/>
  <c r="N22" i="1"/>
  <c r="M22" i="1"/>
  <c r="Q21" i="1"/>
  <c r="P21" i="1"/>
  <c r="O21" i="1"/>
  <c r="N21" i="1"/>
  <c r="M21" i="1"/>
  <c r="Q18" i="1"/>
  <c r="P18" i="1"/>
  <c r="O18" i="1"/>
  <c r="N18" i="1"/>
  <c r="M18" i="1"/>
  <c r="Q17" i="1"/>
  <c r="P17" i="1"/>
  <c r="O17" i="1"/>
  <c r="N17" i="1"/>
  <c r="M17" i="1"/>
  <c r="Q16" i="1"/>
  <c r="P16" i="1"/>
  <c r="O16" i="1"/>
  <c r="N16" i="1"/>
  <c r="M16" i="1"/>
  <c r="Q15" i="1"/>
  <c r="P15" i="1"/>
  <c r="O15" i="1"/>
  <c r="N15" i="1"/>
  <c r="M15" i="1"/>
  <c r="Q14" i="1"/>
  <c r="P14" i="1"/>
  <c r="O14" i="1"/>
  <c r="N14" i="1"/>
  <c r="M14" i="1"/>
  <c r="Q13" i="1"/>
  <c r="P13" i="1"/>
  <c r="O13" i="1"/>
  <c r="N13" i="1"/>
  <c r="M13" i="1"/>
  <c r="Q12" i="1"/>
  <c r="P12" i="1"/>
  <c r="O12" i="1"/>
  <c r="N12" i="1"/>
  <c r="M12" i="1"/>
  <c r="Q11" i="1"/>
  <c r="P11" i="1"/>
  <c r="O11" i="1"/>
  <c r="N11" i="1"/>
  <c r="M11" i="1"/>
  <c r="Q10" i="1"/>
  <c r="P10" i="1"/>
  <c r="O10" i="1"/>
  <c r="N10" i="1"/>
  <c r="M10" i="1"/>
  <c r="Q9" i="1"/>
  <c r="P9" i="1"/>
  <c r="O9" i="1"/>
  <c r="N9" i="1"/>
  <c r="M9" i="1"/>
  <c r="Q8" i="1"/>
  <c r="P8" i="1"/>
  <c r="O8" i="1"/>
  <c r="N8" i="1"/>
  <c r="M8" i="1"/>
  <c r="Q7" i="1"/>
  <c r="P7" i="1"/>
  <c r="O7" i="1"/>
  <c r="N7" i="1"/>
  <c r="M7" i="1"/>
  <c r="Q6" i="1"/>
  <c r="P6" i="1"/>
  <c r="O6" i="1"/>
  <c r="N6" i="1"/>
  <c r="M6" i="1"/>
  <c r="Q5" i="1"/>
  <c r="P5" i="1"/>
  <c r="O5" i="1"/>
  <c r="N5" i="1"/>
  <c r="M5" i="1"/>
  <c r="Q4" i="1"/>
  <c r="P4" i="1"/>
  <c r="O4" i="1"/>
  <c r="N4" i="1"/>
  <c r="M4" i="1"/>
  <c r="Q3" i="1"/>
  <c r="P3" i="1"/>
  <c r="O3" i="1"/>
  <c r="N3" i="1"/>
  <c r="M3" i="1"/>
  <c r="U50" i="1" a="1"/>
  <c r="U50" i="1" s="1"/>
  <c r="S50" i="1" a="1"/>
  <c r="S50" i="1" s="1"/>
  <c r="R50" i="1" a="1"/>
  <c r="R50" i="1" s="1"/>
  <c r="R51" i="1" a="1"/>
  <c r="R51" i="1" s="1"/>
  <c r="U51" i="1" a="1"/>
  <c r="U51" i="1" s="1"/>
  <c r="S51" i="1" a="1"/>
  <c r="S51" i="1" s="1"/>
  <c r="T51" i="1" a="1"/>
  <c r="T51" i="1" s="1"/>
  <c r="V51" i="1" a="1"/>
  <c r="V51" i="1" s="1"/>
  <c r="V50" i="1" a="1"/>
  <c r="V50" i="1" s="1"/>
  <c r="T50" i="1" a="1"/>
  <c r="T50" i="1" s="1"/>
  <c r="V49" i="1" a="1"/>
  <c r="V49" i="1" s="1"/>
  <c r="V47" i="1" a="1"/>
  <c r="V47" i="1" s="1"/>
  <c r="U47" i="1" a="1"/>
  <c r="U47" i="1" s="1"/>
  <c r="T49" i="1" a="1"/>
  <c r="T49" i="1" s="1"/>
  <c r="R49" i="1" a="1"/>
  <c r="R49" i="1" s="1"/>
  <c r="R46" i="1" a="1"/>
  <c r="R46" i="1" s="1"/>
  <c r="U45" i="1" a="1"/>
  <c r="U45" i="1" s="1"/>
  <c r="S48" i="1" a="1"/>
  <c r="S48" i="1" s="1"/>
  <c r="R47" i="1" a="1"/>
  <c r="R47" i="1" s="1"/>
  <c r="V48" i="1" a="1"/>
  <c r="V48" i="1" s="1"/>
  <c r="U48" i="1" a="1"/>
  <c r="U48" i="1" s="1"/>
  <c r="R48" i="1" a="1"/>
  <c r="R48" i="1" s="1"/>
  <c r="T46" i="1" a="1"/>
  <c r="T46" i="1" s="1"/>
  <c r="U46" i="1" a="1"/>
  <c r="U46" i="1" s="1"/>
  <c r="U49" i="1" a="1"/>
  <c r="U49" i="1" s="1"/>
  <c r="S49" i="1" a="1"/>
  <c r="S49" i="1" s="1"/>
  <c r="S46" i="1" a="1"/>
  <c r="S46" i="1" s="1"/>
  <c r="T48" i="1" a="1"/>
  <c r="T48" i="1" s="1"/>
  <c r="V46" i="1" a="1"/>
  <c r="V46" i="1" s="1"/>
  <c r="T45" i="1" a="1"/>
  <c r="T45" i="1" s="1"/>
  <c r="S47" i="1" a="1"/>
  <c r="S47" i="1" s="1"/>
  <c r="T47" i="1" a="1"/>
  <c r="T47" i="1" s="1"/>
  <c r="V45" i="1" a="1"/>
  <c r="V45" i="1" s="1"/>
  <c r="V43" i="1" a="1"/>
  <c r="V43" i="1" s="1"/>
  <c r="V41" i="1" a="1"/>
  <c r="V41" i="1" s="1"/>
  <c r="S43" i="1" a="1"/>
  <c r="S43" i="1" s="1"/>
  <c r="S44" i="1" a="1"/>
  <c r="S44" i="1" s="1"/>
  <c r="R41" i="1" a="1"/>
  <c r="R41" i="1" s="1"/>
  <c r="T44" i="1" a="1"/>
  <c r="T44" i="1" s="1"/>
  <c r="T42" i="1" a="1"/>
  <c r="T42" i="1" s="1"/>
  <c r="V44" i="1" a="1"/>
  <c r="V44" i="1" s="1"/>
  <c r="U44" i="1" a="1"/>
  <c r="U44" i="1" s="1"/>
  <c r="R44" i="1" a="1"/>
  <c r="R44" i="1" s="1"/>
  <c r="T43" i="1" a="1"/>
  <c r="T43" i="1" s="1"/>
  <c r="S41" i="1" a="1"/>
  <c r="S41" i="1" s="1"/>
  <c r="V42" i="1" a="1"/>
  <c r="V42" i="1" s="1"/>
  <c r="R42" i="1" a="1"/>
  <c r="R42" i="1" s="1"/>
  <c r="U42" i="1" a="1"/>
  <c r="U42" i="1" s="1"/>
  <c r="U41" i="1" a="1"/>
  <c r="U41" i="1" s="1"/>
  <c r="V40" i="1" a="1"/>
  <c r="V40" i="1" s="1"/>
  <c r="U43" i="1" a="1"/>
  <c r="U43" i="1" s="1"/>
  <c r="T41" i="1" a="1"/>
  <c r="T41" i="1" s="1"/>
  <c r="S45" i="1" a="1"/>
  <c r="S45" i="1" s="1"/>
  <c r="R43" i="1" a="1"/>
  <c r="R43" i="1" s="1"/>
  <c r="R45" i="1" a="1"/>
  <c r="R45" i="1" s="1"/>
  <c r="S42" i="1" a="1"/>
  <c r="S42" i="1" s="1"/>
  <c r="R39" i="1" a="1"/>
  <c r="R39" i="1" s="1"/>
  <c r="T39" i="1" a="1"/>
  <c r="T39" i="1" s="1"/>
  <c r="S39" i="1" a="1"/>
  <c r="S39" i="1" s="1"/>
  <c r="V39" i="1" a="1"/>
  <c r="V39" i="1" s="1"/>
  <c r="U39" i="1" a="1"/>
  <c r="U39" i="1" s="1"/>
  <c r="U33" i="1" a="1"/>
  <c r="U33" i="1" s="1"/>
  <c r="T33" i="1" a="1"/>
  <c r="T33" i="1" s="1"/>
  <c r="U32" i="1" a="1"/>
  <c r="U32" i="1" s="1"/>
  <c r="T32" i="1" a="1"/>
  <c r="T32" i="1" s="1"/>
  <c r="U29" i="1" a="1"/>
  <c r="U29" i="1" s="1"/>
  <c r="U31" i="1" a="1"/>
  <c r="U31" i="1" s="1"/>
  <c r="T30" i="1" a="1"/>
  <c r="T30" i="1" s="1"/>
  <c r="S31" i="1" a="1"/>
  <c r="S31" i="1" s="1"/>
  <c r="R33" i="1" a="1"/>
  <c r="R33" i="1" s="1"/>
  <c r="S29" i="1" a="1"/>
  <c r="S29" i="1" s="1"/>
  <c r="V33" i="1" a="1"/>
  <c r="V33" i="1" s="1"/>
  <c r="S33" i="1" a="1"/>
  <c r="S33" i="1" s="1"/>
  <c r="R32" i="1" a="1"/>
  <c r="R32" i="1" s="1"/>
  <c r="T29" i="1" a="1"/>
  <c r="T29" i="1" s="1"/>
  <c r="V32" i="1" a="1"/>
  <c r="V32" i="1" s="1"/>
  <c r="V29" i="1" a="1"/>
  <c r="V29" i="1" s="1"/>
  <c r="U30" i="1" a="1"/>
  <c r="U30" i="1" s="1"/>
  <c r="V30" i="1" a="1"/>
  <c r="V30" i="1" s="1"/>
  <c r="S32" i="1" a="1"/>
  <c r="S32" i="1" s="1"/>
  <c r="V31" i="1" a="1"/>
  <c r="V31" i="1" s="1"/>
  <c r="T31" i="1" a="1"/>
  <c r="T31" i="1" s="1"/>
  <c r="R31" i="1" a="1"/>
  <c r="R31" i="1" s="1"/>
  <c r="S30" i="1" a="1"/>
  <c r="S30" i="1" s="1"/>
  <c r="R30" i="1" a="1"/>
  <c r="R30" i="1" s="1"/>
  <c r="U27" i="1" a="1"/>
  <c r="U27" i="1" s="1"/>
  <c r="T26" i="1" a="1"/>
  <c r="T26" i="1" s="1"/>
  <c r="R29" i="1" a="1"/>
  <c r="R29" i="1" s="1"/>
  <c r="U25" i="1" a="1"/>
  <c r="U25" i="1" s="1"/>
  <c r="R27" i="1" a="1"/>
  <c r="R27" i="1" s="1"/>
  <c r="V25" i="1" a="1"/>
  <c r="V25" i="1" s="1"/>
  <c r="V24" i="1" a="1"/>
  <c r="V24" i="1" s="1"/>
  <c r="T25" i="1" a="1"/>
  <c r="T25" i="1" s="1"/>
  <c r="V28" i="1" a="1"/>
  <c r="V28" i="1" s="1"/>
  <c r="T28" i="1" a="1"/>
  <c r="T28" i="1" s="1"/>
  <c r="V27" i="1" a="1"/>
  <c r="V27" i="1" s="1"/>
  <c r="S27" i="1" a="1"/>
  <c r="S27" i="1" s="1"/>
  <c r="U26" i="1" a="1"/>
  <c r="U26" i="1" s="1"/>
  <c r="S25" i="1" a="1"/>
  <c r="S25" i="1" s="1"/>
  <c r="U24" i="1" a="1"/>
  <c r="U24" i="1" s="1"/>
  <c r="S26" i="1" a="1"/>
  <c r="S26" i="1" s="1"/>
  <c r="V26" i="1" a="1"/>
  <c r="V26" i="1" s="1"/>
  <c r="U28" i="1" a="1"/>
  <c r="U28" i="1" s="1"/>
  <c r="S28" i="1" a="1"/>
  <c r="S28" i="1" s="1"/>
  <c r="R25" i="1" a="1"/>
  <c r="R25" i="1" s="1"/>
  <c r="R26" i="1" a="1"/>
  <c r="R26" i="1" s="1"/>
  <c r="T24" i="1" a="1"/>
  <c r="T24" i="1" s="1"/>
  <c r="T27" i="1" a="1"/>
  <c r="T27" i="1" s="1"/>
  <c r="R28" i="1" a="1"/>
  <c r="R28" i="1" s="1"/>
  <c r="S24" i="1" a="1"/>
  <c r="S24" i="1" s="1"/>
  <c r="S22" i="1" a="1"/>
  <c r="S22" i="1" s="1"/>
  <c r="T18" i="1" a="1"/>
  <c r="T18" i="1" s="1"/>
  <c r="R24" i="1" a="1"/>
  <c r="R24" i="1" s="1"/>
  <c r="U22" i="1" a="1"/>
  <c r="U22" i="1" s="1"/>
  <c r="V23" i="1" a="1"/>
  <c r="V23" i="1" s="1"/>
  <c r="S23" i="1" a="1"/>
  <c r="S23" i="1" s="1"/>
  <c r="U21" i="1" a="1"/>
  <c r="U21" i="1" s="1"/>
  <c r="U17" i="1" a="1"/>
  <c r="U17" i="1" s="1"/>
  <c r="S18" i="1" a="1"/>
  <c r="S18" i="1" s="1"/>
  <c r="T22" i="1" a="1"/>
  <c r="T22" i="1" s="1"/>
  <c r="R22" i="1" a="1"/>
  <c r="R22" i="1" s="1"/>
  <c r="V21" i="1" a="1"/>
  <c r="V21" i="1" s="1"/>
  <c r="R18" i="1" a="1"/>
  <c r="R18" i="1" s="1"/>
  <c r="V22" i="1" a="1"/>
  <c r="V22" i="1" s="1"/>
  <c r="T21" i="1" a="1"/>
  <c r="T21" i="1" s="1"/>
  <c r="V18" i="1" a="1"/>
  <c r="V18" i="1" s="1"/>
  <c r="V17" i="1" a="1"/>
  <c r="V17" i="1" s="1"/>
  <c r="U23" i="1" a="1"/>
  <c r="U23" i="1" s="1"/>
  <c r="T23" i="1" a="1"/>
  <c r="T23" i="1" s="1"/>
  <c r="U18" i="1" a="1"/>
  <c r="U18" i="1" s="1"/>
  <c r="R23" i="1" a="1"/>
  <c r="R23" i="1" s="1"/>
  <c r="R21" i="1" a="1"/>
  <c r="R21" i="1" s="1"/>
  <c r="S21" i="1" a="1"/>
  <c r="S21" i="1" s="1"/>
  <c r="S17" i="1" a="1"/>
  <c r="S17" i="1" s="1"/>
  <c r="V16" i="1" a="1"/>
  <c r="V16" i="1" s="1"/>
  <c r="U14" i="1" a="1"/>
  <c r="U14" i="1" s="1"/>
  <c r="U13" i="1" a="1"/>
  <c r="U13" i="1" s="1"/>
  <c r="U16" i="1" a="1"/>
  <c r="U16" i="1" s="1"/>
  <c r="R16" i="1" a="1"/>
  <c r="R16" i="1" s="1"/>
  <c r="T16" i="1" a="1"/>
  <c r="T16" i="1" s="1"/>
  <c r="S16" i="1" a="1"/>
  <c r="S16" i="1" s="1"/>
  <c r="R14" i="1" a="1"/>
  <c r="R14" i="1" s="1"/>
  <c r="T17" i="1" a="1"/>
  <c r="T17" i="1" s="1"/>
  <c r="V13" i="1" a="1"/>
  <c r="V13" i="1" s="1"/>
  <c r="R17" i="1" a="1"/>
  <c r="R17" i="1" s="1"/>
  <c r="R15" i="1" a="1"/>
  <c r="R15" i="1" s="1"/>
  <c r="U15" i="1" a="1"/>
  <c r="U15" i="1" s="1"/>
  <c r="S13" i="1" a="1"/>
  <c r="S13" i="1" s="1"/>
  <c r="R13" i="1" a="1"/>
  <c r="R13" i="1" s="1"/>
  <c r="T14" i="1" a="1"/>
  <c r="T14" i="1" s="1"/>
  <c r="T15" i="1" a="1"/>
  <c r="T15" i="1" s="1"/>
  <c r="S14" i="1" a="1"/>
  <c r="S14" i="1" s="1"/>
  <c r="V12" i="1" a="1"/>
  <c r="V12" i="1" s="1"/>
  <c r="T13" i="1" a="1"/>
  <c r="T13" i="1" s="1"/>
  <c r="V15" i="1" a="1"/>
  <c r="V15" i="1" s="1"/>
  <c r="S15" i="1" a="1"/>
  <c r="S15" i="1" s="1"/>
  <c r="V14" i="1" a="1"/>
  <c r="V14" i="1" s="1"/>
  <c r="R9" i="1" a="1"/>
  <c r="R9" i="1" s="1"/>
  <c r="S9" i="1" a="1"/>
  <c r="S9" i="1" s="1"/>
  <c r="U12" i="1" a="1"/>
  <c r="U12" i="1" s="1"/>
  <c r="S12" i="1" a="1"/>
  <c r="S12" i="1" s="1"/>
  <c r="R11" i="1" a="1"/>
  <c r="R11" i="1" s="1"/>
  <c r="U10" i="1" a="1"/>
  <c r="U10" i="1" s="1"/>
  <c r="S8" i="1" a="1"/>
  <c r="S8" i="1" s="1"/>
  <c r="S10" i="1" a="1"/>
  <c r="S10" i="1" s="1"/>
  <c r="V9" i="1" a="1"/>
  <c r="V9" i="1" s="1"/>
  <c r="U11" i="1" a="1"/>
  <c r="U11" i="1" s="1"/>
  <c r="V10" i="1" a="1"/>
  <c r="V10" i="1" s="1"/>
  <c r="T10" i="1" a="1"/>
  <c r="T10" i="1" s="1"/>
  <c r="V8" i="1" a="1"/>
  <c r="V8" i="1" s="1"/>
  <c r="T12" i="1" a="1"/>
  <c r="T12" i="1" s="1"/>
  <c r="R12" i="1" a="1"/>
  <c r="R12" i="1" s="1"/>
  <c r="V11" i="1" a="1"/>
  <c r="V11" i="1" s="1"/>
  <c r="S11" i="1" a="1"/>
  <c r="S11" i="1" s="1"/>
  <c r="U8" i="1" a="1"/>
  <c r="U8" i="1" s="1"/>
  <c r="R10" i="1" a="1"/>
  <c r="R10" i="1" s="1"/>
  <c r="T8" i="1" a="1"/>
  <c r="T8" i="1" s="1"/>
  <c r="U9" i="1" a="1"/>
  <c r="U9" i="1" s="1"/>
  <c r="T9" i="1" a="1"/>
  <c r="T9" i="1" s="1"/>
  <c r="R8" i="1" a="1"/>
  <c r="R8" i="1" s="1"/>
  <c r="T11" i="1" a="1"/>
  <c r="T11" i="1" s="1"/>
  <c r="R6" i="1" a="1"/>
  <c r="R6" i="1" s="1"/>
  <c r="R3" i="1" a="1"/>
  <c r="R3" i="1" s="1"/>
  <c r="V7" i="1" a="1"/>
  <c r="V7" i="1" s="1"/>
  <c r="U7" i="1" a="1"/>
  <c r="U7" i="1" s="1"/>
  <c r="S3" i="1" a="1"/>
  <c r="S3" i="1" s="1"/>
  <c r="V6" i="1" a="1"/>
  <c r="V6" i="1" s="1"/>
  <c r="S7" i="1" a="1"/>
  <c r="S7" i="1" s="1"/>
  <c r="R7" i="1" a="1"/>
  <c r="R7" i="1" s="1"/>
  <c r="T6" i="1" a="1"/>
  <c r="T6" i="1" s="1"/>
  <c r="U3" i="1" a="1"/>
  <c r="U3" i="1" s="1"/>
  <c r="U5" i="1" a="1"/>
  <c r="U5" i="1" s="1"/>
  <c r="T5" i="1" a="1"/>
  <c r="T5" i="1" s="1"/>
  <c r="S4" i="1" a="1"/>
  <c r="S4" i="1" s="1"/>
  <c r="T3" i="1" a="1"/>
  <c r="T3" i="1" s="1"/>
  <c r="V3" i="1" a="1"/>
  <c r="V3" i="1" s="1"/>
  <c r="U4" i="1" a="1"/>
  <c r="U4" i="1" s="1"/>
  <c r="U6" i="1" a="1"/>
  <c r="U6" i="1" s="1"/>
  <c r="S6" i="1" a="1"/>
  <c r="S6" i="1" s="1"/>
  <c r="R4" i="1" a="1"/>
  <c r="R4" i="1" s="1"/>
  <c r="V5" i="1" a="1"/>
  <c r="V5" i="1" s="1"/>
  <c r="R5" i="1" a="1"/>
  <c r="R5" i="1" s="1"/>
  <c r="T7" i="1" a="1"/>
  <c r="T7" i="1" s="1"/>
  <c r="S5" i="1" a="1"/>
  <c r="S5" i="1" s="1"/>
  <c r="V4" i="1" a="1"/>
  <c r="V4" i="1" s="1"/>
  <c r="T4" i="1" a="1"/>
  <c r="T4" i="1" s="1"/>
  <c r="U37" i="1" a="1"/>
  <c r="U37" i="1" s="1"/>
  <c r="S34" i="1" a="1"/>
  <c r="S34" i="1" s="1"/>
  <c r="R34" i="1" a="1"/>
  <c r="R34" i="1" s="1"/>
  <c r="V35" i="1" a="1"/>
  <c r="V35" i="1" s="1"/>
  <c r="V34" i="1" a="1"/>
  <c r="V34" i="1" s="1"/>
  <c r="T37" i="1" a="1"/>
  <c r="T37" i="1" s="1"/>
  <c r="U38" i="1" a="1"/>
  <c r="U38" i="1" s="1"/>
  <c r="R38" i="1" a="1"/>
  <c r="R38" i="1" s="1"/>
  <c r="V36" i="1" a="1"/>
  <c r="V36" i="1" s="1"/>
  <c r="R35" i="1" a="1"/>
  <c r="R35" i="1" s="1"/>
  <c r="T34" i="1" a="1"/>
  <c r="T34" i="1" s="1"/>
  <c r="S35" i="1" a="1"/>
  <c r="S35" i="1" s="1"/>
  <c r="U36" i="1" a="1"/>
  <c r="U36" i="1" s="1"/>
  <c r="V38" i="1" a="1"/>
  <c r="V38" i="1" s="1"/>
  <c r="S38" i="1" a="1"/>
  <c r="S38" i="1" s="1"/>
  <c r="T36" i="1" a="1"/>
  <c r="T36" i="1" s="1"/>
  <c r="U35" i="1" a="1"/>
  <c r="U35" i="1" s="1"/>
  <c r="S36" i="1" a="1"/>
  <c r="S36" i="1" s="1"/>
  <c r="T35" i="1" a="1"/>
  <c r="T35" i="1" s="1"/>
  <c r="T38" i="1" a="1"/>
  <c r="T38" i="1" s="1"/>
  <c r="U34" i="1" a="1"/>
  <c r="U34" i="1" s="1"/>
  <c r="V37" i="1" a="1"/>
  <c r="V37" i="1" s="1"/>
  <c r="R36" i="1" a="1"/>
  <c r="R36" i="1" s="1"/>
  <c r="R37" i="1" a="1"/>
  <c r="R37" i="1" s="1"/>
  <c r="S37" i="1" a="1"/>
  <c r="S37" i="1" s="1"/>
  <c r="T40" i="1" a="1"/>
  <c r="T40" i="1" s="1"/>
  <c r="S40" i="1" a="1"/>
  <c r="S40" i="1" s="1"/>
  <c r="R40" i="1" a="1"/>
  <c r="R40" i="1" s="1"/>
  <c r="U40" i="1" a="1"/>
  <c r="U40" i="1" s="1"/>
  <c r="AW71" i="1"/>
  <c r="AU71" i="1"/>
  <c r="AS71" i="1"/>
  <c r="AP71" i="1"/>
  <c r="AO71" i="1"/>
  <c r="AN71" i="1"/>
  <c r="AM71" i="1"/>
  <c r="AL71" i="1"/>
  <c r="AW70" i="1"/>
  <c r="AU70" i="1"/>
  <c r="AS70" i="1"/>
  <c r="AP70" i="1"/>
  <c r="AO70" i="1"/>
  <c r="AN70" i="1"/>
  <c r="AM70" i="1"/>
  <c r="AL70" i="1"/>
  <c r="AK70" i="1"/>
  <c r="AW69" i="1"/>
  <c r="AU69" i="1"/>
  <c r="AS69" i="1"/>
  <c r="AL69" i="1"/>
  <c r="AK69" i="1"/>
  <c r="AW68" i="1"/>
  <c r="AU68" i="1"/>
  <c r="AS68" i="1"/>
  <c r="AP68" i="1"/>
  <c r="AO68" i="1"/>
  <c r="AN68" i="1"/>
  <c r="AM68" i="1"/>
  <c r="AL68" i="1"/>
  <c r="AK68" i="1"/>
  <c r="AW65" i="1"/>
  <c r="AU65" i="1"/>
  <c r="AS65" i="1"/>
  <c r="AP65" i="1"/>
  <c r="AO65" i="1"/>
  <c r="AN65" i="1"/>
  <c r="AM65" i="1"/>
  <c r="AL65" i="1"/>
  <c r="AK65" i="1"/>
  <c r="AW64" i="1"/>
  <c r="AU64" i="1"/>
  <c r="AS64" i="1"/>
  <c r="AP64" i="1"/>
  <c r="AO64" i="1"/>
  <c r="AN64" i="1"/>
  <c r="AM64" i="1"/>
  <c r="AL64" i="1"/>
  <c r="AK64" i="1"/>
  <c r="AW63" i="1"/>
  <c r="AU63" i="1"/>
  <c r="AS63" i="1"/>
  <c r="AP63" i="1"/>
  <c r="AO63" i="1"/>
  <c r="AN63" i="1"/>
  <c r="AM63" i="1"/>
  <c r="AL63" i="1"/>
  <c r="AK63" i="1"/>
  <c r="AW62" i="1"/>
  <c r="AU62" i="1"/>
  <c r="AS62" i="1"/>
  <c r="AN62" i="1"/>
  <c r="AM62" i="1"/>
  <c r="AL62" i="1"/>
  <c r="AK62" i="1"/>
  <c r="AW61" i="1"/>
  <c r="AU61" i="1"/>
  <c r="AS61" i="1"/>
  <c r="AP61" i="1"/>
  <c r="AO61" i="1"/>
  <c r="AN61" i="1"/>
  <c r="AM61" i="1"/>
  <c r="AL61" i="1"/>
  <c r="AK61" i="1"/>
  <c r="AW60" i="1"/>
  <c r="AU60" i="1"/>
  <c r="AS60" i="1"/>
  <c r="AN60" i="1"/>
  <c r="AM60" i="1"/>
  <c r="AL60" i="1"/>
  <c r="AK60" i="1"/>
  <c r="AW59" i="1"/>
  <c r="AU59" i="1"/>
  <c r="AS59" i="1"/>
  <c r="AP59" i="1"/>
  <c r="AO59" i="1"/>
  <c r="AN59" i="1"/>
  <c r="AM59" i="1"/>
  <c r="AL59" i="1"/>
  <c r="AK59" i="1"/>
  <c r="AW58" i="1"/>
  <c r="AU58" i="1"/>
  <c r="AS58" i="1"/>
  <c r="AP58" i="1"/>
  <c r="AO58" i="1"/>
  <c r="AN58" i="1"/>
  <c r="AM58" i="1"/>
  <c r="AL58" i="1"/>
  <c r="AK58" i="1"/>
  <c r="AW57" i="1"/>
  <c r="AU57" i="1"/>
  <c r="AS57" i="1"/>
  <c r="AP57" i="1"/>
  <c r="AO57" i="1"/>
  <c r="AN57" i="1"/>
  <c r="AM57" i="1"/>
  <c r="AL57" i="1"/>
  <c r="AK57" i="1"/>
  <c r="AW56" i="1"/>
  <c r="AU56" i="1"/>
  <c r="AS56" i="1"/>
  <c r="AP56" i="1"/>
  <c r="AO56" i="1"/>
  <c r="AN56" i="1"/>
  <c r="AM56" i="1"/>
  <c r="AL56" i="1"/>
  <c r="AK56" i="1"/>
  <c r="AW55" i="1"/>
  <c r="AU55" i="1"/>
  <c r="AS55" i="1"/>
  <c r="AP55" i="1"/>
  <c r="AO55" i="1"/>
  <c r="AN55" i="1"/>
  <c r="AM55" i="1"/>
  <c r="AL55" i="1"/>
  <c r="AK55" i="1"/>
  <c r="AW54" i="1"/>
  <c r="AU54" i="1"/>
  <c r="AS54" i="1"/>
  <c r="AP54" i="1"/>
  <c r="AO54" i="1"/>
  <c r="AN54" i="1"/>
  <c r="AM54" i="1"/>
  <c r="AL54" i="1"/>
  <c r="AK54" i="1"/>
  <c r="AW53" i="1"/>
  <c r="AU53" i="1"/>
  <c r="AS53" i="1"/>
  <c r="AL53" i="1"/>
  <c r="AK53" i="1"/>
  <c r="AW52" i="1"/>
  <c r="AU52" i="1"/>
  <c r="AS52" i="1"/>
  <c r="AP52" i="1"/>
  <c r="AO52" i="1"/>
  <c r="AN52" i="1"/>
  <c r="AM52" i="1"/>
  <c r="AL52" i="1"/>
  <c r="AK52" i="1"/>
  <c r="AP51" i="1"/>
  <c r="AO51" i="1"/>
  <c r="AN51" i="1"/>
  <c r="AM51" i="1"/>
  <c r="AL51" i="1"/>
  <c r="AK51" i="1"/>
  <c r="AJ51" i="1"/>
  <c r="AI51" i="1"/>
  <c r="AP50" i="1"/>
  <c r="AO50" i="1"/>
  <c r="AN50" i="1"/>
  <c r="AM50" i="1"/>
  <c r="AL50" i="1"/>
  <c r="AK50" i="1"/>
  <c r="AJ50" i="1"/>
  <c r="AI50" i="1"/>
  <c r="AP49" i="1"/>
  <c r="AO49" i="1"/>
  <c r="AN49" i="1"/>
  <c r="AM49" i="1"/>
  <c r="AL49" i="1"/>
  <c r="AK49" i="1"/>
  <c r="AJ49" i="1"/>
  <c r="AI49" i="1"/>
  <c r="AP48" i="1"/>
  <c r="AO48" i="1"/>
  <c r="AN48" i="1"/>
  <c r="AM48" i="1"/>
  <c r="AL48" i="1"/>
  <c r="AK48" i="1"/>
  <c r="AJ48" i="1"/>
  <c r="AI48" i="1"/>
  <c r="AP47" i="1"/>
  <c r="AO47" i="1"/>
  <c r="AN47" i="1"/>
  <c r="AM47" i="1"/>
  <c r="AL47" i="1"/>
  <c r="AK47" i="1"/>
  <c r="AJ47" i="1"/>
  <c r="AI47" i="1"/>
  <c r="AP46" i="1"/>
  <c r="AO46" i="1"/>
  <c r="AN46" i="1"/>
  <c r="AM46" i="1"/>
  <c r="AL46" i="1"/>
  <c r="AK46" i="1"/>
  <c r="AJ46" i="1"/>
  <c r="AI46" i="1"/>
  <c r="AP45" i="1"/>
  <c r="AO45" i="1"/>
  <c r="AN45" i="1"/>
  <c r="AM45" i="1"/>
  <c r="AL45" i="1"/>
  <c r="AK45" i="1"/>
  <c r="AJ45" i="1"/>
  <c r="AI45" i="1"/>
  <c r="AP44" i="1"/>
  <c r="AO44" i="1"/>
  <c r="AN44" i="1"/>
  <c r="AM44" i="1"/>
  <c r="AL44" i="1"/>
  <c r="AK44" i="1"/>
  <c r="AJ44" i="1"/>
  <c r="AI44" i="1"/>
  <c r="AP43" i="1"/>
  <c r="AO43" i="1"/>
  <c r="AN43" i="1"/>
  <c r="AM43" i="1"/>
  <c r="AL43" i="1"/>
  <c r="AK43" i="1"/>
  <c r="AJ43" i="1"/>
  <c r="AI43" i="1"/>
  <c r="AP42" i="1"/>
  <c r="AO42" i="1"/>
  <c r="AN42" i="1"/>
  <c r="AM42" i="1"/>
  <c r="AL42" i="1"/>
  <c r="AK42" i="1"/>
  <c r="AJ42" i="1"/>
  <c r="AI42" i="1"/>
  <c r="AP41" i="1"/>
  <c r="AO41" i="1"/>
  <c r="AN41" i="1"/>
  <c r="AM41" i="1"/>
  <c r="AL41" i="1"/>
  <c r="AK41" i="1"/>
  <c r="AJ41" i="1"/>
  <c r="AI41" i="1"/>
  <c r="AP40" i="1"/>
  <c r="AO40" i="1"/>
  <c r="AN40" i="1"/>
  <c r="AM40" i="1"/>
  <c r="AL40" i="1"/>
  <c r="AK40" i="1"/>
  <c r="AJ40" i="1"/>
  <c r="AI40" i="1"/>
  <c r="AP39" i="1"/>
  <c r="AO39" i="1"/>
  <c r="AN39" i="1"/>
  <c r="AM39" i="1"/>
  <c r="AL39" i="1"/>
  <c r="AK39" i="1"/>
  <c r="AJ39" i="1"/>
  <c r="AI39" i="1"/>
  <c r="AP38" i="1"/>
  <c r="AO38" i="1"/>
  <c r="AN38" i="1"/>
  <c r="AM38" i="1"/>
  <c r="AL38" i="1"/>
  <c r="AK38" i="1"/>
  <c r="AJ38" i="1"/>
  <c r="AI38" i="1"/>
  <c r="AP37" i="1"/>
  <c r="AO37" i="1"/>
  <c r="AN37" i="1"/>
  <c r="AM37" i="1"/>
  <c r="AL37" i="1"/>
  <c r="AK37" i="1"/>
  <c r="AJ37" i="1"/>
  <c r="AI37" i="1"/>
  <c r="AP36" i="1"/>
  <c r="AO36" i="1"/>
  <c r="AN36" i="1"/>
  <c r="AM36" i="1"/>
  <c r="AL36" i="1"/>
  <c r="AK36" i="1"/>
  <c r="AJ36" i="1"/>
  <c r="AI36" i="1"/>
  <c r="AP35" i="1"/>
  <c r="AO35" i="1"/>
  <c r="AN35" i="1"/>
  <c r="AM35" i="1"/>
  <c r="AL35" i="1"/>
  <c r="AK35" i="1"/>
  <c r="AJ35" i="1"/>
  <c r="AI35" i="1"/>
  <c r="AP34" i="1"/>
  <c r="AO34" i="1"/>
  <c r="AN34" i="1"/>
  <c r="AM34" i="1"/>
  <c r="AL34" i="1"/>
  <c r="AK34" i="1"/>
  <c r="AJ34" i="1"/>
  <c r="AI34" i="1"/>
  <c r="AP33" i="1"/>
  <c r="AO33" i="1"/>
  <c r="AN33" i="1"/>
  <c r="AM33" i="1"/>
  <c r="AL33" i="1"/>
  <c r="AK33" i="1"/>
  <c r="AJ33" i="1"/>
  <c r="AI33" i="1"/>
  <c r="AP32" i="1"/>
  <c r="AO32" i="1"/>
  <c r="AN32" i="1"/>
  <c r="AM32" i="1"/>
  <c r="AL32" i="1"/>
  <c r="AK32" i="1"/>
  <c r="AJ32" i="1"/>
  <c r="AI32" i="1"/>
  <c r="AP31" i="1"/>
  <c r="AO31" i="1"/>
  <c r="AN31" i="1"/>
  <c r="AM31" i="1"/>
  <c r="AL31" i="1"/>
  <c r="AK31" i="1"/>
  <c r="AJ31" i="1"/>
  <c r="AI31" i="1"/>
  <c r="AP30" i="1"/>
  <c r="AO30" i="1"/>
  <c r="AN30" i="1"/>
  <c r="AM30" i="1"/>
  <c r="AL30" i="1"/>
  <c r="AK30" i="1"/>
  <c r="AJ30" i="1"/>
  <c r="AI30" i="1"/>
  <c r="AP29" i="1"/>
  <c r="AO29" i="1"/>
  <c r="AN29" i="1"/>
  <c r="AM29" i="1"/>
  <c r="AL29" i="1"/>
  <c r="AK29" i="1"/>
  <c r="AJ29" i="1"/>
  <c r="AI29" i="1"/>
  <c r="AP28" i="1"/>
  <c r="AO28" i="1"/>
  <c r="AN28" i="1"/>
  <c r="AM28" i="1"/>
  <c r="AL28" i="1"/>
  <c r="AK28" i="1"/>
  <c r="AJ28" i="1"/>
  <c r="AI28" i="1"/>
  <c r="AP27" i="1"/>
  <c r="AO27" i="1"/>
  <c r="AN27" i="1"/>
  <c r="AM27" i="1"/>
  <c r="AL27" i="1"/>
  <c r="AK27" i="1"/>
  <c r="AJ27" i="1"/>
  <c r="AI27" i="1"/>
  <c r="AP26" i="1"/>
  <c r="AO26" i="1"/>
  <c r="AN26" i="1"/>
  <c r="AM26" i="1"/>
  <c r="AL26" i="1"/>
  <c r="AK26" i="1"/>
  <c r="AJ26" i="1"/>
  <c r="AI26" i="1"/>
  <c r="AP25" i="1"/>
  <c r="AO25" i="1"/>
  <c r="AN25" i="1"/>
  <c r="AM25" i="1"/>
  <c r="AL25" i="1"/>
  <c r="AK25" i="1"/>
  <c r="AJ25" i="1"/>
  <c r="AI25" i="1"/>
  <c r="AP24" i="1"/>
  <c r="AO24" i="1"/>
  <c r="AN24" i="1"/>
  <c r="AM24" i="1"/>
  <c r="AL24" i="1"/>
  <c r="AK24" i="1"/>
  <c r="AJ24" i="1"/>
  <c r="AI24" i="1"/>
  <c r="AP23" i="1"/>
  <c r="AO23" i="1"/>
  <c r="AN23" i="1"/>
  <c r="AM23" i="1"/>
  <c r="AL23" i="1"/>
  <c r="AK23" i="1"/>
  <c r="AJ23" i="1"/>
  <c r="AI23" i="1"/>
  <c r="AP22" i="1"/>
  <c r="AO22" i="1"/>
  <c r="AN22" i="1"/>
  <c r="AM22" i="1"/>
  <c r="AL22" i="1"/>
  <c r="AK22" i="1"/>
  <c r="AJ22" i="1"/>
  <c r="AI22" i="1"/>
  <c r="AP21" i="1"/>
  <c r="AO21" i="1"/>
  <c r="AN21" i="1"/>
  <c r="AM21" i="1"/>
  <c r="AL21" i="1"/>
  <c r="AK21" i="1"/>
  <c r="AJ21" i="1"/>
  <c r="AI21" i="1"/>
  <c r="AP18" i="1"/>
  <c r="AO18" i="1"/>
  <c r="AN18" i="1"/>
  <c r="AM18" i="1"/>
  <c r="AL18" i="1"/>
  <c r="AK18" i="1"/>
  <c r="AJ18" i="1"/>
  <c r="AI18" i="1"/>
  <c r="AP17" i="1"/>
  <c r="AO17" i="1"/>
  <c r="AN17" i="1"/>
  <c r="AM17" i="1"/>
  <c r="AL17" i="1"/>
  <c r="AK17" i="1"/>
  <c r="AJ17" i="1"/>
  <c r="AI17" i="1"/>
  <c r="AP16" i="1"/>
  <c r="AO16" i="1"/>
  <c r="AN16" i="1"/>
  <c r="AM16" i="1"/>
  <c r="AL16" i="1"/>
  <c r="AK16" i="1"/>
  <c r="AJ16" i="1"/>
  <c r="AI16" i="1"/>
  <c r="AP15" i="1"/>
  <c r="AO15" i="1"/>
  <c r="AN15" i="1"/>
  <c r="AM15" i="1"/>
  <c r="AL15" i="1"/>
  <c r="AK15" i="1"/>
  <c r="AJ15" i="1"/>
  <c r="AI15" i="1"/>
  <c r="AP14" i="1"/>
  <c r="AO14" i="1"/>
  <c r="AN14" i="1"/>
  <c r="AM14" i="1"/>
  <c r="AL14" i="1"/>
  <c r="AK14" i="1"/>
  <c r="AJ14" i="1"/>
  <c r="AI14" i="1"/>
  <c r="AP13" i="1"/>
  <c r="AO13" i="1"/>
  <c r="AN13" i="1"/>
  <c r="AM13" i="1"/>
  <c r="AL13" i="1"/>
  <c r="AK13" i="1"/>
  <c r="AJ13" i="1"/>
  <c r="AI13" i="1"/>
  <c r="AP12" i="1"/>
  <c r="AO12" i="1"/>
  <c r="AN12" i="1"/>
  <c r="AM12" i="1"/>
  <c r="AL12" i="1"/>
  <c r="AK12" i="1"/>
  <c r="AJ12" i="1"/>
  <c r="AI12" i="1"/>
  <c r="AP11" i="1"/>
  <c r="AO11" i="1"/>
  <c r="AN11" i="1"/>
  <c r="AM11" i="1"/>
  <c r="AL11" i="1"/>
  <c r="AK11" i="1"/>
  <c r="AJ11" i="1"/>
  <c r="AI11" i="1"/>
  <c r="AP10" i="1"/>
  <c r="AO10" i="1"/>
  <c r="AN10" i="1"/>
  <c r="AM10" i="1"/>
  <c r="AL10" i="1"/>
  <c r="AK10" i="1"/>
  <c r="AJ10" i="1"/>
  <c r="AI10" i="1"/>
  <c r="AP9" i="1"/>
  <c r="AO9" i="1"/>
  <c r="AN9" i="1"/>
  <c r="AM9" i="1"/>
  <c r="AL9" i="1"/>
  <c r="AK9" i="1"/>
  <c r="AJ9" i="1"/>
  <c r="AI9" i="1"/>
  <c r="AP8" i="1"/>
  <c r="AO8" i="1"/>
  <c r="AN8" i="1"/>
  <c r="AM8" i="1"/>
  <c r="AL8" i="1"/>
  <c r="AK8" i="1"/>
  <c r="AJ8" i="1"/>
  <c r="AI8" i="1"/>
  <c r="AP7" i="1"/>
  <c r="AO7" i="1"/>
  <c r="AN7" i="1"/>
  <c r="AM7" i="1"/>
  <c r="AL7" i="1"/>
  <c r="AK7" i="1"/>
  <c r="AJ7" i="1"/>
  <c r="AI7" i="1"/>
  <c r="AP6" i="1"/>
  <c r="AO6" i="1"/>
  <c r="AN6" i="1"/>
  <c r="AM6" i="1"/>
  <c r="AL6" i="1"/>
  <c r="AK6" i="1"/>
  <c r="AJ6" i="1"/>
  <c r="AI6" i="1"/>
  <c r="AP5" i="1"/>
  <c r="AO5" i="1"/>
  <c r="AN5" i="1"/>
  <c r="AM5" i="1"/>
  <c r="AL5" i="1"/>
  <c r="AK5" i="1"/>
  <c r="AJ5" i="1"/>
  <c r="AI5" i="1"/>
  <c r="AP4" i="1"/>
  <c r="AO4" i="1"/>
  <c r="AN4" i="1"/>
  <c r="AM4" i="1"/>
  <c r="AL4" i="1"/>
  <c r="AK4" i="1"/>
  <c r="AJ4" i="1"/>
  <c r="AI4" i="1"/>
  <c r="AP3" i="1"/>
  <c r="AO3" i="1"/>
  <c r="AN3" i="1"/>
  <c r="AM3" i="1"/>
  <c r="AL3" i="1"/>
  <c r="AK3" i="1"/>
  <c r="AJ3" i="1"/>
  <c r="AI3" i="1"/>
  <c r="K51" i="1"/>
  <c r="J51" i="1"/>
  <c r="I51" i="1"/>
  <c r="H51" i="1"/>
  <c r="G51" i="1"/>
  <c r="K50" i="1"/>
  <c r="J50" i="1"/>
  <c r="I50" i="1"/>
  <c r="H50" i="1"/>
  <c r="G50" i="1"/>
  <c r="K49" i="1"/>
  <c r="J49" i="1"/>
  <c r="I49" i="1"/>
  <c r="H49" i="1"/>
  <c r="G49" i="1"/>
  <c r="K48" i="1"/>
  <c r="J48" i="1"/>
  <c r="I48" i="1"/>
  <c r="H48" i="1"/>
  <c r="G48" i="1"/>
  <c r="K47" i="1"/>
  <c r="J47" i="1"/>
  <c r="I47" i="1"/>
  <c r="H47" i="1"/>
  <c r="G47" i="1"/>
  <c r="K46" i="1"/>
  <c r="J46" i="1"/>
  <c r="I46" i="1"/>
  <c r="H46" i="1"/>
  <c r="G46" i="1"/>
  <c r="K45" i="1"/>
  <c r="J45" i="1"/>
  <c r="I45" i="1"/>
  <c r="H45" i="1"/>
  <c r="G45" i="1"/>
  <c r="K44" i="1"/>
  <c r="J44" i="1"/>
  <c r="I44" i="1"/>
  <c r="H44" i="1"/>
  <c r="G44" i="1"/>
  <c r="K43" i="1"/>
  <c r="J43" i="1"/>
  <c r="I43" i="1"/>
  <c r="H43" i="1"/>
  <c r="G43" i="1"/>
  <c r="K42" i="1"/>
  <c r="J42" i="1"/>
  <c r="I42" i="1"/>
  <c r="H42" i="1"/>
  <c r="G42" i="1"/>
  <c r="K41" i="1"/>
  <c r="J41" i="1"/>
  <c r="I41" i="1"/>
  <c r="H41" i="1"/>
  <c r="G41" i="1"/>
  <c r="K40" i="1"/>
  <c r="J40" i="1"/>
  <c r="I40" i="1"/>
  <c r="H40" i="1"/>
  <c r="G40" i="1"/>
  <c r="K39" i="1"/>
  <c r="J39" i="1"/>
  <c r="I39" i="1"/>
  <c r="H39" i="1"/>
  <c r="G39" i="1"/>
  <c r="K38" i="1"/>
  <c r="J38" i="1"/>
  <c r="I38" i="1"/>
  <c r="H38" i="1"/>
  <c r="G38" i="1"/>
  <c r="K37" i="1"/>
  <c r="J37" i="1"/>
  <c r="I37" i="1"/>
  <c r="H37" i="1"/>
  <c r="G37" i="1"/>
  <c r="K36" i="1"/>
  <c r="J36" i="1"/>
  <c r="I36" i="1"/>
  <c r="H36" i="1"/>
  <c r="G36" i="1"/>
  <c r="K35" i="1"/>
  <c r="J35" i="1"/>
  <c r="I35" i="1"/>
  <c r="H35" i="1"/>
  <c r="G35" i="1"/>
  <c r="K34" i="1"/>
  <c r="J34" i="1"/>
  <c r="I34" i="1"/>
  <c r="H34" i="1"/>
  <c r="G34" i="1"/>
  <c r="K33" i="1"/>
  <c r="J33" i="1"/>
  <c r="I33" i="1"/>
  <c r="H33" i="1"/>
  <c r="G33" i="1"/>
  <c r="K32" i="1"/>
  <c r="J32" i="1"/>
  <c r="I32" i="1"/>
  <c r="H32" i="1"/>
  <c r="G32" i="1"/>
  <c r="K31" i="1"/>
  <c r="J31" i="1"/>
  <c r="I31" i="1"/>
  <c r="H31" i="1"/>
  <c r="G31" i="1"/>
  <c r="K30" i="1"/>
  <c r="J30" i="1"/>
  <c r="I30" i="1"/>
  <c r="H30" i="1"/>
  <c r="G30" i="1"/>
  <c r="K29" i="1"/>
  <c r="J29" i="1"/>
  <c r="I29" i="1"/>
  <c r="H29" i="1"/>
  <c r="G29" i="1"/>
  <c r="K28" i="1"/>
  <c r="J28" i="1"/>
  <c r="I28" i="1"/>
  <c r="H28" i="1"/>
  <c r="G28" i="1"/>
  <c r="K27" i="1"/>
  <c r="J27" i="1"/>
  <c r="I27" i="1"/>
  <c r="H27" i="1"/>
  <c r="G27" i="1"/>
  <c r="K26" i="1"/>
  <c r="J26" i="1"/>
  <c r="I26" i="1"/>
  <c r="H26" i="1"/>
  <c r="G26" i="1"/>
  <c r="K25" i="1"/>
  <c r="J25" i="1"/>
  <c r="I25" i="1"/>
  <c r="H25" i="1"/>
  <c r="G25" i="1"/>
  <c r="K24" i="1"/>
  <c r="J24" i="1"/>
  <c r="I24" i="1"/>
  <c r="H24" i="1"/>
  <c r="G24" i="1"/>
  <c r="K23" i="1"/>
  <c r="J23" i="1"/>
  <c r="I23" i="1"/>
  <c r="H23" i="1"/>
  <c r="G23" i="1"/>
  <c r="K22" i="1"/>
  <c r="J22" i="1"/>
  <c r="I22" i="1"/>
  <c r="H22" i="1"/>
  <c r="G22" i="1"/>
  <c r="K21" i="1"/>
  <c r="J21" i="1"/>
  <c r="I21" i="1"/>
  <c r="H21" i="1"/>
  <c r="G21" i="1"/>
  <c r="K18" i="1"/>
  <c r="J18" i="1"/>
  <c r="I18" i="1"/>
  <c r="H18" i="1"/>
  <c r="G18" i="1"/>
  <c r="K17" i="1"/>
  <c r="J17" i="1"/>
  <c r="I17" i="1"/>
  <c r="H17" i="1"/>
  <c r="G17" i="1"/>
  <c r="K16" i="1"/>
  <c r="J16" i="1"/>
  <c r="I16" i="1"/>
  <c r="H16" i="1"/>
  <c r="G16" i="1"/>
  <c r="K15" i="1"/>
  <c r="J15" i="1"/>
  <c r="I15" i="1"/>
  <c r="H15" i="1"/>
  <c r="G15" i="1"/>
  <c r="K14" i="1"/>
  <c r="J14" i="1"/>
  <c r="I14" i="1"/>
  <c r="H14" i="1"/>
  <c r="G14" i="1"/>
  <c r="K13" i="1"/>
  <c r="J13" i="1"/>
  <c r="I13" i="1"/>
  <c r="H13" i="1"/>
  <c r="G13" i="1"/>
  <c r="K12" i="1"/>
  <c r="J12" i="1"/>
  <c r="I12" i="1"/>
  <c r="H12" i="1"/>
  <c r="G12" i="1"/>
  <c r="K11" i="1"/>
  <c r="J11" i="1"/>
  <c r="I11" i="1"/>
  <c r="H11" i="1"/>
  <c r="G11" i="1"/>
  <c r="K10" i="1"/>
  <c r="J10" i="1"/>
  <c r="I10" i="1"/>
  <c r="H10" i="1"/>
  <c r="G10" i="1"/>
  <c r="K9" i="1"/>
  <c r="J9" i="1"/>
  <c r="I9" i="1"/>
  <c r="H9" i="1"/>
  <c r="G9" i="1"/>
  <c r="K8" i="1"/>
  <c r="J8" i="1"/>
  <c r="I8" i="1"/>
  <c r="H8" i="1"/>
  <c r="G8" i="1"/>
  <c r="K7" i="1"/>
  <c r="J7" i="1"/>
  <c r="I7" i="1"/>
  <c r="H7" i="1"/>
  <c r="G7" i="1"/>
  <c r="K6" i="1"/>
  <c r="J6" i="1"/>
  <c r="I6" i="1"/>
  <c r="H6" i="1"/>
  <c r="G6" i="1"/>
  <c r="K5" i="1"/>
  <c r="J5" i="1"/>
  <c r="I5" i="1"/>
  <c r="H5" i="1"/>
  <c r="G5" i="1"/>
  <c r="K4" i="1"/>
  <c r="J4" i="1"/>
  <c r="I4" i="1"/>
  <c r="H4" i="1"/>
  <c r="G4" i="1"/>
  <c r="K3" i="1"/>
  <c r="J3" i="1"/>
  <c r="I3" i="1"/>
  <c r="H3" i="1"/>
  <c r="G3" i="1"/>
  <c r="BC71" i="1"/>
  <c r="BB71" i="1"/>
  <c r="BA71" i="1"/>
  <c r="AZ71" i="1"/>
  <c r="AY71" i="1"/>
  <c r="AX71" i="1"/>
  <c r="AV71" i="1"/>
  <c r="BC70" i="1"/>
  <c r="BB70" i="1"/>
  <c r="BA70" i="1"/>
  <c r="AZ70" i="1"/>
  <c r="AY70" i="1"/>
  <c r="AX70" i="1"/>
  <c r="AV70" i="1"/>
  <c r="BC69" i="1"/>
  <c r="BB69" i="1"/>
  <c r="BA69" i="1"/>
  <c r="AZ69" i="1"/>
  <c r="AY69" i="1"/>
  <c r="AX69" i="1"/>
  <c r="AV69" i="1"/>
  <c r="BC68" i="1"/>
  <c r="BB68" i="1"/>
  <c r="BA68" i="1"/>
  <c r="AZ68" i="1"/>
  <c r="AY68" i="1"/>
  <c r="AX68" i="1"/>
  <c r="AV68" i="1"/>
  <c r="BC65" i="1"/>
  <c r="BB65" i="1"/>
  <c r="BA65" i="1"/>
  <c r="AZ65" i="1"/>
  <c r="AY65" i="1"/>
  <c r="AX65" i="1"/>
  <c r="AV65" i="1"/>
  <c r="BC64" i="1"/>
  <c r="BB64" i="1"/>
  <c r="BA64" i="1"/>
  <c r="AZ64" i="1"/>
  <c r="AY64" i="1"/>
  <c r="AX64" i="1"/>
  <c r="AV64" i="1"/>
  <c r="BC63" i="1"/>
  <c r="BB63" i="1"/>
  <c r="BA63" i="1"/>
  <c r="AZ63" i="1"/>
  <c r="AY63" i="1"/>
  <c r="AX63" i="1"/>
  <c r="AV63" i="1"/>
  <c r="BC62" i="1"/>
  <c r="BB62" i="1"/>
  <c r="BA62" i="1"/>
  <c r="AZ62" i="1"/>
  <c r="AY62" i="1"/>
  <c r="AX62" i="1"/>
  <c r="AV62" i="1"/>
  <c r="BC61" i="1"/>
  <c r="BB61" i="1"/>
  <c r="BA61" i="1"/>
  <c r="AZ61" i="1"/>
  <c r="AY61" i="1"/>
  <c r="AX61" i="1"/>
  <c r="AV61" i="1"/>
  <c r="BC60" i="1"/>
  <c r="BB60" i="1"/>
  <c r="BA60" i="1"/>
  <c r="AZ60" i="1"/>
  <c r="AY60" i="1"/>
  <c r="AX60" i="1"/>
  <c r="AV60" i="1"/>
  <c r="BC59" i="1"/>
  <c r="BB59" i="1"/>
  <c r="BA59" i="1"/>
  <c r="AZ59" i="1"/>
  <c r="AY59" i="1"/>
  <c r="AX59" i="1"/>
  <c r="AV59" i="1"/>
  <c r="BC58" i="1"/>
  <c r="BB58" i="1"/>
  <c r="BA58" i="1"/>
  <c r="AZ58" i="1"/>
  <c r="AY58" i="1"/>
  <c r="AX58" i="1"/>
  <c r="AV58" i="1"/>
  <c r="BC57" i="1"/>
  <c r="BB57" i="1"/>
  <c r="BA57" i="1"/>
  <c r="AZ57" i="1"/>
  <c r="AY57" i="1"/>
  <c r="AX57" i="1"/>
  <c r="AV57" i="1"/>
  <c r="BC56" i="1"/>
  <c r="BB56" i="1"/>
  <c r="BA56" i="1"/>
  <c r="AZ56" i="1"/>
  <c r="AY56" i="1"/>
  <c r="AX56" i="1"/>
  <c r="AV56" i="1"/>
  <c r="BC55" i="1"/>
  <c r="BB55" i="1"/>
  <c r="BA55" i="1"/>
  <c r="AZ55" i="1"/>
  <c r="AY55" i="1"/>
  <c r="AX55" i="1"/>
  <c r="AV55" i="1"/>
  <c r="BC54" i="1"/>
  <c r="BB54" i="1"/>
  <c r="BA54" i="1"/>
  <c r="AZ54" i="1"/>
  <c r="AY54" i="1"/>
  <c r="AX54" i="1"/>
  <c r="AV54" i="1"/>
  <c r="BC53" i="1"/>
  <c r="BB53" i="1"/>
  <c r="BA53" i="1"/>
  <c r="AZ53" i="1"/>
  <c r="AY53" i="1"/>
  <c r="AX53" i="1"/>
  <c r="AV53" i="1"/>
  <c r="BC52" i="1"/>
  <c r="BB52" i="1"/>
  <c r="BA52" i="1"/>
  <c r="AZ52" i="1"/>
  <c r="AY52" i="1"/>
  <c r="AX52" i="1"/>
  <c r="AV52" i="1"/>
  <c r="AH51" i="1"/>
  <c r="AH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18" i="1"/>
  <c r="AH17" i="1"/>
  <c r="AH16" i="1"/>
  <c r="AH15" i="1"/>
  <c r="AH14" i="1"/>
  <c r="AH13" i="1"/>
  <c r="AH12" i="1"/>
  <c r="AH11" i="1"/>
  <c r="AH10" i="1"/>
  <c r="AH9" i="1"/>
  <c r="AH8" i="1"/>
  <c r="AH7" i="1"/>
  <c r="AH6" i="1"/>
  <c r="AH5" i="1"/>
  <c r="AH4" i="1"/>
  <c r="AH3" i="1"/>
  <c r="AG51" i="1"/>
  <c r="AG50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31" i="1"/>
  <c r="AG30" i="1"/>
  <c r="AG29" i="1"/>
  <c r="AG28" i="1"/>
  <c r="AG27" i="1"/>
  <c r="AG26" i="1"/>
  <c r="AG25" i="1"/>
  <c r="AG24" i="1"/>
  <c r="AG23" i="1"/>
  <c r="AG22" i="1"/>
  <c r="AG21" i="1"/>
  <c r="AG18" i="1"/>
  <c r="AG17" i="1"/>
  <c r="AG16" i="1"/>
  <c r="AG15" i="1"/>
  <c r="AG13" i="1"/>
  <c r="AG14" i="1"/>
  <c r="AG12" i="1"/>
  <c r="AG11" i="1"/>
  <c r="AG7" i="1"/>
  <c r="AG10" i="1"/>
  <c r="AG9" i="1"/>
  <c r="AG8" i="1"/>
  <c r="AG6" i="1"/>
  <c r="AG5" i="1"/>
  <c r="AG4" i="1"/>
  <c r="AG3" i="1"/>
  <c r="AF51" i="1"/>
  <c r="AF50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18" i="1"/>
  <c r="AF17" i="1"/>
  <c r="AF16" i="1"/>
  <c r="AF15" i="1"/>
  <c r="AF14" i="1"/>
  <c r="AF12" i="1"/>
  <c r="AF13" i="1"/>
  <c r="AF11" i="1"/>
  <c r="AF10" i="1"/>
  <c r="AF9" i="1"/>
  <c r="AF8" i="1"/>
  <c r="AF7" i="1"/>
  <c r="AF6" i="1"/>
  <c r="AF5" i="1"/>
  <c r="AF4" i="1"/>
  <c r="AF3" i="1"/>
  <c r="F46" i="1" a="1"/>
  <c r="F50" i="1" a="1"/>
  <c r="L48" i="1" a="1"/>
  <c r="F29" i="1" a="1"/>
  <c r="L30" i="1" a="1"/>
  <c r="L27" i="1" a="1"/>
  <c r="F9" i="1" a="1"/>
  <c r="L24" i="1" a="1"/>
  <c r="F6" i="1" a="1"/>
  <c r="F48" i="1" a="1"/>
  <c r="L51" i="1" a="1"/>
  <c r="F3" i="1" a="1"/>
  <c r="F35" i="1" a="1"/>
  <c r="L45" i="1" a="1"/>
  <c r="F34" i="1" a="1"/>
  <c r="L18" i="1" a="1"/>
  <c r="F5" i="1" a="1"/>
  <c r="F15" i="1" a="1"/>
  <c r="F23" i="1" a="1"/>
  <c r="L31" i="1" a="1"/>
  <c r="L23" i="1" a="1"/>
  <c r="F39" i="1" a="1"/>
  <c r="F40" i="1" a="1"/>
  <c r="F4" i="1" a="1"/>
  <c r="L11" i="1" a="1"/>
  <c r="F22" i="1" a="1"/>
  <c r="L39" i="1" a="1"/>
  <c r="F33" i="1" a="1"/>
  <c r="F12" i="1" a="1"/>
  <c r="L41" i="1" a="1"/>
  <c r="F13" i="1" a="1"/>
  <c r="L36" i="1" a="1"/>
  <c r="L6" i="1" a="1"/>
  <c r="F18" i="1" a="1"/>
  <c r="L13" i="1" a="1"/>
  <c r="L33" i="1" a="1"/>
  <c r="F38" i="1" a="1"/>
  <c r="F25" i="1" a="1"/>
  <c r="L26" i="1" a="1"/>
  <c r="F30" i="1" a="1"/>
  <c r="F44" i="1" a="1"/>
  <c r="F7" i="1" a="1"/>
  <c r="F28" i="1" a="1"/>
  <c r="L15" i="1" a="1"/>
  <c r="F21" i="1" a="1"/>
  <c r="L46" i="1" a="1"/>
  <c r="L35" i="1" a="1"/>
  <c r="F8" i="1" a="1"/>
  <c r="F17" i="1" a="1"/>
  <c r="L5" i="1" a="1"/>
  <c r="L28" i="1" a="1"/>
  <c r="L37" i="1" a="1"/>
  <c r="L34" i="1" a="1"/>
  <c r="L29" i="1" a="1"/>
  <c r="L4" i="1" a="1"/>
  <c r="L22" i="1" a="1"/>
  <c r="L42" i="1" a="1"/>
  <c r="F24" i="1" a="1"/>
  <c r="L32" i="1" a="1"/>
  <c r="L3" i="1" a="1"/>
  <c r="F32" i="1" a="1"/>
  <c r="F43" i="1" a="1"/>
  <c r="L25" i="1" a="1"/>
  <c r="F10" i="1" a="1"/>
  <c r="F16" i="1" a="1"/>
  <c r="F49" i="1" a="1"/>
  <c r="F51" i="1" a="1"/>
  <c r="F27" i="1" a="1"/>
  <c r="L44" i="1" a="1"/>
  <c r="L40" i="1" a="1"/>
  <c r="L21" i="1" a="1"/>
  <c r="L7" i="1" a="1"/>
  <c r="F47" i="1" a="1"/>
  <c r="F41" i="1" a="1"/>
  <c r="F37" i="1" a="1"/>
  <c r="L10" i="1" a="1"/>
  <c r="F26" i="1" a="1"/>
  <c r="F31" i="1" a="1"/>
  <c r="L17" i="1" a="1"/>
  <c r="F36" i="1" a="1"/>
  <c r="L8" i="1" a="1"/>
  <c r="F11" i="1" a="1"/>
  <c r="L9" i="1" a="1"/>
  <c r="L14" i="1" a="1"/>
  <c r="F14" i="1" a="1"/>
  <c r="F45" i="1" a="1"/>
  <c r="L12" i="1" a="1"/>
  <c r="L38" i="1" a="1"/>
  <c r="L16" i="1" a="1"/>
  <c r="L50" i="1" a="1"/>
  <c r="F42" i="1" a="1"/>
  <c r="L47" i="1" a="1"/>
  <c r="L43" i="1" a="1"/>
  <c r="L49" i="1" a="1"/>
  <c r="H11" i="12" l="1"/>
  <c r="L44" i="1"/>
  <c r="L27" i="1"/>
  <c r="L36" i="1"/>
  <c r="L9" i="1"/>
  <c r="L21" i="1"/>
  <c r="L42" i="1"/>
  <c r="L43" i="1"/>
  <c r="L40" i="1"/>
  <c r="L6" i="1"/>
  <c r="L13" i="1"/>
  <c r="L23" i="1"/>
  <c r="L32" i="1"/>
  <c r="L47" i="1"/>
  <c r="L29" i="1"/>
  <c r="L4" i="1"/>
  <c r="L8" i="1"/>
  <c r="L18" i="1"/>
  <c r="L5" i="1"/>
  <c r="L22" i="1"/>
  <c r="L38" i="1"/>
  <c r="L7" i="1"/>
  <c r="L15" i="1"/>
  <c r="L24" i="1"/>
  <c r="L31" i="1"/>
  <c r="L11" i="1"/>
  <c r="L34" i="1"/>
  <c r="L12" i="1"/>
  <c r="L49" i="1"/>
  <c r="L26" i="1"/>
  <c r="L10" i="1"/>
  <c r="L33" i="1"/>
  <c r="L37" i="1"/>
  <c r="L3" i="1"/>
  <c r="L16" i="1"/>
  <c r="L25" i="1"/>
  <c r="L30" i="1"/>
  <c r="L48" i="1"/>
  <c r="L28" i="1"/>
  <c r="L39" i="1"/>
  <c r="L46" i="1"/>
  <c r="L45" i="1"/>
  <c r="L50" i="1"/>
  <c r="L41" i="1"/>
  <c r="L35" i="1"/>
  <c r="L14" i="1"/>
  <c r="L17" i="1"/>
  <c r="L51" i="1"/>
  <c r="F14" i="1"/>
  <c r="F4" i="1"/>
  <c r="F5" i="1"/>
  <c r="F11" i="1"/>
  <c r="F30" i="1"/>
  <c r="F51" i="1"/>
  <c r="F22" i="1"/>
  <c r="F3" i="1"/>
  <c r="F7" i="1"/>
  <c r="F13" i="1"/>
  <c r="F12" i="1"/>
  <c r="F46" i="1"/>
  <c r="F24" i="1"/>
  <c r="F35" i="1"/>
  <c r="F26" i="1"/>
  <c r="F25" i="1"/>
  <c r="F9" i="1"/>
  <c r="F48" i="1"/>
  <c r="F18" i="1"/>
  <c r="F8" i="1"/>
  <c r="F44" i="1"/>
  <c r="F41" i="1"/>
  <c r="F17" i="1"/>
  <c r="F49" i="1"/>
  <c r="F23" i="1"/>
  <c r="F43" i="1"/>
  <c r="F38" i="1"/>
  <c r="F31" i="1"/>
  <c r="F33" i="1"/>
  <c r="F50" i="1"/>
  <c r="F27" i="1"/>
  <c r="F29" i="1"/>
  <c r="F28" i="1"/>
  <c r="F45" i="1"/>
  <c r="F32" i="1"/>
  <c r="F15" i="1"/>
  <c r="F34" i="1"/>
  <c r="F6" i="1"/>
  <c r="F36" i="1"/>
  <c r="F42" i="1"/>
  <c r="F10" i="1"/>
  <c r="F21" i="1"/>
  <c r="F47" i="1"/>
  <c r="F37" i="1"/>
  <c r="F16" i="1"/>
  <c r="F39" i="1"/>
  <c r="F40" i="1"/>
  <c r="B42" i="1"/>
  <c r="B40" i="1"/>
  <c r="D68" i="12" l="1"/>
  <c r="F68" i="12" s="1"/>
  <c r="H68" i="12" s="1"/>
  <c r="D67" i="12"/>
  <c r="F67" i="12" s="1"/>
  <c r="H67" i="12" s="1"/>
  <c r="B64" i="1"/>
  <c r="B58" i="1"/>
  <c r="B62" i="1"/>
  <c r="B65" i="1"/>
  <c r="B63" i="1"/>
  <c r="B61" i="1"/>
  <c r="B59" i="1"/>
  <c r="B57" i="1"/>
  <c r="B56" i="1"/>
  <c r="B60" i="1"/>
  <c r="B52" i="1"/>
  <c r="B71" i="1"/>
  <c r="B69" i="1"/>
  <c r="B70" i="1"/>
  <c r="B68" i="1"/>
  <c r="B55" i="1"/>
  <c r="B53" i="1"/>
  <c r="B54" i="1"/>
  <c r="D92" i="12" l="1"/>
  <c r="F92" i="12" s="1"/>
  <c r="H92" i="12" s="1"/>
  <c r="D77" i="12"/>
  <c r="F77" i="12" s="1"/>
  <c r="H77" i="12" s="1"/>
  <c r="D85" i="12"/>
  <c r="F85" i="12" s="1"/>
  <c r="H85" i="12" s="1"/>
  <c r="D84" i="12"/>
  <c r="F84" i="12" s="1"/>
  <c r="H84" i="12" s="1"/>
  <c r="D80" i="12"/>
  <c r="F80" i="12" s="1"/>
  <c r="H80" i="12" s="1"/>
  <c r="D96" i="12"/>
  <c r="F96" i="12" s="1"/>
  <c r="H96" i="12" s="1"/>
  <c r="D88" i="12"/>
  <c r="F88" i="12" s="1"/>
  <c r="H88" i="12" s="1"/>
  <c r="D81" i="12"/>
  <c r="F81" i="12" s="1"/>
  <c r="H81" i="12" s="1"/>
  <c r="D93" i="12"/>
  <c r="F93" i="12" s="1"/>
  <c r="H93" i="12" s="1"/>
  <c r="D89" i="12"/>
  <c r="F89" i="12" s="1"/>
  <c r="H89" i="12" s="1"/>
  <c r="D86" i="12"/>
  <c r="F86" i="12" s="1"/>
  <c r="H86" i="12" s="1"/>
  <c r="D95" i="12"/>
  <c r="F95" i="12" s="1"/>
  <c r="H95" i="12" s="1"/>
  <c r="D79" i="12"/>
  <c r="F79" i="12" s="1"/>
  <c r="H79" i="12" s="1"/>
  <c r="D90" i="12"/>
  <c r="F90" i="12" s="1"/>
  <c r="H90" i="12" s="1"/>
  <c r="D87" i="12"/>
  <c r="F87" i="12" s="1"/>
  <c r="H87" i="12" s="1"/>
  <c r="D91" i="12"/>
  <c r="F91" i="12" s="1"/>
  <c r="H91" i="12" s="1"/>
  <c r="D78" i="12"/>
  <c r="F78" i="12" s="1"/>
  <c r="H78" i="12" s="1"/>
  <c r="D94" i="12"/>
  <c r="F94" i="12" s="1"/>
  <c r="H94" i="12" s="1"/>
  <c r="B43" i="1"/>
  <c r="B44" i="1"/>
  <c r="D6" i="12" s="1"/>
  <c r="F6" i="12" s="1"/>
  <c r="H6" i="12" s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B41" i="1" s="1"/>
  <c r="AE42" i="1"/>
  <c r="AE43" i="1"/>
  <c r="AE44" i="1"/>
  <c r="AE45" i="1"/>
  <c r="AE46" i="1"/>
  <c r="AE47" i="1"/>
  <c r="AE48" i="1"/>
  <c r="AE49" i="1"/>
  <c r="AE50" i="1"/>
  <c r="AE51" i="1"/>
  <c r="AE4" i="1"/>
  <c r="AE3" i="1"/>
  <c r="D76" i="12" l="1"/>
  <c r="F76" i="12" s="1"/>
  <c r="H76" i="12" s="1"/>
  <c r="D5" i="12"/>
  <c r="E49" i="1"/>
  <c r="E51" i="1"/>
  <c r="E45" i="1"/>
  <c r="E48" i="1"/>
  <c r="E50" i="1"/>
  <c r="E46" i="1"/>
  <c r="E47" i="1"/>
  <c r="E41" i="1"/>
  <c r="E44" i="1"/>
  <c r="E42" i="1"/>
  <c r="E43" i="1"/>
  <c r="E40" i="1"/>
  <c r="D44" i="1"/>
  <c r="D43" i="1"/>
  <c r="D42" i="1"/>
  <c r="D41" i="1"/>
  <c r="C41" i="1"/>
  <c r="C44" i="1"/>
  <c r="C42" i="1"/>
  <c r="C40" i="1"/>
  <c r="C43" i="1"/>
  <c r="E5" i="1"/>
  <c r="E6" i="1"/>
  <c r="E7" i="1"/>
  <c r="E8" i="1"/>
  <c r="E9" i="1"/>
  <c r="E10" i="1"/>
  <c r="E11" i="1"/>
  <c r="E12" i="1"/>
  <c r="E13" i="1"/>
  <c r="E14" i="1"/>
  <c r="E15" i="1"/>
  <c r="E16" i="1"/>
  <c r="E18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" i="1"/>
  <c r="E3" i="1"/>
  <c r="F5" i="12" l="1"/>
  <c r="B51" i="1"/>
  <c r="B50" i="1"/>
  <c r="B48" i="1"/>
  <c r="B46" i="1"/>
  <c r="B49" i="1"/>
  <c r="B47" i="1"/>
  <c r="B45" i="1"/>
  <c r="D72" i="12" l="1"/>
  <c r="F72" i="12" s="1"/>
  <c r="H72" i="12" s="1"/>
  <c r="D73" i="12"/>
  <c r="F73" i="12" s="1"/>
  <c r="H73" i="12" s="1"/>
  <c r="D71" i="12"/>
  <c r="F71" i="12" s="1"/>
  <c r="H71" i="12" s="1"/>
  <c r="D74" i="12"/>
  <c r="F74" i="12" s="1"/>
  <c r="H74" i="12" s="1"/>
  <c r="D70" i="12"/>
  <c r="F70" i="12" s="1"/>
  <c r="H70" i="12" s="1"/>
  <c r="D75" i="12"/>
  <c r="F75" i="12" s="1"/>
  <c r="H75" i="12" s="1"/>
  <c r="D69" i="12"/>
  <c r="F69" i="12" s="1"/>
  <c r="H69" i="12" s="1"/>
  <c r="H5" i="12"/>
  <c r="D26" i="1"/>
  <c r="D32" i="1"/>
  <c r="D35" i="1"/>
  <c r="D25" i="1"/>
  <c r="D18" i="1"/>
  <c r="D23" i="1"/>
  <c r="D5" i="1"/>
  <c r="D8" i="1"/>
  <c r="D29" i="1"/>
  <c r="D11" i="1"/>
  <c r="D14" i="1"/>
  <c r="D17" i="1"/>
  <c r="D22" i="1"/>
  <c r="D7" i="1"/>
  <c r="D28" i="1"/>
  <c r="D10" i="1"/>
  <c r="D13" i="1"/>
  <c r="D16" i="1"/>
  <c r="D6" i="1"/>
  <c r="D21" i="1"/>
  <c r="D24" i="1"/>
  <c r="D27" i="1"/>
  <c r="D9" i="1"/>
  <c r="D30" i="1"/>
  <c r="D15" i="1"/>
  <c r="D12" i="1"/>
  <c r="D36" i="1"/>
  <c r="D39" i="1"/>
  <c r="D38" i="1"/>
  <c r="D31" i="1"/>
  <c r="D34" i="1"/>
  <c r="D37" i="1"/>
  <c r="D33" i="1"/>
  <c r="C31" i="1"/>
  <c r="C13" i="1"/>
  <c r="C22" i="1"/>
  <c r="C12" i="1"/>
  <c r="C37" i="1"/>
  <c r="C11" i="1"/>
  <c r="C29" i="1"/>
  <c r="C21" i="1"/>
  <c r="C36" i="1"/>
  <c r="C10" i="1"/>
  <c r="C28" i="1"/>
  <c r="C18" i="1"/>
  <c r="C35" i="1"/>
  <c r="C9" i="1"/>
  <c r="C27" i="1"/>
  <c r="C17" i="1"/>
  <c r="C34" i="1"/>
  <c r="C8" i="1"/>
  <c r="C26" i="1"/>
  <c r="C16" i="1"/>
  <c r="C33" i="1"/>
  <c r="C7" i="1"/>
  <c r="C38" i="1"/>
  <c r="C25" i="1"/>
  <c r="C15" i="1"/>
  <c r="C32" i="1"/>
  <c r="C6" i="1"/>
  <c r="C30" i="1"/>
  <c r="C24" i="1"/>
  <c r="C14" i="1"/>
  <c r="C39" i="1"/>
  <c r="C23" i="1"/>
  <c r="C5" i="1"/>
  <c r="D3" i="1"/>
  <c r="D4" i="1"/>
  <c r="B23" i="1" l="1"/>
  <c r="D59" i="12"/>
  <c r="F59" i="12" s="1"/>
  <c r="H59" i="12" s="1"/>
  <c r="B32" i="1"/>
  <c r="B26" i="1"/>
  <c r="B35" i="1"/>
  <c r="B27" i="1"/>
  <c r="B14" i="1"/>
  <c r="B13" i="1"/>
  <c r="B8" i="1"/>
  <c r="B24" i="1"/>
  <c r="B18" i="1"/>
  <c r="B25" i="1"/>
  <c r="B5" i="1"/>
  <c r="B30" i="1"/>
  <c r="B29" i="1"/>
  <c r="B7" i="1"/>
  <c r="B11" i="1"/>
  <c r="B22" i="1"/>
  <c r="B34" i="1"/>
  <c r="B31" i="1"/>
  <c r="B6" i="1"/>
  <c r="B28" i="1"/>
  <c r="D64" i="12" s="1"/>
  <c r="B10" i="1"/>
  <c r="B15" i="1"/>
  <c r="B36" i="1"/>
  <c r="B39" i="1"/>
  <c r="B9" i="1"/>
  <c r="B21" i="1"/>
  <c r="B38" i="1"/>
  <c r="B33" i="1"/>
  <c r="B37" i="1"/>
  <c r="B16" i="1"/>
  <c r="B12" i="1"/>
  <c r="C3" i="1"/>
  <c r="B3" i="1" s="1"/>
  <c r="C4" i="1"/>
  <c r="B4" i="1" s="1"/>
  <c r="D61" i="12" l="1"/>
  <c r="F61" i="12" s="1"/>
  <c r="H61" i="12" s="1"/>
  <c r="D41" i="12"/>
  <c r="F41" i="12" s="1"/>
  <c r="H41" i="12" s="1"/>
  <c r="D63" i="12"/>
  <c r="F63" i="12" s="1"/>
  <c r="H63" i="12" s="1"/>
  <c r="D52" i="12"/>
  <c r="F52" i="12" s="1"/>
  <c r="H52" i="12" s="1"/>
  <c r="D66" i="12"/>
  <c r="F66" i="12" s="1"/>
  <c r="H66" i="12" s="1"/>
  <c r="D45" i="12"/>
  <c r="F45" i="12" s="1"/>
  <c r="H45" i="12" s="1"/>
  <c r="D101" i="12"/>
  <c r="F101" i="12" s="1"/>
  <c r="H101" i="12" s="1"/>
  <c r="D51" i="12"/>
  <c r="F51" i="12" s="1"/>
  <c r="H51" i="12" s="1"/>
  <c r="D100" i="12"/>
  <c r="F100" i="12" s="1"/>
  <c r="H100" i="12" s="1"/>
  <c r="D98" i="12"/>
  <c r="F98" i="12" s="1"/>
  <c r="H98" i="12" s="1"/>
  <c r="D57" i="12"/>
  <c r="F57" i="12" s="1"/>
  <c r="H57" i="12" s="1"/>
  <c r="D60" i="12"/>
  <c r="F60" i="12" s="1"/>
  <c r="H60" i="12" s="1"/>
  <c r="D49" i="12"/>
  <c r="F49" i="12" s="1"/>
  <c r="H49" i="12" s="1"/>
  <c r="F64" i="12"/>
  <c r="H64" i="12" s="1"/>
  <c r="D97" i="12"/>
  <c r="F97" i="12" s="1"/>
  <c r="H97" i="12" s="1"/>
  <c r="D62" i="12"/>
  <c r="F62" i="12" s="1"/>
  <c r="H62" i="12" s="1"/>
  <c r="D54" i="12"/>
  <c r="F54" i="12" s="1"/>
  <c r="H54" i="12" s="1"/>
  <c r="D44" i="12"/>
  <c r="F44" i="12" s="1"/>
  <c r="H44" i="12" s="1"/>
  <c r="D50" i="12"/>
  <c r="F50" i="12" s="1"/>
  <c r="H50" i="12" s="1"/>
  <c r="D40" i="12"/>
  <c r="F40" i="12" s="1"/>
  <c r="H40" i="12" s="1"/>
  <c r="D99" i="12"/>
  <c r="F99" i="12" s="1"/>
  <c r="H99" i="12" s="1"/>
  <c r="D65" i="12"/>
  <c r="F65" i="12" s="1"/>
  <c r="H65" i="12" s="1"/>
  <c r="D46" i="12"/>
  <c r="F46" i="12" s="1"/>
  <c r="H46" i="12" s="1"/>
  <c r="D42" i="12"/>
  <c r="F42" i="12" s="1"/>
  <c r="H42" i="12" s="1"/>
  <c r="D39" i="12"/>
  <c r="D58" i="12"/>
  <c r="F58" i="12" s="1"/>
  <c r="H58" i="12" s="1"/>
  <c r="D43" i="12"/>
  <c r="F43" i="12" s="1"/>
  <c r="H43" i="12" s="1"/>
  <c r="D48" i="12"/>
  <c r="F48" i="12" s="1"/>
  <c r="H48" i="12" s="1"/>
  <c r="D47" i="12"/>
  <c r="F47" i="12" s="1"/>
  <c r="H47" i="12" s="1"/>
  <c r="P17" i="7"/>
  <c r="Y17" i="1" l="1" a="1"/>
  <c r="Y17" i="1" s="1"/>
  <c r="E17" i="1" s="1"/>
  <c r="B17" i="1" s="1"/>
  <c r="F39" i="12"/>
  <c r="D53" i="12" l="1"/>
  <c r="F53" i="12" s="1"/>
  <c r="H53" i="12" s="1"/>
  <c r="H39" i="12"/>
  <c r="D102" i="12" l="1"/>
  <c r="F102" i="12"/>
  <c r="H102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<sst xmlns="http://schemas.openxmlformats.org/spreadsheetml/2006/main" count="1724" uniqueCount="267">
  <si>
    <t>应发积分</t>
    <phoneticPr fontId="1" type="noConversion"/>
  </si>
  <si>
    <t>门诊人次绩效</t>
    <phoneticPr fontId="1" type="noConversion"/>
  </si>
  <si>
    <t>服务人次绩效</t>
    <phoneticPr fontId="1" type="noConversion"/>
  </si>
  <si>
    <t>资源消耗绩效</t>
    <phoneticPr fontId="1" type="noConversion"/>
  </si>
  <si>
    <t>出院人次</t>
    <phoneticPr fontId="1" type="noConversion"/>
  </si>
  <si>
    <t>年龄</t>
    <phoneticPr fontId="1" type="noConversion"/>
  </si>
  <si>
    <t>1级手术</t>
    <phoneticPr fontId="1" type="noConversion"/>
  </si>
  <si>
    <t>2级手术</t>
    <phoneticPr fontId="1" type="noConversion"/>
  </si>
  <si>
    <t>3级手术</t>
    <phoneticPr fontId="1" type="noConversion"/>
  </si>
  <si>
    <t>4级手术</t>
    <phoneticPr fontId="1" type="noConversion"/>
  </si>
  <si>
    <t>门诊人次</t>
    <phoneticPr fontId="1" type="noConversion"/>
  </si>
  <si>
    <t>知名专家会诊</t>
    <phoneticPr fontId="1" type="noConversion"/>
  </si>
  <si>
    <t>主任医师会诊</t>
    <phoneticPr fontId="1" type="noConversion"/>
  </si>
  <si>
    <t>副主任医师会诊</t>
    <phoneticPr fontId="1" type="noConversion"/>
  </si>
  <si>
    <t>未分级手术</t>
    <phoneticPr fontId="1" type="noConversion"/>
  </si>
  <si>
    <t>医生中医适宜技术</t>
    <phoneticPr fontId="1" type="noConversion"/>
  </si>
  <si>
    <t>特级护理（临床）</t>
    <phoneticPr fontId="1" type="noConversion"/>
  </si>
  <si>
    <t>重症监护（临床）</t>
    <phoneticPr fontId="1" type="noConversion"/>
  </si>
  <si>
    <t>Ⅰ级护理（临床）</t>
    <phoneticPr fontId="1" type="noConversion"/>
  </si>
  <si>
    <t>Ⅱ级护理（临床）</t>
    <phoneticPr fontId="1" type="noConversion"/>
  </si>
  <si>
    <t>护士中医适宜技术（临床）</t>
    <phoneticPr fontId="1" type="noConversion"/>
  </si>
  <si>
    <t>危重病人抢救</t>
    <phoneticPr fontId="1" type="noConversion"/>
  </si>
  <si>
    <t>临床内镜检查奖励</t>
    <phoneticPr fontId="1" type="noConversion"/>
  </si>
  <si>
    <t>单位系数</t>
    <phoneticPr fontId="1" type="noConversion"/>
  </si>
  <si>
    <t>多学科联合(MDT)门诊</t>
    <phoneticPr fontId="1" type="noConversion"/>
  </si>
  <si>
    <t>核算金额</t>
    <phoneticPr fontId="1" type="noConversion"/>
  </si>
  <si>
    <t>特需门诊</t>
    <phoneticPr fontId="1" type="noConversion"/>
  </si>
  <si>
    <t>中医会诊</t>
    <phoneticPr fontId="1" type="noConversion"/>
  </si>
  <si>
    <t>新定岗医生</t>
    <phoneticPr fontId="1" type="noConversion"/>
  </si>
  <si>
    <t>业务科室管理绩效（病区）</t>
    <phoneticPr fontId="1" type="noConversion"/>
  </si>
  <si>
    <t>业务科室管理绩效（门诊）</t>
    <phoneticPr fontId="1" type="noConversion"/>
  </si>
  <si>
    <t>业务科室管理绩效（医技）</t>
    <phoneticPr fontId="1" type="noConversion"/>
  </si>
  <si>
    <t>1级微创手术</t>
    <phoneticPr fontId="1" type="noConversion"/>
  </si>
  <si>
    <t>2级微创手术</t>
    <phoneticPr fontId="1" type="noConversion"/>
  </si>
  <si>
    <t>3级微创手术</t>
    <phoneticPr fontId="1" type="noConversion"/>
  </si>
  <si>
    <t>4级微创手术</t>
    <phoneticPr fontId="1" type="noConversion"/>
  </si>
  <si>
    <t>头颈一科</t>
    <phoneticPr fontId="1" type="noConversion"/>
  </si>
  <si>
    <t>头颈二科</t>
    <phoneticPr fontId="1" type="noConversion"/>
  </si>
  <si>
    <t>妇瘤一科</t>
    <phoneticPr fontId="1" type="noConversion"/>
  </si>
  <si>
    <t>妇瘤二科</t>
    <phoneticPr fontId="1" type="noConversion"/>
  </si>
  <si>
    <t>骨与软组织一科</t>
    <phoneticPr fontId="1" type="noConversion"/>
  </si>
  <si>
    <t>骨与软组织二科</t>
    <phoneticPr fontId="1" type="noConversion"/>
  </si>
  <si>
    <t>乳腺一科</t>
    <phoneticPr fontId="1" type="noConversion"/>
  </si>
  <si>
    <t>乳腺二科</t>
    <phoneticPr fontId="1" type="noConversion"/>
  </si>
  <si>
    <t>胸外一科</t>
    <phoneticPr fontId="1" type="noConversion"/>
  </si>
  <si>
    <t>胸外二科</t>
    <phoneticPr fontId="1" type="noConversion"/>
  </si>
  <si>
    <t>胃肿瘤外科</t>
    <phoneticPr fontId="1" type="noConversion"/>
  </si>
  <si>
    <t>肝胆胰肿瘤外科</t>
    <phoneticPr fontId="1" type="noConversion"/>
  </si>
  <si>
    <t>泌尿外科</t>
    <phoneticPr fontId="1" type="noConversion"/>
  </si>
  <si>
    <t>结直肠肿瘤外科</t>
    <phoneticPr fontId="1" type="noConversion"/>
  </si>
  <si>
    <t>乳腺内科</t>
    <phoneticPr fontId="1" type="noConversion"/>
  </si>
  <si>
    <t>中西医结合科</t>
    <phoneticPr fontId="1" type="noConversion"/>
  </si>
  <si>
    <t>血液病科</t>
    <phoneticPr fontId="1" type="noConversion"/>
  </si>
  <si>
    <t>消化肿瘤内一科</t>
    <phoneticPr fontId="1" type="noConversion"/>
  </si>
  <si>
    <t>消化肿瘤内二科</t>
    <phoneticPr fontId="1" type="noConversion"/>
  </si>
  <si>
    <t>呼吸肿瘤内科</t>
    <phoneticPr fontId="1" type="noConversion"/>
  </si>
  <si>
    <t>重症医学科</t>
    <phoneticPr fontId="1" type="noConversion"/>
  </si>
  <si>
    <t>麻醉手术科</t>
    <phoneticPr fontId="1" type="noConversion"/>
  </si>
  <si>
    <t>麻醉手术科护士</t>
    <phoneticPr fontId="1" type="noConversion"/>
  </si>
  <si>
    <t>放疗机房</t>
    <phoneticPr fontId="1" type="noConversion"/>
  </si>
  <si>
    <t>介入治疗科</t>
    <phoneticPr fontId="1" type="noConversion"/>
  </si>
  <si>
    <t>门诊部</t>
    <phoneticPr fontId="1" type="noConversion"/>
  </si>
  <si>
    <t>眼科</t>
    <phoneticPr fontId="1" type="noConversion"/>
  </si>
  <si>
    <t>口腔科</t>
    <phoneticPr fontId="1" type="noConversion"/>
  </si>
  <si>
    <t>皮肤科</t>
    <phoneticPr fontId="1" type="noConversion"/>
  </si>
  <si>
    <t>便民门诊</t>
    <phoneticPr fontId="1" type="noConversion"/>
  </si>
  <si>
    <t>针灸理疗室</t>
    <phoneticPr fontId="1" type="noConversion"/>
  </si>
  <si>
    <t>多学科联合(MDT)门诊</t>
    <phoneticPr fontId="1" type="noConversion"/>
  </si>
  <si>
    <t>名老中医工作室</t>
    <phoneticPr fontId="1" type="noConversion"/>
  </si>
  <si>
    <t>特需门诊</t>
    <phoneticPr fontId="1" type="noConversion"/>
  </si>
  <si>
    <t>优势病种1</t>
    <phoneticPr fontId="1" type="noConversion"/>
  </si>
  <si>
    <t>优势病种2</t>
    <phoneticPr fontId="1" type="noConversion"/>
  </si>
  <si>
    <t>优势病种3</t>
    <phoneticPr fontId="1" type="noConversion"/>
  </si>
  <si>
    <t>优势病种4</t>
    <phoneticPr fontId="1" type="noConversion"/>
  </si>
  <si>
    <t>优势病种5</t>
    <phoneticPr fontId="1" type="noConversion"/>
  </si>
  <si>
    <t>优势病种6</t>
    <phoneticPr fontId="1" type="noConversion"/>
  </si>
  <si>
    <t>科室名称</t>
    <phoneticPr fontId="1" type="noConversion"/>
  </si>
  <si>
    <t>介入治疗科</t>
  </si>
  <si>
    <t>0</t>
  </si>
  <si>
    <t>头颈一科</t>
  </si>
  <si>
    <t>头颈二科</t>
  </si>
  <si>
    <t>妇瘤一科</t>
  </si>
  <si>
    <t>妇瘤二科</t>
  </si>
  <si>
    <t>骨与软组织一科</t>
  </si>
  <si>
    <t>骨与软组织二科</t>
  </si>
  <si>
    <t>乳腺一科</t>
  </si>
  <si>
    <t>乳腺二科</t>
  </si>
  <si>
    <t>胸外一科</t>
  </si>
  <si>
    <t>胸外二科</t>
  </si>
  <si>
    <t>胃肿瘤外科</t>
  </si>
  <si>
    <t>肝胆胰肿瘤外科</t>
  </si>
  <si>
    <t>泌尿外科</t>
  </si>
  <si>
    <t>结直肠肿瘤外科</t>
  </si>
  <si>
    <t>乳腺内科</t>
  </si>
  <si>
    <t>中西医结合科</t>
  </si>
  <si>
    <t>血液病科</t>
  </si>
  <si>
    <t>消化肿瘤内一科</t>
  </si>
  <si>
    <t>消化肿瘤内二科</t>
  </si>
  <si>
    <t>呼吸肿瘤内科</t>
  </si>
  <si>
    <t>重症医学科</t>
  </si>
  <si>
    <t>--</t>
  </si>
  <si>
    <t>麻醉手术科</t>
  </si>
  <si>
    <t>麻醉手术科护士</t>
  </si>
  <si>
    <t>放疗机房</t>
  </si>
  <si>
    <t>门诊部</t>
  </si>
  <si>
    <t>眼科</t>
  </si>
  <si>
    <t>口腔科</t>
  </si>
  <si>
    <t>皮肤科</t>
  </si>
  <si>
    <t>便民门诊</t>
  </si>
  <si>
    <t>针灸理疗室</t>
  </si>
  <si>
    <t>多学科联合(MDT)门诊</t>
  </si>
  <si>
    <t>名老中医工作室</t>
  </si>
  <si>
    <t>特需门诊</t>
  </si>
  <si>
    <t>门诊标准次均费用</t>
    <phoneticPr fontId="1" type="noConversion"/>
  </si>
  <si>
    <t>病区标准次均费用</t>
    <phoneticPr fontId="1" type="noConversion"/>
  </si>
  <si>
    <t>中医会诊</t>
    <phoneticPr fontId="1" type="noConversion"/>
  </si>
  <si>
    <t>单据</t>
    <phoneticPr fontId="1" type="noConversion"/>
  </si>
  <si>
    <t>--</t>
    <phoneticPr fontId="1" type="noConversion"/>
  </si>
  <si>
    <t>门诊收费室</t>
  </si>
  <si>
    <t>住院收费室</t>
  </si>
  <si>
    <t>行政绩效人员</t>
  </si>
  <si>
    <t>放射科</t>
  </si>
  <si>
    <t>核医学科</t>
  </si>
  <si>
    <t>内窥镜中心</t>
  </si>
  <si>
    <t>药学部</t>
    <phoneticPr fontId="1" type="noConversion"/>
  </si>
  <si>
    <t>行政单位系数</t>
    <phoneticPr fontId="1" type="noConversion"/>
  </si>
  <si>
    <t>病理科</t>
    <phoneticPr fontId="1" type="noConversion"/>
  </si>
  <si>
    <t>功能科</t>
    <phoneticPr fontId="1" type="noConversion"/>
  </si>
  <si>
    <t>检验科</t>
    <phoneticPr fontId="1" type="noConversion"/>
  </si>
  <si>
    <t>消毒供应中心</t>
    <phoneticPr fontId="1" type="noConversion"/>
  </si>
  <si>
    <t>行政绩效人员</t>
    <phoneticPr fontId="1" type="noConversion"/>
  </si>
  <si>
    <t>病区服务</t>
    <phoneticPr fontId="1" type="noConversion"/>
  </si>
  <si>
    <t>门诊服务</t>
    <phoneticPr fontId="1" type="noConversion"/>
  </si>
  <si>
    <t>头颈一科护理</t>
  </si>
  <si>
    <t>头颈二科护理</t>
  </si>
  <si>
    <t>乳腺一科护理</t>
  </si>
  <si>
    <t>乳腺二科护理</t>
  </si>
  <si>
    <t>妇瘤一科护理</t>
  </si>
  <si>
    <t>胸外一科护理</t>
  </si>
  <si>
    <t>胸外二、介入治疗科护理</t>
  </si>
  <si>
    <t>胃肿瘤外科护理</t>
  </si>
  <si>
    <t>骨与软组织一科护理</t>
  </si>
  <si>
    <t>中西医、乳腺内科护理</t>
  </si>
  <si>
    <t>血液病科护理</t>
  </si>
  <si>
    <t>消化肿瘤内一科护理</t>
  </si>
  <si>
    <t>消化肿瘤内二科护理</t>
  </si>
  <si>
    <t>呼吸肿瘤内科护理</t>
  </si>
  <si>
    <t>肝胆胰、泌尿外科护理部</t>
  </si>
  <si>
    <t>骨软二、妇瘤二科护理部</t>
  </si>
  <si>
    <t>结直肠肿瘤外科护理</t>
  </si>
  <si>
    <t>头颈二科护理</t>
    <phoneticPr fontId="1" type="noConversion"/>
  </si>
  <si>
    <t>乳腺二科护理</t>
    <phoneticPr fontId="1" type="noConversion"/>
  </si>
  <si>
    <t>胸外一科护理</t>
    <phoneticPr fontId="1" type="noConversion"/>
  </si>
  <si>
    <t>胃肿瘤外科护理</t>
    <phoneticPr fontId="1" type="noConversion"/>
  </si>
  <si>
    <t>血液病科护理</t>
    <phoneticPr fontId="1" type="noConversion"/>
  </si>
  <si>
    <t>消化肿瘤内二科护理</t>
    <phoneticPr fontId="1" type="noConversion"/>
  </si>
  <si>
    <t>肝胆胰、泌尿外科护理部</t>
    <phoneticPr fontId="1" type="noConversion"/>
  </si>
  <si>
    <t>结直肠肿瘤外科护理</t>
    <phoneticPr fontId="1" type="noConversion"/>
  </si>
  <si>
    <t>业务科室管理绩效（护理）</t>
    <phoneticPr fontId="1" type="noConversion"/>
  </si>
  <si>
    <t>出院人次（护理）</t>
    <phoneticPr fontId="1" type="noConversion"/>
  </si>
  <si>
    <t>危重病人抢救（护理）</t>
    <phoneticPr fontId="1" type="noConversion"/>
  </si>
  <si>
    <t>年龄（护理）</t>
    <phoneticPr fontId="1" type="noConversion"/>
  </si>
  <si>
    <t>护士中医适宜技术（护理）</t>
    <phoneticPr fontId="1" type="noConversion"/>
  </si>
  <si>
    <t>Ⅱ级护理（护理）</t>
    <phoneticPr fontId="1" type="noConversion"/>
  </si>
  <si>
    <t>Ⅰ级护理（护理）</t>
    <phoneticPr fontId="1" type="noConversion"/>
  </si>
  <si>
    <t>特级护理（护理）</t>
    <phoneticPr fontId="1" type="noConversion"/>
  </si>
  <si>
    <t>重症监护（护理）</t>
    <phoneticPr fontId="1" type="noConversion"/>
  </si>
  <si>
    <t>出院患者占用床日（护理）</t>
    <phoneticPr fontId="1" type="noConversion"/>
  </si>
  <si>
    <t>骨与软组织一科护理</t>
    <phoneticPr fontId="1" type="noConversion"/>
  </si>
  <si>
    <t>胸外二、介入治疗科护理</t>
    <phoneticPr fontId="1" type="noConversion"/>
  </si>
  <si>
    <t>妇瘤一科护理</t>
    <phoneticPr fontId="1" type="noConversion"/>
  </si>
  <si>
    <t>头颈一科护理</t>
    <phoneticPr fontId="1" type="noConversion"/>
  </si>
  <si>
    <t>呼吸肿瘤内科护理</t>
    <phoneticPr fontId="1" type="noConversion"/>
  </si>
  <si>
    <t>骨软二、妇瘤二科护理部</t>
    <phoneticPr fontId="1" type="noConversion"/>
  </si>
  <si>
    <t>消化肿瘤内一科护理</t>
    <phoneticPr fontId="1" type="noConversion"/>
  </si>
  <si>
    <t>中西医、乳腺内科护理</t>
    <phoneticPr fontId="1" type="noConversion"/>
  </si>
  <si>
    <t>乳腺一科护理</t>
    <phoneticPr fontId="1" type="noConversion"/>
  </si>
  <si>
    <t>4级手术护理（护理）</t>
    <phoneticPr fontId="1" type="noConversion"/>
  </si>
  <si>
    <t>重症监护</t>
    <phoneticPr fontId="1" type="noConversion"/>
  </si>
  <si>
    <t xml:space="preserve">	特级护理</t>
    <phoneticPr fontId="1" type="noConversion"/>
  </si>
  <si>
    <t xml:space="preserve">	Ⅰ级护理</t>
    <phoneticPr fontId="1" type="noConversion"/>
  </si>
  <si>
    <t xml:space="preserve">	Ⅱ级护理</t>
    <phoneticPr fontId="1" type="noConversion"/>
  </si>
  <si>
    <t xml:space="preserve">	护士中医适宜技术</t>
    <phoneticPr fontId="1" type="noConversion"/>
  </si>
  <si>
    <t xml:space="preserve">	年龄（护理）</t>
    <phoneticPr fontId="1" type="noConversion"/>
  </si>
  <si>
    <t xml:space="preserve">	危重病人抢救（护理）</t>
    <phoneticPr fontId="1" type="noConversion"/>
  </si>
  <si>
    <t xml:space="preserve">	出院人次（护理）</t>
    <phoneticPr fontId="1" type="noConversion"/>
  </si>
  <si>
    <t xml:space="preserve">	4级手术护理</t>
    <phoneticPr fontId="1" type="noConversion"/>
  </si>
  <si>
    <t xml:space="preserve">	出院患者占用床日</t>
    <phoneticPr fontId="1" type="noConversion"/>
  </si>
  <si>
    <t>门诊收费室</t>
    <phoneticPr fontId="1" type="noConversion"/>
  </si>
  <si>
    <t>核医学科</t>
    <phoneticPr fontId="1" type="noConversion"/>
  </si>
  <si>
    <t>放射科</t>
    <phoneticPr fontId="1" type="noConversion"/>
  </si>
  <si>
    <t>甘肃省肿瘤医院</t>
  </si>
  <si>
    <t>序号</t>
  </si>
  <si>
    <t>科室名称</t>
  </si>
  <si>
    <t>科室类型</t>
  </si>
  <si>
    <t>考核得分</t>
  </si>
  <si>
    <t>实发绩效</t>
  </si>
  <si>
    <t>奖惩合计</t>
  </si>
  <si>
    <t>实际发放金额</t>
  </si>
  <si>
    <t>行政单位系数</t>
  </si>
  <si>
    <t>医辅</t>
  </si>
  <si>
    <t>院办公室</t>
  </si>
  <si>
    <t>行政后勤</t>
  </si>
  <si>
    <t>人事科</t>
  </si>
  <si>
    <t>财务科</t>
  </si>
  <si>
    <t>党委办公室</t>
  </si>
  <si>
    <t>科教科</t>
  </si>
  <si>
    <t>医务科</t>
  </si>
  <si>
    <t>护理部</t>
  </si>
  <si>
    <t>感染管理科</t>
  </si>
  <si>
    <t>医疗保险办公室</t>
  </si>
  <si>
    <t>审计科</t>
  </si>
  <si>
    <t>宣传科</t>
  </si>
  <si>
    <t>后勤保障科</t>
  </si>
  <si>
    <t>保卫科</t>
  </si>
  <si>
    <t>网络中心</t>
  </si>
  <si>
    <t>动力管理科</t>
  </si>
  <si>
    <t>医学工程部</t>
  </si>
  <si>
    <t>采购办公室</t>
  </si>
  <si>
    <t>经济管理办公室</t>
  </si>
  <si>
    <t>健康促进科</t>
  </si>
  <si>
    <t>对外联络办公室</t>
  </si>
  <si>
    <t>公共卫生科</t>
  </si>
  <si>
    <t>临床营养科</t>
  </si>
  <si>
    <t>收费管理科</t>
  </si>
  <si>
    <t>工会办公室</t>
  </si>
  <si>
    <t>患者维权办公室</t>
  </si>
  <si>
    <t>肿瘤流行病学研究中心</t>
  </si>
  <si>
    <t>医疗质量控制科</t>
  </si>
  <si>
    <t>基建办</t>
  </si>
  <si>
    <t>药学部（职能）</t>
  </si>
  <si>
    <t>财务部</t>
  </si>
  <si>
    <t>医务部</t>
  </si>
  <si>
    <t>临床</t>
  </si>
  <si>
    <t>医技</t>
  </si>
  <si>
    <t>消毒供应中心</t>
  </si>
  <si>
    <t>病理科</t>
  </si>
  <si>
    <t>功能科</t>
  </si>
  <si>
    <t>检验科</t>
  </si>
  <si>
    <t>药学部</t>
  </si>
  <si>
    <t>护理</t>
  </si>
  <si>
    <t>门诊</t>
  </si>
  <si>
    <t>合计</t>
  </si>
  <si>
    <t/>
  </si>
  <si>
    <t xml:space="preserve">                     操作人：</t>
  </si>
  <si>
    <t>主管院长：</t>
  </si>
  <si>
    <t xml:space="preserve">  财务主管院长：</t>
  </si>
  <si>
    <t xml:space="preserve">   经管办：</t>
  </si>
  <si>
    <t>制表：</t>
  </si>
  <si>
    <t>应发绩效</t>
    <phoneticPr fontId="9" type="noConversion"/>
  </si>
  <si>
    <t>纪委办公室</t>
    <phoneticPr fontId="7" type="noConversion"/>
  </si>
  <si>
    <t>放疗一病区</t>
  </si>
  <si>
    <t>放疗二病区</t>
    <phoneticPr fontId="1" type="noConversion"/>
  </si>
  <si>
    <t>放疗三病区</t>
    <phoneticPr fontId="1" type="noConversion"/>
  </si>
  <si>
    <t>放疗一病区护理</t>
    <phoneticPr fontId="4" type="noConversion"/>
  </si>
  <si>
    <t>放疗二病区护理</t>
    <phoneticPr fontId="4" type="noConversion"/>
  </si>
  <si>
    <t>放疗三病区护理</t>
    <phoneticPr fontId="4" type="noConversion"/>
  </si>
  <si>
    <t>放疗一病区护理</t>
    <phoneticPr fontId="1" type="noConversion"/>
  </si>
  <si>
    <t>放疗二病区护理</t>
    <phoneticPr fontId="1" type="noConversion"/>
  </si>
  <si>
    <t>放疗三病区护理</t>
    <phoneticPr fontId="1" type="noConversion"/>
  </si>
  <si>
    <t>放疗一病区</t>
    <phoneticPr fontId="1" type="noConversion"/>
  </si>
  <si>
    <t>放疗一病区</t>
    <phoneticPr fontId="7" type="noConversion"/>
  </si>
  <si>
    <t>放疗二病区</t>
    <phoneticPr fontId="7" type="noConversion"/>
  </si>
  <si>
    <t>放疗三病区</t>
    <phoneticPr fontId="7" type="noConversion"/>
  </si>
  <si>
    <t>放疗一病区护理</t>
    <phoneticPr fontId="7" type="noConversion"/>
  </si>
  <si>
    <t>放疗二病区护理</t>
    <phoneticPr fontId="7" type="noConversion"/>
  </si>
  <si>
    <t>放疗三病区护理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</si>
</sst>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_ "/>
    <numFmt numFmtId="177" formatCode="0.000_);[Red]\(0.000\)"/>
    <numFmt numFmtId="178" formatCode="0.00_ "/>
  </numFmts>
  <fonts count="13" x14ac:knownFonts="1">
    <font>
      <sz val="11"/>
      <color theme="1"/>
      <name val="新細明體"/>
      <family val="2"/>
      <charset val="134"/>
      <scheme val="minor"/>
    </font>
    <font>
      <sz val="9"/>
      <name val="新細明體"/>
      <family val="2"/>
      <charset val="134"/>
      <scheme val="minor"/>
    </font>
    <font>
      <b/>
      <sz val="12"/>
      <color rgb="FFFFFFFF"/>
      <name val="微软雅黑"/>
      <family val="2"/>
      <charset val="134"/>
    </font>
    <font>
      <sz val="12"/>
      <color rgb="FF000000"/>
      <name val="微软雅黑"/>
      <family val="2"/>
      <charset val="134"/>
    </font>
    <font>
      <sz val="9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b/>
      <sz val="22"/>
      <name val="微软雅黑"/>
      <family val="2"/>
      <charset val="134"/>
    </font>
    <font>
      <sz val="9"/>
      <name val="新細明體"/>
      <family val="3"/>
      <charset val="136"/>
      <scheme val="minor"/>
    </font>
    <font>
      <b/>
      <sz val="18"/>
      <name val="微软雅黑"/>
      <family val="2"/>
      <charset val="134"/>
    </font>
    <font>
      <sz val="9"/>
      <name val="新細明體"/>
      <family val="3"/>
      <charset val="134"/>
      <scheme val="minor"/>
    </font>
    <font>
      <b/>
      <sz val="12"/>
      <name val="微软雅黑"/>
      <family val="2"/>
      <charset val="134"/>
    </font>
    <font>
      <sz val="14"/>
      <name val="微软雅黑"/>
      <family val="2"/>
      <charset val="134"/>
    </font>
    <font>
      <b/>
      <sz val="12"/>
      <color rgb="FF00000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4EADC3"/>
        <bgColor indexed="64"/>
      </patternFill>
    </fill>
    <fill>
      <patternFill patternType="solid">
        <fgColor rgb="FFDDF3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4ADC3"/>
        <bgColor indexed="64"/>
      </patternFill>
    </fill>
  </fills>
  <borders count="12">
    <border>
      <left/>
      <right/>
      <top/>
      <bottom/>
      <diagonal/>
    </border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5" fillId="0" borderId="1"/>
  </cellStyleXfs>
  <cellXfs count="39">
    <xf numFmtId="0" fontId="0" fillId="0" borderId="0" xfId="0">
      <alignment vertical="center"/>
    </xf>
    <xf numFmtId="0" fontId="3" fillId="3" borderId="2" xfId="0" applyFont="1" applyFill="1" applyBorder="1" applyAlignment="1" applyProtection="1">
      <alignment horizontal="center" vertical="center" wrapText="1" shrinkToFit="1"/>
      <protection locked="0"/>
    </xf>
    <xf numFmtId="176" fontId="3" fillId="3" borderId="2" xfId="0" applyNumberFormat="1" applyFont="1" applyFill="1" applyBorder="1" applyAlignment="1" applyProtection="1">
      <alignment horizontal="center" vertical="center"/>
      <protection locked="0"/>
    </xf>
    <xf numFmtId="0" fontId="3" fillId="4" borderId="2" xfId="0" applyFont="1" applyFill="1" applyBorder="1" applyAlignment="1" applyProtection="1">
      <alignment horizontal="center" vertical="center" wrapText="1" shrinkToFit="1"/>
      <protection locked="0"/>
    </xf>
    <xf numFmtId="176" fontId="3" fillId="4" borderId="2" xfId="0" applyNumberFormat="1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 wrapText="1" shrinkToFit="1"/>
      <protection locked="0"/>
    </xf>
    <xf numFmtId="176" fontId="3" fillId="5" borderId="2" xfId="0" applyNumberFormat="1" applyFont="1" applyFill="1" applyBorder="1" applyAlignment="1" applyProtection="1">
      <alignment horizontal="center" vertical="center"/>
      <protection locked="0"/>
    </xf>
    <xf numFmtId="176" fontId="3" fillId="4" borderId="2" xfId="0" quotePrefix="1" applyNumberFormat="1" applyFont="1" applyFill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 applyProtection="1">
      <alignment horizontal="center" vertical="center"/>
      <protection locked="0"/>
    </xf>
    <xf numFmtId="176" fontId="3" fillId="4" borderId="7" xfId="0" applyNumberFormat="1" applyFont="1" applyFill="1" applyBorder="1" applyAlignment="1" applyProtection="1">
      <alignment horizontal="center" vertical="center"/>
      <protection locked="0"/>
    </xf>
    <xf numFmtId="176" fontId="3" fillId="3" borderId="7" xfId="0" applyNumberFormat="1" applyFont="1" applyFill="1" applyBorder="1" applyAlignment="1" applyProtection="1">
      <alignment horizontal="center" vertical="center"/>
      <protection locked="0"/>
    </xf>
    <xf numFmtId="176" fontId="3" fillId="3" borderId="2" xfId="0" applyNumberFormat="1" applyFont="1" applyFill="1" applyBorder="1" applyAlignment="1" applyProtection="1">
      <alignment horizontal="center" vertical="center" wrapText="1" shrinkToFit="1"/>
      <protection locked="0"/>
    </xf>
    <xf numFmtId="176" fontId="3" fillId="3" borderId="2" xfId="0" quotePrefix="1" applyNumberFormat="1" applyFont="1" applyFill="1" applyBorder="1" applyAlignment="1" applyProtection="1">
      <alignment horizontal="center" vertical="center"/>
      <protection locked="0"/>
    </xf>
    <xf numFmtId="177" fontId="3" fillId="3" borderId="2" xfId="0" applyNumberFormat="1" applyFont="1" applyFill="1" applyBorder="1" applyAlignment="1" applyProtection="1">
      <alignment horizontal="center" vertical="center" wrapText="1" shrinkToFit="1"/>
      <protection locked="0"/>
    </xf>
    <xf numFmtId="177" fontId="3" fillId="4" borderId="2" xfId="0" applyNumberFormat="1" applyFont="1" applyFill="1" applyBorder="1" applyAlignment="1" applyProtection="1">
      <alignment horizontal="center" vertical="center" wrapText="1" shrinkToFit="1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0" fontId="11" fillId="2" borderId="10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 shrinkToFit="1"/>
    </xf>
    <xf numFmtId="178" fontId="3" fillId="5" borderId="10" xfId="0" applyNumberFormat="1" applyFont="1" applyFill="1" applyBorder="1" applyAlignment="1">
      <alignment horizontal="center" vertical="center"/>
    </xf>
    <xf numFmtId="0" fontId="3" fillId="4" borderId="10" xfId="0" applyFont="1" applyFill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left" vertical="center"/>
    </xf>
    <xf numFmtId="0" fontId="0" fillId="0" borderId="1" xfId="0" applyBorder="1">
      <alignment vertical="center"/>
    </xf>
    <xf numFmtId="0" fontId="3" fillId="5" borderId="10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left" vertical="center"/>
    </xf>
    <xf numFmtId="0" fontId="6" fillId="6" borderId="1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10" fillId="6" borderId="9" xfId="0" applyFont="1" applyFill="1" applyBorder="1" applyAlignment="1">
      <alignment horizontal="right" vertical="center"/>
    </xf>
    <xf numFmtId="0" fontId="3" fillId="5" borderId="10" xfId="0" applyFont="1" applyFill="1" applyBorder="1" applyAlignment="1">
      <alignment horizontal="center" vertical="center"/>
    </xf>
    <xf numFmtId="0" fontId="12" fillId="4" borderId="11" xfId="0" applyFont="1" applyFill="1" applyBorder="1" applyAlignment="1">
      <alignment horizontal="left" vertical="center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 applyProtection="1">
      <alignment horizontal="center" vertical="center"/>
      <protection locked="0"/>
    </xf>
    <xf numFmtId="0" fontId="2" fillId="2" borderId="5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2" borderId="8" xfId="0" applyFont="1" applyFill="1" applyBorder="1" applyAlignment="1" applyProtection="1">
      <alignment horizontal="center" vertical="center"/>
      <protection locked="0"/>
    </xf>
  </cellXfs>
  <cellStyles count="2">
    <cellStyle name="常规" xfId="0" builtinId="0"/>
    <cellStyle name="常规 2" xfId="1" xr:uid="{A44EE7CA-DCF9-4A8D-84B2-5E0A64B022C5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5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12500</xdr:rowOff>
    </xdr:from>
    <xdr:to>
      <xdr:col>1</xdr:col>
      <xdr:colOff>0</xdr:colOff>
      <xdr:row>1</xdr:row>
      <xdr:rowOff>414220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iyun\Desktop\work\2025&#24180;1&#26376;&#32489;&#25928;&#27169;&#29256;\&#31215;&#20998;_&#27169;&#26495;.xlsm" TargetMode="External"/><Relationship Id="rId1" Type="http://schemas.openxmlformats.org/officeDocument/2006/relationships/externalLinkPath" Target="&#31215;&#20998;_&#27169;&#26495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2870;&#32602;&#24635;&#35745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6381;&#21153;&#20154;&#27425;&#24037;&#20316;&#37327;&#36890;&#29992;&#19978;&#20256;&#27169;&#26495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32771;&#26680;&#25968;&#25454;&#23384;&#20648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38376;&#35786;&#20154;&#27425;&#24037;&#20316;&#37327;&#36890;&#29992;&#19978;&#20256;&#27169;&#26495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&#26381;&#21153;&#20154;&#27425;&#24037;&#20316;&#37327;&#19981;&#36890;&#29992;&#19978;&#20256;&#27169;&#26495;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&#36164;&#28304;&#28040;&#32791;&#24037;&#20316;&#37327;&#19981;&#36890;&#29992;&#19978;&#20256;&#27169;&#26495;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&#32844;&#33021;&#23454;&#38469;&#20540;&#23454;&#38469;&#20540;&#19978;&#20256;&#27169;&#26495;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&#22402;&#30452;&#25252;&#29702;&#24037;&#20316;&#37327;&#36890;&#29992;&#19978;&#20256;&#27169;&#2649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结果"/>
      <sheetName val="固定数据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奖罚总计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服务人次工作量通用上传模板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Sheet4"/>
    </sheetNames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门诊人次工作量通用上传模板"/>
    </sheetNames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服务人次工作量不通用上传模板"/>
    </sheetNames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1 (2)"/>
    </sheetNames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职能实际值实际值上传模板"/>
    </sheetNames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</sheetNames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402B-F08A-4BA0-BD67-ABA0690EBF82}">
  <dimension ref="A1:H105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E54" sqref="E54"/>
    </sheetView>
  </sheetViews>
  <sheetFormatPr defaultRowHeight="13.8" x14ac:dyDescent="0.25"/>
  <cols>
    <col min="1" max="1" width="7.75" bestFit="1" customWidth="1"/>
    <col min="2" max="2" width="31.375" bestFit="1" customWidth="1"/>
    <col min="3" max="3" width="13.875" bestFit="1" customWidth="1"/>
    <col min="4" max="4" width="19.25" bestFit="1" customWidth="1"/>
    <col min="5" max="6" width="17.375" bestFit="1" customWidth="1"/>
    <col min="7" max="7" width="29.375" bestFit="1" customWidth="1"/>
    <col min="8" max="8" width="20.25" bestFit="1" customWidth="1"/>
  </cols>
  <sheetData>
    <row r="1" spans="1:8" ht="32.4" x14ac:dyDescent="0.7">
      <c r="A1" s="28" t="s">
        <v>191</v>
      </c>
      <c r="B1" s="28"/>
      <c r="C1" s="28"/>
      <c r="D1" s="28"/>
      <c r="E1" s="28"/>
      <c r="F1" s="28"/>
      <c r="G1" s="28"/>
      <c r="H1" s="28"/>
    </row>
    <row r="2" spans="1:8" ht="25.8" x14ac:dyDescent="0.55000000000000004">
      <c r="A2" s="29" t="str">
        <f ca="1">" "&amp;YEAR(TODAY())&amp;"年"&amp;MONTH(TODAY())-1&amp;"月绩效科室考核结果"</f>
        <v xml:space="preserve"> 2025年1月绩效科室考核结果</v>
      </c>
      <c r="B2" s="29"/>
      <c r="C2" s="29"/>
      <c r="D2" s="29"/>
      <c r="E2" s="29"/>
      <c r="F2" s="29"/>
      <c r="G2" s="29"/>
      <c r="H2" s="29"/>
    </row>
    <row r="3" spans="1:8" ht="17.399999999999999" x14ac:dyDescent="0.25">
      <c r="A3" s="30" t="str">
        <f ca="1">" "&amp;YEAR(TODAY())&amp;"年"&amp;MONTH(TODAY())-1&amp;"月绩效[未发布]"</f>
        <v xml:space="preserve"> 2025年1月绩效[未发布]</v>
      </c>
      <c r="B3" s="30"/>
      <c r="C3" s="30"/>
      <c r="D3" s="30"/>
      <c r="E3" s="30"/>
      <c r="F3" s="30"/>
      <c r="G3" s="30"/>
      <c r="H3" s="30"/>
    </row>
    <row r="4" spans="1:8" ht="19.2" x14ac:dyDescent="0.25">
      <c r="A4" s="17" t="s">
        <v>192</v>
      </c>
      <c r="B4" s="17" t="s">
        <v>193</v>
      </c>
      <c r="C4" s="17" t="s">
        <v>194</v>
      </c>
      <c r="D4" s="17" t="s">
        <v>249</v>
      </c>
      <c r="E4" s="17" t="s">
        <v>195</v>
      </c>
      <c r="F4" s="17" t="s">
        <v>196</v>
      </c>
      <c r="G4" s="17" t="s">
        <v>197</v>
      </c>
      <c r="H4" s="17" t="s">
        <v>198</v>
      </c>
    </row>
    <row r="5" spans="1:8" ht="17.399999999999999" x14ac:dyDescent="0.25">
      <c r="A5" s="18">
        <v>1</v>
      </c>
      <c r="B5" s="18" t="s">
        <v>199</v>
      </c>
      <c r="C5" s="19" t="s">
        <v>200</v>
      </c>
      <c r="D5" s="20">
        <f>VLOOKUP(B5,结果!A:B,2,FALSE)</f>
        <v>1513738.52</v>
      </c>
      <c r="E5" s="20">
        <f>VLOOKUP(B5,[1]结果!A:B,2,FALSE)</f>
        <v>0</v>
      </c>
      <c r="F5" s="20">
        <f>IF(D5=0,1,D5)*IF(E5=0,1,E5/100)</f>
        <v>1513738.52</v>
      </c>
      <c r="G5" s="20" t="str">
        <f>IFERROR(INDEX([2]Sheet1!B:B, MATCH(B5, [2]Sheet1!A:A, 0)), "0.00")</f>
        <v>0.00</v>
      </c>
      <c r="H5" s="20">
        <f>F5+G5</f>
        <v>1513738.52</v>
      </c>
    </row>
    <row r="6" spans="1:8" ht="17.399999999999999" x14ac:dyDescent="0.25">
      <c r="A6" s="18">
        <v>2</v>
      </c>
      <c r="B6" s="18" t="s">
        <v>120</v>
      </c>
      <c r="C6" s="19" t="s">
        <v>200</v>
      </c>
      <c r="D6" s="20">
        <f>VLOOKUP(B6,结果!A:B,2,FALSE)</f>
        <v>226086.48</v>
      </c>
      <c r="E6" s="20">
        <f>VLOOKUP(B6,[1]结果!A:B,2,FALSE)</f>
        <v>0</v>
      </c>
      <c r="F6" s="20">
        <f t="shared" ref="F6:F71" si="0">IF(D6=0,1,D6)*IF(E6=0,1,E6/100)</f>
        <v>226086.48</v>
      </c>
      <c r="G6" s="20" t="str">
        <f>IFERROR(INDEX([2]Sheet1!B:B, MATCH(B6, [2]Sheet1!A:A, 0)), "0.00")</f>
        <v>0.00</v>
      </c>
      <c r="H6" s="20">
        <f t="shared" ref="H6:H71" si="1">F6+G6</f>
        <v>226086.48</v>
      </c>
    </row>
    <row r="7" spans="1:8" ht="17.399999999999999" x14ac:dyDescent="0.25">
      <c r="A7" s="18">
        <v>3</v>
      </c>
      <c r="B7" s="18" t="s">
        <v>201</v>
      </c>
      <c r="C7" s="19" t="s">
        <v>202</v>
      </c>
      <c r="D7" s="20">
        <f>IFERROR(VLOOKUP(B7,结果!A:B,2,FALSE),0)</f>
        <v>0</v>
      </c>
      <c r="E7" s="20">
        <f>VLOOKUP(B7,[1]结果!A:B,2,FALSE)</f>
        <v>90.85</v>
      </c>
      <c r="F7" s="20">
        <v>0</v>
      </c>
      <c r="G7" s="20" t="str">
        <f>IFERROR(INDEX([2]Sheet1!B:B, MATCH(B7, [2]Sheet1!A:A, 0)), "0.00")</f>
        <v>0.00</v>
      </c>
      <c r="H7" s="20">
        <f t="shared" si="1"/>
        <v>0</v>
      </c>
    </row>
    <row r="8" spans="1:8" ht="17.399999999999999" x14ac:dyDescent="0.25">
      <c r="A8" s="18">
        <v>4</v>
      </c>
      <c r="B8" s="18" t="s">
        <v>203</v>
      </c>
      <c r="C8" s="19" t="s">
        <v>202</v>
      </c>
      <c r="D8" s="20">
        <f>IFERROR(VLOOKUP(B8,结果!A:B,2,FALSE),0)</f>
        <v>0</v>
      </c>
      <c r="E8" s="20">
        <f>VLOOKUP(B8,[1]结果!A:B,2,FALSE)</f>
        <v>90.85</v>
      </c>
      <c r="F8" s="20">
        <v>0</v>
      </c>
      <c r="G8" s="20" t="str">
        <f>IFERROR(INDEX([2]Sheet1!B:B, MATCH(B8, [2]Sheet1!A:A, 0)), "0.00")</f>
        <v>0.00</v>
      </c>
      <c r="H8" s="20">
        <f t="shared" si="1"/>
        <v>0</v>
      </c>
    </row>
    <row r="9" spans="1:8" ht="17.399999999999999" x14ac:dyDescent="0.25">
      <c r="A9" s="18">
        <v>5</v>
      </c>
      <c r="B9" s="18" t="s">
        <v>204</v>
      </c>
      <c r="C9" s="19" t="s">
        <v>202</v>
      </c>
      <c r="D9" s="20">
        <f>IFERROR(VLOOKUP(B9,结果!A:B,2,FALSE),0)</f>
        <v>0</v>
      </c>
      <c r="E9" s="20">
        <f>VLOOKUP(B9,[1]结果!A:B,2,FALSE)</f>
        <v>89.99</v>
      </c>
      <c r="F9" s="20">
        <v>0</v>
      </c>
      <c r="G9" s="20" t="str">
        <f>IFERROR(INDEX([2]Sheet1!B:B, MATCH(B9, [2]Sheet1!A:A, 0)), "0.00")</f>
        <v>0.00</v>
      </c>
      <c r="H9" s="20">
        <f t="shared" si="1"/>
        <v>0</v>
      </c>
    </row>
    <row r="10" spans="1:8" ht="17.399999999999999" x14ac:dyDescent="0.25">
      <c r="A10" s="18">
        <v>6</v>
      </c>
      <c r="B10" s="18" t="s">
        <v>205</v>
      </c>
      <c r="C10" s="19" t="s">
        <v>202</v>
      </c>
      <c r="D10" s="20">
        <f>IFERROR(VLOOKUP(B10,结果!A:B,2,FALSE),0)</f>
        <v>0</v>
      </c>
      <c r="E10" s="20">
        <f>VLOOKUP(B10,[1]结果!A:B,2,FALSE)</f>
        <v>90.43</v>
      </c>
      <c r="F10" s="20">
        <v>0</v>
      </c>
      <c r="G10" s="20" t="str">
        <f>IFERROR(INDEX([2]Sheet1!B:B, MATCH(B10, [2]Sheet1!A:A, 0)), "0.00")</f>
        <v>0.00</v>
      </c>
      <c r="H10" s="20">
        <f t="shared" si="1"/>
        <v>0</v>
      </c>
    </row>
    <row r="11" spans="1:8" ht="17.399999999999999" x14ac:dyDescent="0.25">
      <c r="A11" s="18">
        <v>7</v>
      </c>
      <c r="B11" s="18" t="s">
        <v>250</v>
      </c>
      <c r="C11" s="19" t="s">
        <v>202</v>
      </c>
      <c r="D11" s="20">
        <f>IFERROR(VLOOKUP(B11,结果!A:B,2,FALSE),0)</f>
        <v>0</v>
      </c>
      <c r="E11" s="20">
        <f>VLOOKUP("纪委办公室",[1]结果!A:B,2,FALSE)</f>
        <v>90.85</v>
      </c>
      <c r="F11" s="20">
        <v>0</v>
      </c>
      <c r="G11" s="20" t="str">
        <f>IFERROR(INDEX([2]Sheet1!B:B, MATCH(B11, [2]Sheet1!A:A, 0)), "0.00")</f>
        <v>0.00</v>
      </c>
      <c r="H11" s="20">
        <f t="shared" si="1"/>
        <v>0</v>
      </c>
    </row>
    <row r="12" spans="1:8" ht="17.399999999999999" x14ac:dyDescent="0.25">
      <c r="A12" s="18">
        <v>8</v>
      </c>
      <c r="B12" s="18" t="s">
        <v>206</v>
      </c>
      <c r="C12" s="19" t="s">
        <v>202</v>
      </c>
      <c r="D12" s="20">
        <f>IFERROR(VLOOKUP(B12,结果!A:B,2,FALSE),0)</f>
        <v>0</v>
      </c>
      <c r="E12" s="20">
        <f>VLOOKUP(B12,[1]结果!A:B,2,FALSE)</f>
        <v>89.57</v>
      </c>
      <c r="F12" s="20">
        <v>0</v>
      </c>
      <c r="G12" s="20" t="str">
        <f>IFERROR(INDEX([2]Sheet1!B:B, MATCH(B12, [2]Sheet1!A:A, 0)), "0.00")</f>
        <v>0.00</v>
      </c>
      <c r="H12" s="20">
        <f t="shared" si="1"/>
        <v>0</v>
      </c>
    </row>
    <row r="13" spans="1:8" ht="17.399999999999999" x14ac:dyDescent="0.25">
      <c r="A13" s="18">
        <v>9</v>
      </c>
      <c r="B13" s="18" t="s">
        <v>207</v>
      </c>
      <c r="C13" s="19" t="s">
        <v>202</v>
      </c>
      <c r="D13" s="20">
        <f>IFERROR(VLOOKUP(B13,结果!A:B,2,FALSE),0)</f>
        <v>0</v>
      </c>
      <c r="E13" s="20">
        <f>VLOOKUP(B13,[1]结果!A:B,2,FALSE)</f>
        <v>90.43</v>
      </c>
      <c r="F13" s="20">
        <v>0</v>
      </c>
      <c r="G13" s="20" t="str">
        <f>IFERROR(INDEX([2]Sheet1!B:B, MATCH(B13, [2]Sheet1!A:A, 0)), "0.00")</f>
        <v>0.00</v>
      </c>
      <c r="H13" s="20">
        <f t="shared" si="1"/>
        <v>0</v>
      </c>
    </row>
    <row r="14" spans="1:8" ht="17.399999999999999" x14ac:dyDescent="0.25">
      <c r="A14" s="18">
        <v>10</v>
      </c>
      <c r="B14" s="18" t="s">
        <v>208</v>
      </c>
      <c r="C14" s="19" t="s">
        <v>202</v>
      </c>
      <c r="D14" s="20">
        <f>IFERROR(VLOOKUP(B14,结果!A:B,2,FALSE),0)</f>
        <v>0</v>
      </c>
      <c r="E14" s="20">
        <f>VLOOKUP(B14,[1]结果!A:B,2,FALSE)</f>
        <v>89.99</v>
      </c>
      <c r="F14" s="20">
        <v>0</v>
      </c>
      <c r="G14" s="20" t="str">
        <f>IFERROR(INDEX([2]Sheet1!B:B, MATCH(B14, [2]Sheet1!A:A, 0)), "0.00")</f>
        <v>0.00</v>
      </c>
      <c r="H14" s="20">
        <f t="shared" si="1"/>
        <v>0</v>
      </c>
    </row>
    <row r="15" spans="1:8" ht="17.399999999999999" x14ac:dyDescent="0.25">
      <c r="A15" s="18">
        <v>11</v>
      </c>
      <c r="B15" s="18" t="s">
        <v>209</v>
      </c>
      <c r="C15" s="19" t="s">
        <v>202</v>
      </c>
      <c r="D15" s="20">
        <f>IFERROR(VLOOKUP(B15,结果!A:B,2,FALSE),0)</f>
        <v>0</v>
      </c>
      <c r="E15" s="20">
        <f>VLOOKUP(B15,[1]结果!A:B,2,FALSE)</f>
        <v>89.99</v>
      </c>
      <c r="F15" s="20">
        <v>0</v>
      </c>
      <c r="G15" s="20" t="str">
        <f>IFERROR(INDEX([2]Sheet1!B:B, MATCH(B15, [2]Sheet1!A:A, 0)), "0.00")</f>
        <v>0.00</v>
      </c>
      <c r="H15" s="20">
        <f t="shared" si="1"/>
        <v>0</v>
      </c>
    </row>
    <row r="16" spans="1:8" ht="17.399999999999999" x14ac:dyDescent="0.25">
      <c r="A16" s="18">
        <v>12</v>
      </c>
      <c r="B16" s="18" t="s">
        <v>210</v>
      </c>
      <c r="C16" s="19" t="s">
        <v>202</v>
      </c>
      <c r="D16" s="20">
        <f>IFERROR(VLOOKUP(B16,结果!A:B,2,FALSE),0)</f>
        <v>0</v>
      </c>
      <c r="E16" s="20">
        <f>VLOOKUP(B16,[1]结果!A:B,2,FALSE)</f>
        <v>89.99</v>
      </c>
      <c r="F16" s="20">
        <v>0</v>
      </c>
      <c r="G16" s="20" t="str">
        <f>IFERROR(INDEX([2]Sheet1!B:B, MATCH(B16, [2]Sheet1!A:A, 0)), "0.00")</f>
        <v>0.00</v>
      </c>
      <c r="H16" s="20">
        <f t="shared" si="1"/>
        <v>0</v>
      </c>
    </row>
    <row r="17" spans="1:8" ht="17.399999999999999" x14ac:dyDescent="0.25">
      <c r="A17" s="18">
        <v>13</v>
      </c>
      <c r="B17" s="18" t="s">
        <v>211</v>
      </c>
      <c r="C17" s="19" t="s">
        <v>202</v>
      </c>
      <c r="D17" s="20">
        <f>IFERROR(VLOOKUP(B17,结果!A:B,2,FALSE),0)</f>
        <v>0</v>
      </c>
      <c r="E17" s="20">
        <f>VLOOKUP(B17,[1]结果!A:B,2,FALSE)</f>
        <v>89.57</v>
      </c>
      <c r="F17" s="20">
        <v>0</v>
      </c>
      <c r="G17" s="20" t="str">
        <f>IFERROR(INDEX([2]Sheet1!B:B, MATCH(B17, [2]Sheet1!A:A, 0)), "0.00")</f>
        <v>0.00</v>
      </c>
      <c r="H17" s="20">
        <f t="shared" si="1"/>
        <v>0</v>
      </c>
    </row>
    <row r="18" spans="1:8" ht="17.399999999999999" x14ac:dyDescent="0.25">
      <c r="A18" s="18">
        <v>14</v>
      </c>
      <c r="B18" s="18" t="s">
        <v>212</v>
      </c>
      <c r="C18" s="19" t="s">
        <v>202</v>
      </c>
      <c r="D18" s="20">
        <f>IFERROR(VLOOKUP(B18,结果!A:B,2,FALSE),0)</f>
        <v>0</v>
      </c>
      <c r="E18" s="20">
        <f>VLOOKUP(B18,[1]结果!A:B,2,FALSE)</f>
        <v>89.99</v>
      </c>
      <c r="F18" s="20">
        <v>0</v>
      </c>
      <c r="G18" s="20" t="str">
        <f>IFERROR(INDEX([2]Sheet1!B:B, MATCH(B18, [2]Sheet1!A:A, 0)), "0.00")</f>
        <v>0.00</v>
      </c>
      <c r="H18" s="20">
        <f t="shared" si="1"/>
        <v>0</v>
      </c>
    </row>
    <row r="19" spans="1:8" ht="17.399999999999999" x14ac:dyDescent="0.25">
      <c r="A19" s="18">
        <v>15</v>
      </c>
      <c r="B19" s="18" t="s">
        <v>213</v>
      </c>
      <c r="C19" s="19" t="s">
        <v>202</v>
      </c>
      <c r="D19" s="20">
        <f>IFERROR(VLOOKUP(B19,结果!A:B,2,FALSE),0)</f>
        <v>0</v>
      </c>
      <c r="E19" s="20">
        <f>VLOOKUP(B19,[1]结果!A:B,2,FALSE)</f>
        <v>89.57</v>
      </c>
      <c r="F19" s="20">
        <v>0</v>
      </c>
      <c r="G19" s="20" t="str">
        <f>IFERROR(INDEX([2]Sheet1!B:B, MATCH(B19, [2]Sheet1!A:A, 0)), "0.00")</f>
        <v>0.00</v>
      </c>
      <c r="H19" s="20">
        <f t="shared" si="1"/>
        <v>0</v>
      </c>
    </row>
    <row r="20" spans="1:8" ht="17.399999999999999" x14ac:dyDescent="0.25">
      <c r="A20" s="18">
        <v>16</v>
      </c>
      <c r="B20" s="18" t="s">
        <v>214</v>
      </c>
      <c r="C20" s="19" t="s">
        <v>202</v>
      </c>
      <c r="D20" s="20">
        <f>IFERROR(VLOOKUP(B20,结果!A:B,2,FALSE),0)</f>
        <v>0</v>
      </c>
      <c r="E20" s="20">
        <f>VLOOKUP(B20,[1]结果!A:B,2,FALSE)</f>
        <v>90.43</v>
      </c>
      <c r="F20" s="20">
        <v>0</v>
      </c>
      <c r="G20" s="20" t="str">
        <f>IFERROR(INDEX([2]Sheet1!B:B, MATCH(B20, [2]Sheet1!A:A, 0)), "0.00")</f>
        <v>0.00</v>
      </c>
      <c r="H20" s="20">
        <f t="shared" si="1"/>
        <v>0</v>
      </c>
    </row>
    <row r="21" spans="1:8" ht="17.399999999999999" x14ac:dyDescent="0.25">
      <c r="A21" s="18">
        <v>17</v>
      </c>
      <c r="B21" s="18" t="s">
        <v>215</v>
      </c>
      <c r="C21" s="19" t="s">
        <v>202</v>
      </c>
      <c r="D21" s="20">
        <f>IFERROR(VLOOKUP(B21,结果!A:B,2,FALSE),0)</f>
        <v>0</v>
      </c>
      <c r="E21" s="20">
        <f>VLOOKUP(B21,[1]结果!A:B,2,FALSE)</f>
        <v>88.71</v>
      </c>
      <c r="F21" s="20">
        <v>0</v>
      </c>
      <c r="G21" s="20" t="str">
        <f>IFERROR(INDEX([2]Sheet1!B:B, MATCH(B21, [2]Sheet1!A:A, 0)), "0.00")</f>
        <v>0.00</v>
      </c>
      <c r="H21" s="20">
        <f t="shared" si="1"/>
        <v>0</v>
      </c>
    </row>
    <row r="22" spans="1:8" ht="17.399999999999999" x14ac:dyDescent="0.25">
      <c r="A22" s="18">
        <v>18</v>
      </c>
      <c r="B22" s="18" t="s">
        <v>216</v>
      </c>
      <c r="C22" s="19" t="s">
        <v>202</v>
      </c>
      <c r="D22" s="20">
        <f>IFERROR(VLOOKUP(B22,结果!A:B,2,FALSE),0)</f>
        <v>0</v>
      </c>
      <c r="E22" s="20">
        <f>VLOOKUP(B22,[1]结果!A:B,2,FALSE)</f>
        <v>89.99</v>
      </c>
      <c r="F22" s="20">
        <v>0</v>
      </c>
      <c r="G22" s="20" t="str">
        <f>IFERROR(INDEX([2]Sheet1!B:B, MATCH(B22, [2]Sheet1!A:A, 0)), "0.00")</f>
        <v>0.00</v>
      </c>
      <c r="H22" s="20">
        <f t="shared" si="1"/>
        <v>0</v>
      </c>
    </row>
    <row r="23" spans="1:8" ht="17.399999999999999" x14ac:dyDescent="0.25">
      <c r="A23" s="18">
        <v>19</v>
      </c>
      <c r="B23" s="18" t="s">
        <v>217</v>
      </c>
      <c r="C23" s="19" t="s">
        <v>202</v>
      </c>
      <c r="D23" s="20">
        <f>IFERROR(VLOOKUP(B23,结果!A:B,2,FALSE),0)</f>
        <v>0</v>
      </c>
      <c r="E23" s="20">
        <f>VLOOKUP(B23,[1]结果!A:B,2,FALSE)</f>
        <v>89.14</v>
      </c>
      <c r="F23" s="20">
        <v>0</v>
      </c>
      <c r="G23" s="20">
        <f>IFERROR(INDEX([2]Sheet1!B:B, MATCH(B23, [2]Sheet1!A:A, 0)), "0.00")</f>
        <v>460</v>
      </c>
      <c r="H23" s="20">
        <f t="shared" si="1"/>
        <v>460</v>
      </c>
    </row>
    <row r="24" spans="1:8" ht="17.399999999999999" x14ac:dyDescent="0.25">
      <c r="A24" s="18">
        <v>20</v>
      </c>
      <c r="B24" s="18" t="s">
        <v>218</v>
      </c>
      <c r="C24" s="19" t="s">
        <v>202</v>
      </c>
      <c r="D24" s="20">
        <f>IFERROR(VLOOKUP(B24,结果!A:B,2,FALSE),0)</f>
        <v>0</v>
      </c>
      <c r="E24" s="20">
        <f>VLOOKUP(B24,[1]结果!A:B,2,FALSE)</f>
        <v>88.71</v>
      </c>
      <c r="F24" s="20">
        <v>0</v>
      </c>
      <c r="G24" s="20" t="str">
        <f>IFERROR(INDEX([2]Sheet1!B:B, MATCH(B24, [2]Sheet1!A:A, 0)), "0.00")</f>
        <v>0.00</v>
      </c>
      <c r="H24" s="20">
        <f t="shared" si="1"/>
        <v>0</v>
      </c>
    </row>
    <row r="25" spans="1:8" ht="17.399999999999999" x14ac:dyDescent="0.25">
      <c r="A25" s="18">
        <v>21</v>
      </c>
      <c r="B25" s="18" t="s">
        <v>219</v>
      </c>
      <c r="C25" s="19" t="s">
        <v>202</v>
      </c>
      <c r="D25" s="20">
        <f>IFERROR(VLOOKUP(B25,结果!A:B,2,FALSE),0)</f>
        <v>0</v>
      </c>
      <c r="E25" s="20">
        <f>VLOOKUP(B25,[1]结果!A:B,2,FALSE)</f>
        <v>89.57</v>
      </c>
      <c r="F25" s="20">
        <v>0</v>
      </c>
      <c r="G25" s="20" t="str">
        <f>IFERROR(INDEX([2]Sheet1!B:B, MATCH(B25, [2]Sheet1!A:A, 0)), "0.00")</f>
        <v>0.00</v>
      </c>
      <c r="H25" s="20">
        <f t="shared" si="1"/>
        <v>0</v>
      </c>
    </row>
    <row r="26" spans="1:8" ht="17.399999999999999" x14ac:dyDescent="0.25">
      <c r="A26" s="18">
        <v>22</v>
      </c>
      <c r="B26" s="18" t="s">
        <v>220</v>
      </c>
      <c r="C26" s="19" t="s">
        <v>202</v>
      </c>
      <c r="D26" s="20">
        <f>IFERROR(VLOOKUP(B26,结果!A:B,2,FALSE),0)</f>
        <v>0</v>
      </c>
      <c r="E26" s="20">
        <f>VLOOKUP(B26,[1]结果!A:B,2,FALSE)</f>
        <v>89.57</v>
      </c>
      <c r="F26" s="20">
        <v>0</v>
      </c>
      <c r="G26" s="20" t="str">
        <f>IFERROR(INDEX([2]Sheet1!B:B, MATCH(B26, [2]Sheet1!A:A, 0)), "0.00")</f>
        <v>0.00</v>
      </c>
      <c r="H26" s="20">
        <f t="shared" si="1"/>
        <v>0</v>
      </c>
    </row>
    <row r="27" spans="1:8" ht="17.399999999999999" x14ac:dyDescent="0.25">
      <c r="A27" s="18">
        <v>23</v>
      </c>
      <c r="B27" s="18" t="s">
        <v>221</v>
      </c>
      <c r="C27" s="19" t="s">
        <v>202</v>
      </c>
      <c r="D27" s="20">
        <f>IFERROR(VLOOKUP(B27,结果!A:B,2,FALSE),0)</f>
        <v>0</v>
      </c>
      <c r="E27" s="20">
        <f>VLOOKUP(B27,[1]结果!A:B,2,FALSE)</f>
        <v>88.71</v>
      </c>
      <c r="F27" s="20">
        <v>0</v>
      </c>
      <c r="G27" s="20" t="str">
        <f>IFERROR(INDEX([2]Sheet1!B:B, MATCH(B27, [2]Sheet1!A:A, 0)), "0.00")</f>
        <v>0.00</v>
      </c>
      <c r="H27" s="20">
        <f t="shared" si="1"/>
        <v>0</v>
      </c>
    </row>
    <row r="28" spans="1:8" ht="17.399999999999999" x14ac:dyDescent="0.25">
      <c r="A28" s="18">
        <v>24</v>
      </c>
      <c r="B28" s="18" t="s">
        <v>222</v>
      </c>
      <c r="C28" s="19" t="s">
        <v>202</v>
      </c>
      <c r="D28" s="20">
        <f>IFERROR(VLOOKUP(B28,结果!A:B,2,FALSE),0)</f>
        <v>0</v>
      </c>
      <c r="E28" s="20">
        <f>VLOOKUP(B28,[1]结果!A:B,2,FALSE)</f>
        <v>89.99</v>
      </c>
      <c r="F28" s="20">
        <v>0</v>
      </c>
      <c r="G28" s="20" t="str">
        <f>IFERROR(INDEX([2]Sheet1!B:B, MATCH(B28, [2]Sheet1!A:A, 0)), "0.00")</f>
        <v>0.00</v>
      </c>
      <c r="H28" s="20">
        <f t="shared" si="1"/>
        <v>0</v>
      </c>
    </row>
    <row r="29" spans="1:8" ht="17.399999999999999" x14ac:dyDescent="0.25">
      <c r="A29" s="18">
        <v>25</v>
      </c>
      <c r="B29" s="18" t="s">
        <v>223</v>
      </c>
      <c r="C29" s="19" t="s">
        <v>202</v>
      </c>
      <c r="D29" s="20">
        <f>IFERROR(VLOOKUP(B29,结果!A:B,2,FALSE),0)</f>
        <v>0</v>
      </c>
      <c r="E29" s="20">
        <f>VLOOKUP(B29,[1]结果!A:B,2,FALSE)</f>
        <v>90.43</v>
      </c>
      <c r="F29" s="20">
        <v>0</v>
      </c>
      <c r="G29" s="20" t="str">
        <f>IFERROR(INDEX([2]Sheet1!B:B, MATCH(B29, [2]Sheet1!A:A, 0)), "0.00")</f>
        <v>0.00</v>
      </c>
      <c r="H29" s="20">
        <f t="shared" si="1"/>
        <v>0</v>
      </c>
    </row>
    <row r="30" spans="1:8" ht="17.399999999999999" x14ac:dyDescent="0.25">
      <c r="A30" s="18">
        <v>26</v>
      </c>
      <c r="B30" s="18" t="s">
        <v>224</v>
      </c>
      <c r="C30" s="19" t="s">
        <v>202</v>
      </c>
      <c r="D30" s="20">
        <f>IFERROR(VLOOKUP(B30,结果!A:B,2,FALSE),0)</f>
        <v>0</v>
      </c>
      <c r="E30" s="20">
        <f>VLOOKUP(B30,[1]结果!A:B,2,FALSE)</f>
        <v>89.99</v>
      </c>
      <c r="F30" s="20">
        <v>0</v>
      </c>
      <c r="G30" s="20" t="str">
        <f>IFERROR(INDEX([2]Sheet1!B:B, MATCH(B30, [2]Sheet1!A:A, 0)), "0.00")</f>
        <v>0.00</v>
      </c>
      <c r="H30" s="20">
        <f t="shared" si="1"/>
        <v>0</v>
      </c>
    </row>
    <row r="31" spans="1:8" ht="17.399999999999999" x14ac:dyDescent="0.25">
      <c r="A31" s="18">
        <v>27</v>
      </c>
      <c r="B31" s="18" t="s">
        <v>225</v>
      </c>
      <c r="C31" s="19" t="s">
        <v>202</v>
      </c>
      <c r="D31" s="20">
        <f>IFERROR(VLOOKUP(B31,结果!A:B,2,FALSE),0)</f>
        <v>0</v>
      </c>
      <c r="E31" s="20">
        <f>VLOOKUP(B31,[1]结果!A:B,2,FALSE)</f>
        <v>89.57</v>
      </c>
      <c r="F31" s="20">
        <v>0</v>
      </c>
      <c r="G31" s="20" t="str">
        <f>IFERROR(INDEX([2]Sheet1!B:B, MATCH(B31, [2]Sheet1!A:A, 0)), "0.00")</f>
        <v>0.00</v>
      </c>
      <c r="H31" s="20">
        <f t="shared" si="1"/>
        <v>0</v>
      </c>
    </row>
    <row r="32" spans="1:8" ht="17.399999999999999" x14ac:dyDescent="0.25">
      <c r="A32" s="18">
        <v>28</v>
      </c>
      <c r="B32" s="18" t="s">
        <v>226</v>
      </c>
      <c r="C32" s="19" t="s">
        <v>202</v>
      </c>
      <c r="D32" s="20">
        <f>IFERROR(VLOOKUP(B32,结果!A:B,2,FALSE),0)</f>
        <v>0</v>
      </c>
      <c r="E32" s="20">
        <f>VLOOKUP(B32,[1]结果!A:B,2,FALSE)</f>
        <v>89.99</v>
      </c>
      <c r="F32" s="20">
        <v>0</v>
      </c>
      <c r="G32" s="20" t="str">
        <f>IFERROR(INDEX([2]Sheet1!B:B, MATCH(B32, [2]Sheet1!A:A, 0)), "0.00")</f>
        <v>0.00</v>
      </c>
      <c r="H32" s="20">
        <f t="shared" si="1"/>
        <v>0</v>
      </c>
    </row>
    <row r="33" spans="1:8" ht="17.399999999999999" x14ac:dyDescent="0.25">
      <c r="A33" s="18">
        <v>29</v>
      </c>
      <c r="B33" s="18" t="s">
        <v>227</v>
      </c>
      <c r="C33" s="19" t="s">
        <v>202</v>
      </c>
      <c r="D33" s="20">
        <f>IFERROR(VLOOKUP(B33,结果!A:B,2,FALSE),0)</f>
        <v>0</v>
      </c>
      <c r="E33" s="20">
        <f>VLOOKUP(B33,[1]结果!A:B,2,FALSE)</f>
        <v>89.57</v>
      </c>
      <c r="F33" s="20">
        <v>0</v>
      </c>
      <c r="G33" s="20" t="str">
        <f>IFERROR(INDEX([2]Sheet1!B:B, MATCH(B33, [2]Sheet1!A:A, 0)), "0.00")</f>
        <v>0.00</v>
      </c>
      <c r="H33" s="20">
        <f t="shared" si="1"/>
        <v>0</v>
      </c>
    </row>
    <row r="34" spans="1:8" ht="17.399999999999999" x14ac:dyDescent="0.25">
      <c r="A34" s="18">
        <v>30</v>
      </c>
      <c r="B34" s="18" t="s">
        <v>228</v>
      </c>
      <c r="C34" s="19" t="s">
        <v>202</v>
      </c>
      <c r="D34" s="20">
        <f>IFERROR(VLOOKUP(B34,结果!A:B,2,FALSE),0)</f>
        <v>0</v>
      </c>
      <c r="E34" s="20">
        <f>VLOOKUP(B34,[1]结果!A:B,2,FALSE)</f>
        <v>89.57</v>
      </c>
      <c r="F34" s="20">
        <v>0</v>
      </c>
      <c r="G34" s="20" t="str">
        <f>IFERROR(INDEX([2]Sheet1!B:B, MATCH(B34, [2]Sheet1!A:A, 0)), "0.00")</f>
        <v>0.00</v>
      </c>
      <c r="H34" s="20">
        <f t="shared" si="1"/>
        <v>0</v>
      </c>
    </row>
    <row r="35" spans="1:8" ht="17.399999999999999" x14ac:dyDescent="0.25">
      <c r="A35" s="18">
        <v>31</v>
      </c>
      <c r="B35" s="18" t="s">
        <v>229</v>
      </c>
      <c r="C35" s="19" t="s">
        <v>202</v>
      </c>
      <c r="D35" s="20">
        <f>IFERROR(VLOOKUP(B35,结果!A:B,2,FALSE),0)</f>
        <v>0</v>
      </c>
      <c r="E35" s="20">
        <f>VLOOKUP(B35,[1]结果!A:B,2,FALSE)</f>
        <v>88.71</v>
      </c>
      <c r="F35" s="20">
        <v>0</v>
      </c>
      <c r="G35" s="20" t="str">
        <f>IFERROR(INDEX([2]Sheet1!B:B, MATCH(B35, [2]Sheet1!A:A, 0)), "0.00")</f>
        <v>0.00</v>
      </c>
      <c r="H35" s="20">
        <f t="shared" si="1"/>
        <v>0</v>
      </c>
    </row>
    <row r="36" spans="1:8" ht="17.399999999999999" x14ac:dyDescent="0.25">
      <c r="A36" s="18">
        <v>32</v>
      </c>
      <c r="B36" s="18" t="s">
        <v>230</v>
      </c>
      <c r="C36" s="19" t="s">
        <v>202</v>
      </c>
      <c r="D36" s="20">
        <f>IFERROR(VLOOKUP(B36,结果!A:B,2,FALSE),0)</f>
        <v>0</v>
      </c>
      <c r="E36" s="20">
        <f>VLOOKUP(B36,[1]结果!A:B,2,FALSE)</f>
        <v>89.57</v>
      </c>
      <c r="F36" s="20">
        <v>0</v>
      </c>
      <c r="G36" s="20" t="str">
        <f>IFERROR(INDEX([2]Sheet1!B:B, MATCH(B36, [2]Sheet1!A:A, 0)), "0.00")</f>
        <v>0.00</v>
      </c>
      <c r="H36" s="20">
        <f t="shared" si="1"/>
        <v>0</v>
      </c>
    </row>
    <row r="37" spans="1:8" ht="17.399999999999999" x14ac:dyDescent="0.25">
      <c r="A37" s="18">
        <v>33</v>
      </c>
      <c r="B37" s="18" t="s">
        <v>231</v>
      </c>
      <c r="C37" s="19" t="s">
        <v>202</v>
      </c>
      <c r="D37" s="20">
        <f>IFERROR(VLOOKUP(B37,结果!A:B,2,FALSE),0)</f>
        <v>0</v>
      </c>
      <c r="E37" s="20">
        <f>VLOOKUP(B37,[1]结果!A:B,2,FALSE)</f>
        <v>0</v>
      </c>
      <c r="F37" s="20">
        <v>0</v>
      </c>
      <c r="G37" s="20" t="str">
        <f>IFERROR(INDEX([2]Sheet1!B:B, MATCH(B37, [2]Sheet1!A:A, 0)), "0.00")</f>
        <v>0.00</v>
      </c>
      <c r="H37" s="20">
        <f t="shared" si="1"/>
        <v>0</v>
      </c>
    </row>
    <row r="38" spans="1:8" ht="17.399999999999999" x14ac:dyDescent="0.25">
      <c r="A38" s="18">
        <v>34</v>
      </c>
      <c r="B38" s="18" t="s">
        <v>232</v>
      </c>
      <c r="C38" s="19" t="s">
        <v>202</v>
      </c>
      <c r="D38" s="20">
        <f>IFERROR(VLOOKUP(B38,结果!A:B,2,FALSE),0)</f>
        <v>0</v>
      </c>
      <c r="E38" s="20">
        <f>VLOOKUP(B38,[1]结果!A:B,2,FALSE)</f>
        <v>0</v>
      </c>
      <c r="F38" s="20">
        <v>0</v>
      </c>
      <c r="G38" s="20" t="str">
        <f>IFERROR(INDEX([2]Sheet1!B:B, MATCH(B38, [2]Sheet1!A:A, 0)), "0.00")</f>
        <v>0.00</v>
      </c>
      <c r="H38" s="20">
        <f t="shared" si="1"/>
        <v>0</v>
      </c>
    </row>
    <row r="39" spans="1:8" ht="17.399999999999999" x14ac:dyDescent="0.25">
      <c r="A39" s="18">
        <v>35</v>
      </c>
      <c r="B39" s="18" t="s">
        <v>79</v>
      </c>
      <c r="C39" s="19" t="s">
        <v>233</v>
      </c>
      <c r="D39" s="20">
        <f>VLOOKUP(B39,结果!A:B,2,FALSE)</f>
        <v>110934.98</v>
      </c>
      <c r="E39" s="20">
        <f>VLOOKUP(B39,[1]结果!A:B,2,FALSE)</f>
        <v>97.63</v>
      </c>
      <c r="F39" s="20">
        <f t="shared" si="0"/>
        <v>108305.82097399999</v>
      </c>
      <c r="G39" s="20">
        <f>IFERROR(INDEX([2]Sheet1!B:B, MATCH(B39, [2]Sheet1!A:A, 0)), "0.00")</f>
        <v>2700</v>
      </c>
      <c r="H39" s="20">
        <f t="shared" si="1"/>
        <v>111005.82097399999</v>
      </c>
    </row>
    <row r="40" spans="1:8" ht="17.399999999999999" x14ac:dyDescent="0.25">
      <c r="A40" s="18">
        <v>36</v>
      </c>
      <c r="B40" s="18" t="s">
        <v>80</v>
      </c>
      <c r="C40" s="19" t="s">
        <v>233</v>
      </c>
      <c r="D40" s="20">
        <f>VLOOKUP(B40,结果!A:B,2,FALSE)</f>
        <v>114747.84</v>
      </c>
      <c r="E40" s="20">
        <f>VLOOKUP(B40,[1]结果!A:B,2,FALSE)</f>
        <v>97.99</v>
      </c>
      <c r="F40" s="20">
        <f t="shared" si="0"/>
        <v>112441.40841599999</v>
      </c>
      <c r="G40" s="20">
        <f>IFERROR(INDEX([2]Sheet1!B:B, MATCH(B40, [2]Sheet1!A:A, 0)), "0.00")</f>
        <v>2700</v>
      </c>
      <c r="H40" s="20">
        <f t="shared" si="1"/>
        <v>115141.40841599999</v>
      </c>
    </row>
    <row r="41" spans="1:8" ht="17.399999999999999" x14ac:dyDescent="0.25">
      <c r="A41" s="18">
        <v>37</v>
      </c>
      <c r="B41" s="18" t="s">
        <v>81</v>
      </c>
      <c r="C41" s="19" t="s">
        <v>233</v>
      </c>
      <c r="D41" s="20">
        <f>VLOOKUP(B41,结果!A:B,2,FALSE)</f>
        <v>62903.41</v>
      </c>
      <c r="E41" s="20">
        <f>VLOOKUP(B41,[1]结果!A:B,2,FALSE)</f>
        <v>92</v>
      </c>
      <c r="F41" s="20">
        <f t="shared" si="0"/>
        <v>57871.137200000005</v>
      </c>
      <c r="G41" s="20">
        <f>IFERROR(INDEX([2]Sheet1!B:B, MATCH(B41, [2]Sheet1!A:A, 0)), "0.00")</f>
        <v>-838.23</v>
      </c>
      <c r="H41" s="20">
        <f t="shared" si="1"/>
        <v>57032.907200000001</v>
      </c>
    </row>
    <row r="42" spans="1:8" ht="17.399999999999999" x14ac:dyDescent="0.25">
      <c r="A42" s="18">
        <v>38</v>
      </c>
      <c r="B42" s="18" t="s">
        <v>82</v>
      </c>
      <c r="C42" s="19" t="s">
        <v>233</v>
      </c>
      <c r="D42" s="20">
        <f>VLOOKUP(B42,结果!A:B,2,FALSE)</f>
        <v>35364.050000000003</v>
      </c>
      <c r="E42" s="20">
        <f>VLOOKUP(B42,[1]结果!A:B,2,FALSE)</f>
        <v>97.36</v>
      </c>
      <c r="F42" s="20">
        <f t="shared" si="0"/>
        <v>34430.439080000004</v>
      </c>
      <c r="G42" s="20">
        <f>IFERROR(INDEX([2]Sheet1!B:B, MATCH(B42, [2]Sheet1!A:A, 0)), "0.00")</f>
        <v>5400</v>
      </c>
      <c r="H42" s="20">
        <f t="shared" si="1"/>
        <v>39830.439080000004</v>
      </c>
    </row>
    <row r="43" spans="1:8" ht="17.399999999999999" x14ac:dyDescent="0.25">
      <c r="A43" s="18">
        <v>39</v>
      </c>
      <c r="B43" s="18" t="s">
        <v>83</v>
      </c>
      <c r="C43" s="19" t="s">
        <v>233</v>
      </c>
      <c r="D43" s="20">
        <f>VLOOKUP(B43,结果!A:B,2,FALSE)</f>
        <v>76549.210000000006</v>
      </c>
      <c r="E43" s="20">
        <f>VLOOKUP(B43,[1]结果!A:B,2,FALSE)</f>
        <v>97.43</v>
      </c>
      <c r="F43" s="20">
        <f t="shared" si="0"/>
        <v>74581.895303000012</v>
      </c>
      <c r="G43" s="20">
        <f>IFERROR(INDEX([2]Sheet1!B:B, MATCH(B43, [2]Sheet1!A:A, 0)), "0.00")</f>
        <v>2700</v>
      </c>
      <c r="H43" s="20">
        <f t="shared" si="1"/>
        <v>77281.895303000012</v>
      </c>
    </row>
    <row r="44" spans="1:8" ht="17.399999999999999" x14ac:dyDescent="0.25">
      <c r="A44" s="18">
        <v>40</v>
      </c>
      <c r="B44" s="18" t="s">
        <v>84</v>
      </c>
      <c r="C44" s="19" t="s">
        <v>233</v>
      </c>
      <c r="D44" s="20">
        <f>VLOOKUP(B44,结果!A:B,2,FALSE)</f>
        <v>56694.65</v>
      </c>
      <c r="E44" s="20">
        <f>VLOOKUP(B44,[1]结果!A:B,2,FALSE)</f>
        <v>99.07</v>
      </c>
      <c r="F44" s="20">
        <f t="shared" si="0"/>
        <v>56167.389754999997</v>
      </c>
      <c r="G44" s="20">
        <f>IFERROR(INDEX([2]Sheet1!B:B, MATCH(B44, [2]Sheet1!A:A, 0)), "0.00")</f>
        <v>5650</v>
      </c>
      <c r="H44" s="20">
        <f t="shared" si="1"/>
        <v>61817.389754999997</v>
      </c>
    </row>
    <row r="45" spans="1:8" ht="17.399999999999999" x14ac:dyDescent="0.25">
      <c r="A45" s="18">
        <v>41</v>
      </c>
      <c r="B45" s="18" t="s">
        <v>85</v>
      </c>
      <c r="C45" s="19" t="s">
        <v>233</v>
      </c>
      <c r="D45" s="20">
        <f>VLOOKUP(B45,结果!A:B,2,FALSE)</f>
        <v>139039.75</v>
      </c>
      <c r="E45" s="20">
        <f>VLOOKUP(B45,[1]结果!A:B,2,FALSE)</f>
        <v>98.6</v>
      </c>
      <c r="F45" s="20">
        <f t="shared" si="0"/>
        <v>137093.19349999999</v>
      </c>
      <c r="G45" s="20">
        <f>IFERROR(INDEX([2]Sheet1!B:B, MATCH(B45, [2]Sheet1!A:A, 0)), "0.00")</f>
        <v>8100</v>
      </c>
      <c r="H45" s="20">
        <f t="shared" si="1"/>
        <v>145193.19349999999</v>
      </c>
    </row>
    <row r="46" spans="1:8" ht="17.399999999999999" x14ac:dyDescent="0.25">
      <c r="A46" s="18">
        <v>42</v>
      </c>
      <c r="B46" s="18" t="s">
        <v>86</v>
      </c>
      <c r="C46" s="19" t="s">
        <v>233</v>
      </c>
      <c r="D46" s="20">
        <f>VLOOKUP(B46,结果!A:B,2,FALSE)</f>
        <v>115836.75</v>
      </c>
      <c r="E46" s="20">
        <f>VLOOKUP(B46,[1]结果!A:B,2,FALSE)</f>
        <v>96.92</v>
      </c>
      <c r="F46" s="20">
        <f t="shared" si="0"/>
        <v>112268.97810000001</v>
      </c>
      <c r="G46" s="20">
        <f>IFERROR(INDEX([2]Sheet1!B:B, MATCH(B46, [2]Sheet1!A:A, 0)), "0.00")</f>
        <v>2700</v>
      </c>
      <c r="H46" s="20">
        <f t="shared" si="1"/>
        <v>114968.97810000001</v>
      </c>
    </row>
    <row r="47" spans="1:8" ht="17.399999999999999" x14ac:dyDescent="0.25">
      <c r="A47" s="18">
        <v>43</v>
      </c>
      <c r="B47" s="18" t="s">
        <v>87</v>
      </c>
      <c r="C47" s="19" t="s">
        <v>233</v>
      </c>
      <c r="D47" s="20">
        <f>VLOOKUP(B47,结果!A:B,2,FALSE)</f>
        <v>131650.32</v>
      </c>
      <c r="E47" s="20">
        <f>VLOOKUP(B47,[1]结果!A:B,2,FALSE)</f>
        <v>96.44</v>
      </c>
      <c r="F47" s="20">
        <f t="shared" si="0"/>
        <v>126963.568608</v>
      </c>
      <c r="G47" s="20">
        <f>IFERROR(INDEX([2]Sheet1!B:B, MATCH(B47, [2]Sheet1!A:A, 0)), "0.00")</f>
        <v>2700</v>
      </c>
      <c r="H47" s="20">
        <f t="shared" si="1"/>
        <v>129663.568608</v>
      </c>
    </row>
    <row r="48" spans="1:8" ht="17.399999999999999" x14ac:dyDescent="0.25">
      <c r="A48" s="18">
        <v>44</v>
      </c>
      <c r="B48" s="18" t="s">
        <v>88</v>
      </c>
      <c r="C48" s="19" t="s">
        <v>233</v>
      </c>
      <c r="D48" s="20">
        <f>VLOOKUP(B48,结果!A:B,2,FALSE)</f>
        <v>59771.27</v>
      </c>
      <c r="E48" s="20">
        <f>VLOOKUP(B48,[1]结果!A:B,2,FALSE)</f>
        <v>98.88</v>
      </c>
      <c r="F48" s="20">
        <f t="shared" si="0"/>
        <v>59101.831775999992</v>
      </c>
      <c r="G48" s="20" t="str">
        <f>IFERROR(INDEX([2]Sheet1!B:B, MATCH(B48, [2]Sheet1!A:A, 0)), "0.00")</f>
        <v>0.00</v>
      </c>
      <c r="H48" s="20">
        <f t="shared" si="1"/>
        <v>59101.831775999992</v>
      </c>
    </row>
    <row r="49" spans="1:8" ht="17.399999999999999" x14ac:dyDescent="0.25">
      <c r="A49" s="18">
        <v>45</v>
      </c>
      <c r="B49" s="18" t="s">
        <v>89</v>
      </c>
      <c r="C49" s="19" t="s">
        <v>233</v>
      </c>
      <c r="D49" s="20">
        <f>VLOOKUP(B49,结果!A:B,2,FALSE)</f>
        <v>124970.12</v>
      </c>
      <c r="E49" s="20">
        <f>VLOOKUP(B49,[1]结果!A:B,2,FALSE)</f>
        <v>99.3</v>
      </c>
      <c r="F49" s="20">
        <f t="shared" si="0"/>
        <v>124095.32915999999</v>
      </c>
      <c r="G49" s="20">
        <f>IFERROR(INDEX([2]Sheet1!B:B, MATCH(B49, [2]Sheet1!A:A, 0)), "0.00")</f>
        <v>10150</v>
      </c>
      <c r="H49" s="20">
        <f t="shared" si="1"/>
        <v>134245.32915999999</v>
      </c>
    </row>
    <row r="50" spans="1:8" ht="17.399999999999999" x14ac:dyDescent="0.25">
      <c r="A50" s="18">
        <v>46</v>
      </c>
      <c r="B50" s="18" t="s">
        <v>90</v>
      </c>
      <c r="C50" s="19" t="s">
        <v>233</v>
      </c>
      <c r="D50" s="20">
        <f>VLOOKUP(B50,结果!A:B,2,FALSE)</f>
        <v>85499.839999999997</v>
      </c>
      <c r="E50" s="20">
        <f>VLOOKUP(B50,[1]结果!A:B,2,FALSE)</f>
        <v>97.09</v>
      </c>
      <c r="F50" s="20">
        <f t="shared" si="0"/>
        <v>83011.794655999998</v>
      </c>
      <c r="G50" s="20" t="str">
        <f>IFERROR(INDEX([2]Sheet1!B:B, MATCH(B50, [2]Sheet1!A:A, 0)), "0.00")</f>
        <v>0.00</v>
      </c>
      <c r="H50" s="20">
        <f t="shared" si="1"/>
        <v>83011.794655999998</v>
      </c>
    </row>
    <row r="51" spans="1:8" ht="17.399999999999999" x14ac:dyDescent="0.25">
      <c r="A51" s="18">
        <v>47</v>
      </c>
      <c r="B51" s="18" t="s">
        <v>91</v>
      </c>
      <c r="C51" s="19" t="s">
        <v>233</v>
      </c>
      <c r="D51" s="20">
        <f>VLOOKUP(B51,结果!A:B,2,FALSE)</f>
        <v>55330.78</v>
      </c>
      <c r="E51" s="20">
        <f>VLOOKUP(B51,[1]结果!A:B,2,FALSE)</f>
        <v>99.32</v>
      </c>
      <c r="F51" s="20">
        <f t="shared" si="0"/>
        <v>54954.530695999994</v>
      </c>
      <c r="G51" s="20">
        <f>IFERROR(INDEX([2]Sheet1!B:B, MATCH(B51, [2]Sheet1!A:A, 0)), "0.00")</f>
        <v>5400</v>
      </c>
      <c r="H51" s="20">
        <f t="shared" si="1"/>
        <v>60354.530695999994</v>
      </c>
    </row>
    <row r="52" spans="1:8" ht="17.399999999999999" x14ac:dyDescent="0.25">
      <c r="A52" s="18">
        <v>48</v>
      </c>
      <c r="B52" s="18" t="s">
        <v>92</v>
      </c>
      <c r="C52" s="19" t="s">
        <v>233</v>
      </c>
      <c r="D52" s="20">
        <f>VLOOKUP(B52,结果!A:B,2,FALSE)</f>
        <v>103723.94</v>
      </c>
      <c r="E52" s="20">
        <f>VLOOKUP(B52,[1]结果!A:B,2,FALSE)</f>
        <v>97.91</v>
      </c>
      <c r="F52" s="20">
        <f t="shared" si="0"/>
        <v>101556.109654</v>
      </c>
      <c r="G52" s="20">
        <f>IFERROR(INDEX([2]Sheet1!B:B, MATCH(B52, [2]Sheet1!A:A, 0)), "0.00")</f>
        <v>2700</v>
      </c>
      <c r="H52" s="20">
        <f t="shared" si="1"/>
        <v>104256.109654</v>
      </c>
    </row>
    <row r="53" spans="1:8" ht="17.399999999999999" x14ac:dyDescent="0.25">
      <c r="A53" s="18">
        <v>49</v>
      </c>
      <c r="B53" s="18" t="s">
        <v>93</v>
      </c>
      <c r="C53" s="19" t="s">
        <v>233</v>
      </c>
      <c r="D53" s="20">
        <f>VLOOKUP(B53,结果!A:B,2,FALSE)</f>
        <v>67905.13</v>
      </c>
      <c r="E53" s="20">
        <f>VLOOKUP(B53,[1]结果!A:B,2,FALSE)</f>
        <v>95.44</v>
      </c>
      <c r="F53" s="20">
        <f t="shared" si="0"/>
        <v>64808.656072000005</v>
      </c>
      <c r="G53" s="20">
        <f>IFERROR(INDEX([2]Sheet1!B:B, MATCH(B53, [2]Sheet1!A:A, 0)), "0.00")</f>
        <v>50</v>
      </c>
      <c r="H53" s="20">
        <f t="shared" si="1"/>
        <v>64858.656072000005</v>
      </c>
    </row>
    <row r="54" spans="1:8" ht="17.399999999999999" x14ac:dyDescent="0.25">
      <c r="A54" s="18">
        <v>50</v>
      </c>
      <c r="B54" s="26" t="s">
        <v>261</v>
      </c>
      <c r="C54" s="19" t="s">
        <v>233</v>
      </c>
      <c r="D54" s="20">
        <f>VLOOKUP(B54,结果!A:B,2,FALSE)</f>
        <v>-16598.95</v>
      </c>
      <c r="E54" s="20">
        <f>VLOOKUP(B54,[1]结果!A:B,2,FALSE)</f>
        <v>-79.23</v>
      </c>
      <c r="F54" s="20">
        <f t="shared" si="0"/>
        <v>13151.348085000001</v>
      </c>
      <c r="G54" s="20" t="str">
        <f>IFERROR(INDEX([2]Sheet1!B:B, MATCH(B54, [2]Sheet1!A:A, 0)), "0.00")</f>
        <v>0.00</v>
      </c>
      <c r="H54" s="20">
        <f t="shared" si="1"/>
        <v>13151.348085000001</v>
      </c>
    </row>
    <row r="55" spans="1:8" ht="17.399999999999999" x14ac:dyDescent="0.25">
      <c r="A55" s="26">
        <v>51</v>
      </c>
      <c r="B55" s="26" t="s">
        <v>262</v>
      </c>
      <c r="C55" s="19" t="s">
        <v>233</v>
      </c>
      <c r="D55" s="20">
        <f>VLOOKUP(B55,结果!A:B,2,FALSE)</f>
        <v>-16598.95</v>
      </c>
      <c r="E55" s="20">
        <f>VLOOKUP(B55,[1]结果!A:B,2,FALSE)</f>
        <v>-79.23</v>
      </c>
      <c r="F55" s="20">
        <f t="shared" ref="F55:F56" si="2">IF(D55=0,1,D55)*IF(E55=0,1,E55/100)</f>
        <v>13151.348085000001</v>
      </c>
      <c r="G55" s="20" t="str">
        <f>IFERROR(INDEX([2]Sheet1!B:B, MATCH(B55, [2]Sheet1!A:A, 0)), "0.00")</f>
        <v>0.00</v>
      </c>
      <c r="H55" s="20">
        <f t="shared" ref="H55:H56" si="3">F55+G55</f>
        <v>13151.348085000001</v>
      </c>
    </row>
    <row r="56" spans="1:8" ht="17.399999999999999" x14ac:dyDescent="0.25">
      <c r="A56" s="26">
        <v>52</v>
      </c>
      <c r="B56" s="26" t="s">
        <v>263</v>
      </c>
      <c r="C56" s="19" t="s">
        <v>233</v>
      </c>
      <c r="D56" s="20">
        <f>VLOOKUP(B56,结果!A:B,2,FALSE)</f>
        <v>-16598.95</v>
      </c>
      <c r="E56" s="20">
        <f>VLOOKUP(B56,[1]结果!A:B,2,FALSE)</f>
        <v>-79.23</v>
      </c>
      <c r="F56" s="20">
        <f t="shared" si="2"/>
        <v>13151.348085000001</v>
      </c>
      <c r="G56" s="20" t="str">
        <f>IFERROR(INDEX([2]Sheet1!B:B, MATCH(B56, [2]Sheet1!A:A, 0)), "0.00")</f>
        <v>0.00</v>
      </c>
      <c r="H56" s="20">
        <f t="shared" si="3"/>
        <v>13151.348085000001</v>
      </c>
    </row>
    <row r="57" spans="1:8" ht="17.399999999999999" x14ac:dyDescent="0.25">
      <c r="A57" s="26">
        <v>53</v>
      </c>
      <c r="B57" s="18" t="s">
        <v>94</v>
      </c>
      <c r="C57" s="19" t="s">
        <v>233</v>
      </c>
      <c r="D57" s="20">
        <f>VLOOKUP(B57,结果!A:B,2,FALSE)</f>
        <v>51224.23</v>
      </c>
      <c r="E57" s="20">
        <f>VLOOKUP(B57,[1]结果!A:B,2,FALSE)</f>
        <v>93.89</v>
      </c>
      <c r="F57" s="20">
        <f t="shared" si="0"/>
        <v>48094.429547</v>
      </c>
      <c r="G57" s="20">
        <f>IFERROR(INDEX([2]Sheet1!B:B, MATCH(B57, [2]Sheet1!A:A, 0)), "0.00")</f>
        <v>5450</v>
      </c>
      <c r="H57" s="20">
        <f t="shared" si="1"/>
        <v>53544.429547</v>
      </c>
    </row>
    <row r="58" spans="1:8" ht="17.399999999999999" x14ac:dyDescent="0.25">
      <c r="A58" s="26">
        <v>54</v>
      </c>
      <c r="B58" s="18" t="s">
        <v>95</v>
      </c>
      <c r="C58" s="19" t="s">
        <v>233</v>
      </c>
      <c r="D58" s="20">
        <f>VLOOKUP(B58,结果!A:B,2,FALSE)</f>
        <v>73127.070000000007</v>
      </c>
      <c r="E58" s="20">
        <f>VLOOKUP(B58,[1]结果!A:B,2,FALSE)</f>
        <v>93.59</v>
      </c>
      <c r="F58" s="20">
        <f t="shared" si="0"/>
        <v>68439.624813000017</v>
      </c>
      <c r="G58" s="20">
        <f>IFERROR(INDEX([2]Sheet1!B:B, MATCH(B58, [2]Sheet1!A:A, 0)), "0.00")</f>
        <v>200</v>
      </c>
      <c r="H58" s="20">
        <f t="shared" si="1"/>
        <v>68639.624813000017</v>
      </c>
    </row>
    <row r="59" spans="1:8" ht="17.399999999999999" x14ac:dyDescent="0.25">
      <c r="A59" s="26">
        <v>55</v>
      </c>
      <c r="B59" s="18" t="s">
        <v>96</v>
      </c>
      <c r="C59" s="19" t="s">
        <v>233</v>
      </c>
      <c r="D59" s="20">
        <f>VLOOKUP(B59,结果!A:B,2,FALSE)</f>
        <v>82729.62</v>
      </c>
      <c r="E59" s="20">
        <f>VLOOKUP(B59,[1]结果!A:B,2,FALSE)</f>
        <v>96.9</v>
      </c>
      <c r="F59" s="20">
        <f t="shared" si="0"/>
        <v>80165.001780000006</v>
      </c>
      <c r="G59" s="20">
        <f>IFERROR(INDEX([2]Sheet1!B:B, MATCH(B59, [2]Sheet1!A:A, 0)), "0.00")</f>
        <v>2700</v>
      </c>
      <c r="H59" s="20">
        <f t="shared" si="1"/>
        <v>82865.001780000006</v>
      </c>
    </row>
    <row r="60" spans="1:8" ht="17.399999999999999" x14ac:dyDescent="0.25">
      <c r="A60" s="26">
        <v>56</v>
      </c>
      <c r="B60" s="18" t="s">
        <v>97</v>
      </c>
      <c r="C60" s="19" t="s">
        <v>233</v>
      </c>
      <c r="D60" s="20">
        <f>VLOOKUP(B60,结果!A:B,2,FALSE)</f>
        <v>109073.27</v>
      </c>
      <c r="E60" s="20">
        <f>VLOOKUP(B60,[1]结果!A:B,2,FALSE)</f>
        <v>96.5</v>
      </c>
      <c r="F60" s="20">
        <f t="shared" si="0"/>
        <v>105255.70555</v>
      </c>
      <c r="G60" s="20">
        <f>IFERROR(INDEX([2]Sheet1!B:B, MATCH(B60, [2]Sheet1!A:A, 0)), "0.00")</f>
        <v>8100</v>
      </c>
      <c r="H60" s="20">
        <f t="shared" si="1"/>
        <v>113355.70555</v>
      </c>
    </row>
    <row r="61" spans="1:8" ht="17.399999999999999" x14ac:dyDescent="0.25">
      <c r="A61" s="26">
        <v>57</v>
      </c>
      <c r="B61" s="18" t="s">
        <v>98</v>
      </c>
      <c r="C61" s="19" t="s">
        <v>233</v>
      </c>
      <c r="D61" s="20">
        <f>VLOOKUP(B61,结果!A:B,2,FALSE)</f>
        <v>80378.320000000007</v>
      </c>
      <c r="E61" s="20">
        <f>VLOOKUP(B61,[1]结果!A:B,2,FALSE)</f>
        <v>97.27</v>
      </c>
      <c r="F61" s="20">
        <f t="shared" si="0"/>
        <v>78183.991864000011</v>
      </c>
      <c r="G61" s="20">
        <f>IFERROR(INDEX([2]Sheet1!B:B, MATCH(B61, [2]Sheet1!A:A, 0)), "0.00")</f>
        <v>210</v>
      </c>
      <c r="H61" s="20">
        <f t="shared" si="1"/>
        <v>78393.991864000011</v>
      </c>
    </row>
    <row r="62" spans="1:8" ht="17.399999999999999" x14ac:dyDescent="0.25">
      <c r="A62" s="26">
        <v>58</v>
      </c>
      <c r="B62" s="18" t="s">
        <v>99</v>
      </c>
      <c r="C62" s="19" t="s">
        <v>233</v>
      </c>
      <c r="D62" s="20">
        <f>VLOOKUP(B62,结果!A:B,2,FALSE)</f>
        <v>139332.64000000001</v>
      </c>
      <c r="E62" s="20">
        <f>VLOOKUP(B62,[1]结果!A:B,2,FALSE)</f>
        <v>98.43</v>
      </c>
      <c r="F62" s="20">
        <f t="shared" si="0"/>
        <v>137145.11755200001</v>
      </c>
      <c r="G62" s="20" t="str">
        <f>IFERROR(INDEX([2]Sheet1!B:B, MATCH(B62, [2]Sheet1!A:A, 0)), "0.00")</f>
        <v>0.00</v>
      </c>
      <c r="H62" s="20">
        <f t="shared" si="1"/>
        <v>137145.11755200001</v>
      </c>
    </row>
    <row r="63" spans="1:8" ht="17.399999999999999" x14ac:dyDescent="0.25">
      <c r="A63" s="26">
        <v>59</v>
      </c>
      <c r="B63" s="18" t="s">
        <v>101</v>
      </c>
      <c r="C63" s="19" t="s">
        <v>233</v>
      </c>
      <c r="D63" s="20">
        <f>VLOOKUP(B63,结果!A:B,2,FALSE)</f>
        <v>267182.15999999997</v>
      </c>
      <c r="E63" s="20">
        <f>VLOOKUP(B63,[1]结果!A:B,2,FALSE)</f>
        <v>95.63</v>
      </c>
      <c r="F63" s="20">
        <f t="shared" si="0"/>
        <v>255506.29960799994</v>
      </c>
      <c r="G63" s="20">
        <f>IFERROR(INDEX([2]Sheet1!B:B, MATCH(B63, [2]Sheet1!A:A, 0)), "0.00")</f>
        <v>10880</v>
      </c>
      <c r="H63" s="20">
        <f t="shared" si="1"/>
        <v>266386.29960799997</v>
      </c>
    </row>
    <row r="64" spans="1:8" ht="17.399999999999999" x14ac:dyDescent="0.25">
      <c r="A64" s="26">
        <v>60</v>
      </c>
      <c r="B64" s="18" t="s">
        <v>102</v>
      </c>
      <c r="C64" s="19" t="s">
        <v>233</v>
      </c>
      <c r="D64" s="20">
        <f>VLOOKUP(B64,结果!A:B,2,FALSE)</f>
        <v>228503.82</v>
      </c>
      <c r="E64" s="20">
        <f>VLOOKUP("麻醉手术科",[1]结果!A:B,2,FALSE)</f>
        <v>95.63</v>
      </c>
      <c r="F64" s="20">
        <f t="shared" si="0"/>
        <v>218518.20306599999</v>
      </c>
      <c r="G64" s="20" t="str">
        <f>IFERROR(INDEX([2]Sheet1!B:B, MATCH(B64, [2]Sheet1!A:A, 0)), "0.00")</f>
        <v>0.00</v>
      </c>
      <c r="H64" s="20">
        <f t="shared" si="1"/>
        <v>218518.20306599999</v>
      </c>
    </row>
    <row r="65" spans="1:8" ht="17.399999999999999" x14ac:dyDescent="0.25">
      <c r="A65" s="26">
        <v>61</v>
      </c>
      <c r="B65" s="18" t="s">
        <v>103</v>
      </c>
      <c r="C65" s="19" t="s">
        <v>233</v>
      </c>
      <c r="D65" s="20">
        <f>VLOOKUP(B65,结果!A:B,2,FALSE)</f>
        <v>190473.66</v>
      </c>
      <c r="E65" s="20" t="e">
        <f>VLOOKUP("放射治疗科",[1]结果!A:B,2,FALSE)</f>
        <v>#N/A</v>
      </c>
      <c r="F65" s="20" t="e">
        <f t="shared" si="0"/>
        <v>#N/A</v>
      </c>
      <c r="G65" s="20">
        <f>IFERROR(INDEX([2]Sheet1!B:B, MATCH(B65, [2]Sheet1!A:A, 0)), "0.00")</f>
        <v>10800</v>
      </c>
      <c r="H65" s="20" t="e">
        <f t="shared" si="1"/>
        <v>#N/A</v>
      </c>
    </row>
    <row r="66" spans="1:8" ht="17.399999999999999" x14ac:dyDescent="0.25">
      <c r="A66" s="26">
        <v>62</v>
      </c>
      <c r="B66" s="18" t="s">
        <v>77</v>
      </c>
      <c r="C66" s="19" t="s">
        <v>233</v>
      </c>
      <c r="D66" s="20">
        <f>VLOOKUP(B66,结果!A:B,2,FALSE)</f>
        <v>51433.73</v>
      </c>
      <c r="E66" s="20">
        <f>VLOOKUP(B66,[1]结果!A:B,2,FALSE)</f>
        <v>95.22</v>
      </c>
      <c r="F66" s="20">
        <f t="shared" si="0"/>
        <v>48975.197705999999</v>
      </c>
      <c r="G66" s="20">
        <f>IFERROR(INDEX([2]Sheet1!B:B, MATCH(B66, [2]Sheet1!A:A, 0)), "0.00")</f>
        <v>5400</v>
      </c>
      <c r="H66" s="20">
        <f t="shared" si="1"/>
        <v>54375.197705999999</v>
      </c>
    </row>
    <row r="67" spans="1:8" ht="17.399999999999999" x14ac:dyDescent="0.25">
      <c r="A67" s="26">
        <v>63</v>
      </c>
      <c r="B67" s="18" t="s">
        <v>118</v>
      </c>
      <c r="C67" s="19" t="s">
        <v>200</v>
      </c>
      <c r="D67" s="20">
        <f>VLOOKUP(B67,结果!A:B,2,FALSE)</f>
        <v>29138.13</v>
      </c>
      <c r="E67" s="20">
        <f>VLOOKUP("收费管理科",[1]结果!A:B,2,FALSE)</f>
        <v>89.99</v>
      </c>
      <c r="F67" s="20">
        <f t="shared" si="0"/>
        <v>26221.403187</v>
      </c>
      <c r="G67" s="20" t="str">
        <f>IFERROR(INDEX([2]Sheet1!B:B, MATCH(B67, [2]Sheet1!A:A, 0)), "0.00")</f>
        <v>0.00</v>
      </c>
      <c r="H67" s="20">
        <f t="shared" si="1"/>
        <v>26221.403187</v>
      </c>
    </row>
    <row r="68" spans="1:8" ht="17.399999999999999" x14ac:dyDescent="0.25">
      <c r="A68" s="26">
        <v>64</v>
      </c>
      <c r="B68" s="18" t="s">
        <v>119</v>
      </c>
      <c r="C68" s="19" t="s">
        <v>200</v>
      </c>
      <c r="D68" s="20">
        <f>VLOOKUP(B68,结果!A:B,2,FALSE)</f>
        <v>52579.16</v>
      </c>
      <c r="E68" s="20">
        <f>VLOOKUP("收费管理科",[1]结果!A:B,2,FALSE)</f>
        <v>89.99</v>
      </c>
      <c r="F68" s="20">
        <f t="shared" si="0"/>
        <v>47315.986083999996</v>
      </c>
      <c r="G68" s="20" t="str">
        <f>IFERROR(INDEX([2]Sheet1!B:B, MATCH(B68, [2]Sheet1!A:A, 0)), "0.00")</f>
        <v>0.00</v>
      </c>
      <c r="H68" s="20">
        <f t="shared" si="1"/>
        <v>47315.986083999996</v>
      </c>
    </row>
    <row r="69" spans="1:8" ht="17.399999999999999" x14ac:dyDescent="0.25">
      <c r="A69" s="26">
        <v>65</v>
      </c>
      <c r="B69" s="18" t="s">
        <v>123</v>
      </c>
      <c r="C69" s="19" t="s">
        <v>234</v>
      </c>
      <c r="D69" s="20">
        <f>VLOOKUP(B69,结果!A:B,2,FALSE)</f>
        <v>64307.92</v>
      </c>
      <c r="E69" s="20">
        <f>VLOOKUP(B69,[1]结果!A:B,2,FALSE)</f>
        <v>94.98</v>
      </c>
      <c r="F69" s="20">
        <f t="shared" si="0"/>
        <v>61079.662416000006</v>
      </c>
      <c r="G69" s="20">
        <f>IFERROR(INDEX([2]Sheet1!B:B, MATCH(B69, [2]Sheet1!A:A, 0)), "0.00")</f>
        <v>1800</v>
      </c>
      <c r="H69" s="20">
        <f t="shared" si="1"/>
        <v>62879.662416000006</v>
      </c>
    </row>
    <row r="70" spans="1:8" ht="17.399999999999999" x14ac:dyDescent="0.25">
      <c r="A70" s="26">
        <v>66</v>
      </c>
      <c r="B70" s="18" t="s">
        <v>235</v>
      </c>
      <c r="C70" s="19" t="s">
        <v>234</v>
      </c>
      <c r="D70" s="20">
        <f>VLOOKUP(B70,结果!A:B,2,FALSE)</f>
        <v>60702.21</v>
      </c>
      <c r="E70" s="20">
        <f>VLOOKUP("感染管理科",[1]结果!A:B,2,FALSE)</f>
        <v>89.99</v>
      </c>
      <c r="F70" s="20">
        <f t="shared" si="0"/>
        <v>54625.918778999992</v>
      </c>
      <c r="G70" s="20" t="str">
        <f>IFERROR(INDEX([2]Sheet1!B:B, MATCH(B70, [2]Sheet1!A:A, 0)), "0.00")</f>
        <v>0.00</v>
      </c>
      <c r="H70" s="20">
        <f t="shared" si="1"/>
        <v>54625.918778999992</v>
      </c>
    </row>
    <row r="71" spans="1:8" ht="17.399999999999999" x14ac:dyDescent="0.25">
      <c r="A71" s="26">
        <v>67</v>
      </c>
      <c r="B71" s="18" t="s">
        <v>236</v>
      </c>
      <c r="C71" s="19" t="s">
        <v>234</v>
      </c>
      <c r="D71" s="20">
        <f>VLOOKUP(B71,结果!A:B,2,FALSE)</f>
        <v>162381.53</v>
      </c>
      <c r="E71" s="20">
        <f>VLOOKUP(B71,[1]结果!A:B,2,FALSE)</f>
        <v>92.92</v>
      </c>
      <c r="F71" s="20">
        <f t="shared" si="0"/>
        <v>150884.91767600001</v>
      </c>
      <c r="G71" s="20">
        <f>IFERROR(INDEX([2]Sheet1!B:B, MATCH(B71, [2]Sheet1!A:A, 0)), "0.00")</f>
        <v>13800</v>
      </c>
      <c r="H71" s="20">
        <f t="shared" si="1"/>
        <v>164684.91767600001</v>
      </c>
    </row>
    <row r="72" spans="1:8" ht="17.399999999999999" x14ac:dyDescent="0.25">
      <c r="A72" s="26">
        <v>68</v>
      </c>
      <c r="B72" s="18" t="s">
        <v>237</v>
      </c>
      <c r="C72" s="19" t="s">
        <v>234</v>
      </c>
      <c r="D72" s="20">
        <f>VLOOKUP(B72,结果!A:B,2,FALSE)</f>
        <v>165500.07999999999</v>
      </c>
      <c r="E72" s="20">
        <f>VLOOKUP(B72,[1]结果!A:B,2,FALSE)</f>
        <v>97.17</v>
      </c>
      <c r="F72" s="20">
        <f t="shared" ref="F72:F101" si="4">IF(D72=0,1,D72)*IF(E72=0,1,E72/100)</f>
        <v>160816.42773599998</v>
      </c>
      <c r="G72" s="20">
        <f>IFERROR(INDEX([2]Sheet1!B:B, MATCH(B72, [2]Sheet1!A:A, 0)), "0.00")</f>
        <v>5400</v>
      </c>
      <c r="H72" s="20">
        <f t="shared" ref="H72:H101" si="5">F72+G72</f>
        <v>166216.42773599998</v>
      </c>
    </row>
    <row r="73" spans="1:8" ht="17.399999999999999" x14ac:dyDescent="0.25">
      <c r="A73" s="26">
        <v>69</v>
      </c>
      <c r="B73" s="18" t="s">
        <v>122</v>
      </c>
      <c r="C73" s="19" t="s">
        <v>234</v>
      </c>
      <c r="D73" s="20">
        <f>VLOOKUP(B73,结果!A:B,2,FALSE)</f>
        <v>41608.17</v>
      </c>
      <c r="E73" s="20">
        <f>VLOOKUP(B73,[1]结果!A:B,2,FALSE)</f>
        <v>96.62</v>
      </c>
      <c r="F73" s="20">
        <f t="shared" si="4"/>
        <v>40201.813854</v>
      </c>
      <c r="G73" s="20">
        <f>IFERROR(INDEX([2]Sheet1!B:B, MATCH(B73, [2]Sheet1!A:A, 0)), "0.00")</f>
        <v>10800</v>
      </c>
      <c r="H73" s="20">
        <f t="shared" si="5"/>
        <v>51001.813854</v>
      </c>
    </row>
    <row r="74" spans="1:8" ht="17.399999999999999" x14ac:dyDescent="0.25">
      <c r="A74" s="26">
        <v>70</v>
      </c>
      <c r="B74" s="18" t="s">
        <v>238</v>
      </c>
      <c r="C74" s="19" t="s">
        <v>234</v>
      </c>
      <c r="D74" s="20">
        <f>VLOOKUP(B74,结果!A:B,2,FALSE)</f>
        <v>193966.57</v>
      </c>
      <c r="E74" s="20">
        <f>VLOOKUP(B74,[1]结果!A:B,2,FALSE)</f>
        <v>97.95</v>
      </c>
      <c r="F74" s="20">
        <f t="shared" si="4"/>
        <v>189990.25531500002</v>
      </c>
      <c r="G74" s="20">
        <f>IFERROR(INDEX([2]Sheet1!B:B, MATCH(B74, [2]Sheet1!A:A, 0)), "0.00")</f>
        <v>13600</v>
      </c>
      <c r="H74" s="20">
        <f t="shared" si="5"/>
        <v>203590.25531500002</v>
      </c>
    </row>
    <row r="75" spans="1:8" ht="17.399999999999999" x14ac:dyDescent="0.25">
      <c r="A75" s="26">
        <v>71</v>
      </c>
      <c r="B75" s="18" t="s">
        <v>121</v>
      </c>
      <c r="C75" s="19" t="s">
        <v>234</v>
      </c>
      <c r="D75" s="20">
        <f>VLOOKUP(B75,结果!A:B,2,FALSE)</f>
        <v>235079.58</v>
      </c>
      <c r="E75" s="20">
        <f>VLOOKUP(B75,[1]结果!A:B,2,FALSE)</f>
        <v>95.85</v>
      </c>
      <c r="F75" s="20">
        <f t="shared" si="4"/>
        <v>225323.77742999996</v>
      </c>
      <c r="G75" s="20">
        <f>IFERROR(INDEX([2]Sheet1!B:B, MATCH(B75, [2]Sheet1!A:A, 0)), "0.00")</f>
        <v>21900</v>
      </c>
      <c r="H75" s="20">
        <f t="shared" si="5"/>
        <v>247223.77742999996</v>
      </c>
    </row>
    <row r="76" spans="1:8" ht="17.399999999999999" x14ac:dyDescent="0.25">
      <c r="A76" s="26">
        <v>72</v>
      </c>
      <c r="B76" s="18" t="s">
        <v>239</v>
      </c>
      <c r="C76" s="19" t="s">
        <v>234</v>
      </c>
      <c r="D76" s="20">
        <f>VLOOKUP(B76,结果!A:B,2,FALSE)</f>
        <v>328242.90999999997</v>
      </c>
      <c r="E76" s="20">
        <f>VLOOKUP("药学部（职能）",[1]结果!A:B,2,FALSE)</f>
        <v>89.57</v>
      </c>
      <c r="F76" s="20">
        <f t="shared" si="4"/>
        <v>294007.17448699998</v>
      </c>
      <c r="G76" s="20">
        <f>IFERROR(INDEX([2]Sheet1!B:B, MATCH(B76, [2]Sheet1!A:A, 0)), "0.00")</f>
        <v>9310</v>
      </c>
      <c r="H76" s="20">
        <f t="shared" si="5"/>
        <v>303317.17448699998</v>
      </c>
    </row>
    <row r="77" spans="1:8" ht="17.399999999999999" x14ac:dyDescent="0.25">
      <c r="A77" s="26">
        <v>73</v>
      </c>
      <c r="B77" s="18" t="s">
        <v>138</v>
      </c>
      <c r="C77" s="19" t="s">
        <v>240</v>
      </c>
      <c r="D77" s="20">
        <f>VLOOKUP(B77,结果!A:B,2,FALSE)</f>
        <v>168904.27299999999</v>
      </c>
      <c r="E77" s="20">
        <f>VLOOKUP(LEFT(B77, LEN(B77)-2),[1]结果!A:B,2,FALSE)</f>
        <v>96.44</v>
      </c>
      <c r="F77" s="20">
        <f t="shared" si="4"/>
        <v>162891.28088119999</v>
      </c>
      <c r="G77" s="20">
        <f>IFERROR(INDEX([2]Sheet1!B:B, MATCH(B77, [2]Sheet1!A:A, 0)), "0.00")</f>
        <v>1800</v>
      </c>
      <c r="H77" s="20">
        <f t="shared" si="5"/>
        <v>164691.28088119999</v>
      </c>
    </row>
    <row r="78" spans="1:8" ht="17.399999999999999" x14ac:dyDescent="0.25">
      <c r="A78" s="26">
        <v>74</v>
      </c>
      <c r="B78" s="18" t="s">
        <v>139</v>
      </c>
      <c r="C78" s="19" t="s">
        <v>240</v>
      </c>
      <c r="D78" s="20">
        <f>VLOOKUP(B78,结果!A:B,2,FALSE)</f>
        <v>130369.886</v>
      </c>
      <c r="E78" s="20">
        <f>ROUND(ROUND((INDEX([1]结果!$B:$B, MATCH("胸外二科", [1]结果!$A:$A,0))+INDEX([1]结果!$B:$B, MATCH("介入治疗科", [1]结果!$A:$A,0)))/2,2),2)</f>
        <v>97.05</v>
      </c>
      <c r="F78" s="20">
        <f t="shared" si="4"/>
        <v>126523.97436299999</v>
      </c>
      <c r="G78" s="20">
        <f>IFERROR(INDEX([2]Sheet1!B:B, MATCH(B78, [2]Sheet1!A:A, 0)), "0.00")</f>
        <v>3650</v>
      </c>
      <c r="H78" s="20">
        <f t="shared" si="5"/>
        <v>130173.97436299999</v>
      </c>
    </row>
    <row r="79" spans="1:8" ht="17.399999999999999" x14ac:dyDescent="0.25">
      <c r="A79" s="26">
        <v>75</v>
      </c>
      <c r="B79" s="18" t="s">
        <v>140</v>
      </c>
      <c r="C79" s="19" t="s">
        <v>240</v>
      </c>
      <c r="D79" s="20">
        <f>VLOOKUP(B79,结果!A:B,2,FALSE)</f>
        <v>158550.984</v>
      </c>
      <c r="E79" s="20">
        <f>VLOOKUP(LEFT(B79, LEN(B79)-2),[1]结果!A:B,2,FALSE)</f>
        <v>99.3</v>
      </c>
      <c r="F79" s="20">
        <f t="shared" si="4"/>
        <v>157441.12711199999</v>
      </c>
      <c r="G79" s="20">
        <f>IFERROR(INDEX([2]Sheet1!B:B, MATCH(B79, [2]Sheet1!A:A, 0)), "0.00")</f>
        <v>100</v>
      </c>
      <c r="H79" s="20">
        <f t="shared" si="5"/>
        <v>157541.12711199999</v>
      </c>
    </row>
    <row r="80" spans="1:8" ht="17.399999999999999" x14ac:dyDescent="0.25">
      <c r="A80" s="26">
        <v>76</v>
      </c>
      <c r="B80" s="18" t="s">
        <v>142</v>
      </c>
      <c r="C80" s="19" t="s">
        <v>240</v>
      </c>
      <c r="D80" s="20">
        <f>VLOOKUP(B80,结果!A:B,2,FALSE)</f>
        <v>132423.424</v>
      </c>
      <c r="E80" s="20">
        <f>ROUND(ROUND((INDEX([1]结果!$B:$B, MATCH("中西医结合科", [1]结果!$A:$A,0))+INDEX([1]结果!$B:$B, MATCH("乳腺内科", [1]结果!$A:$A,0)))/2,2),2)</f>
        <v>94.67</v>
      </c>
      <c r="F80" s="20">
        <f t="shared" si="4"/>
        <v>125365.25550079999</v>
      </c>
      <c r="G80" s="20">
        <f>IFERROR(INDEX([2]Sheet1!B:B, MATCH(B80, [2]Sheet1!A:A, 0)), "0.00")</f>
        <v>3600</v>
      </c>
      <c r="H80" s="20">
        <f t="shared" si="5"/>
        <v>128965.25550079999</v>
      </c>
    </row>
    <row r="81" spans="1:8" ht="17.399999999999999" x14ac:dyDescent="0.25">
      <c r="A81" s="26">
        <v>77</v>
      </c>
      <c r="B81" s="18" t="s">
        <v>264</v>
      </c>
      <c r="C81" s="19" t="s">
        <v>240</v>
      </c>
      <c r="D81" s="20" t="e">
        <f>VLOOKUP(B81,结果!A:B,2,FALSE)</f>
        <v>#VALUE!</v>
      </c>
      <c r="E81" s="20">
        <f>VLOOKUP(LEFT(B81, LEN(B81)-2),[1]结果!A:B,2,FALSE)</f>
        <v>-79.23</v>
      </c>
      <c r="F81" s="20" t="e">
        <f t="shared" si="4"/>
        <v>#VALUE!</v>
      </c>
      <c r="G81" s="20" t="str">
        <f>IFERROR(INDEX([2]Sheet1!B:B, MATCH(B81, [2]Sheet1!A:A, 0)), "0.00")</f>
        <v>0.00</v>
      </c>
      <c r="H81" s="20" t="e">
        <f t="shared" si="5"/>
        <v>#VALUE!</v>
      </c>
    </row>
    <row r="82" spans="1:8" ht="17.399999999999999" x14ac:dyDescent="0.25">
      <c r="A82" s="26">
        <v>78</v>
      </c>
      <c r="B82" s="26" t="s">
        <v>265</v>
      </c>
      <c r="C82" s="19" t="s">
        <v>240</v>
      </c>
      <c r="D82" s="20" t="e">
        <f>VLOOKUP(B82,结果!A:B,2,FALSE)</f>
        <v>#VALUE!</v>
      </c>
      <c r="E82" s="20">
        <f>VLOOKUP(LEFT(B82, LEN(B82)-2),[1]结果!A:B,2,FALSE)</f>
        <v>-79.23</v>
      </c>
      <c r="F82" s="20" t="e">
        <f t="shared" ref="F82:F83" si="6">IF(D82=0,1,D82)*IF(E82=0,1,E82/100)</f>
        <v>#VALUE!</v>
      </c>
      <c r="G82" s="20" t="str">
        <f>IFERROR(INDEX([2]Sheet1!B:B, MATCH(B82, [2]Sheet1!A:A, 0)), "0.00")</f>
        <v>0.00</v>
      </c>
      <c r="H82" s="20" t="e">
        <f t="shared" ref="H82:H83" si="7">F82+G82</f>
        <v>#VALUE!</v>
      </c>
    </row>
    <row r="83" spans="1:8" ht="17.399999999999999" x14ac:dyDescent="0.25">
      <c r="A83" s="26">
        <v>79</v>
      </c>
      <c r="B83" s="26" t="s">
        <v>266</v>
      </c>
      <c r="C83" s="19" t="s">
        <v>240</v>
      </c>
      <c r="D83" s="20" t="e">
        <f>VLOOKUP(B83,结果!A:B,2,FALSE)</f>
        <v>#VALUE!</v>
      </c>
      <c r="E83" s="20">
        <f>VLOOKUP(LEFT(B83, LEN(B83)-2),[1]结果!A:B,2,FALSE)</f>
        <v>-79.23</v>
      </c>
      <c r="F83" s="20" t="e">
        <f t="shared" si="6"/>
        <v>#VALUE!</v>
      </c>
      <c r="G83" s="20" t="str">
        <f>IFERROR(INDEX([2]Sheet1!B:B, MATCH(B83, [2]Sheet1!A:A, 0)), "0.00")</f>
        <v>0.00</v>
      </c>
      <c r="H83" s="20" t="e">
        <f t="shared" si="7"/>
        <v>#VALUE!</v>
      </c>
    </row>
    <row r="84" spans="1:8" ht="17.399999999999999" x14ac:dyDescent="0.25">
      <c r="A84" s="26">
        <v>80</v>
      </c>
      <c r="B84" s="18" t="s">
        <v>143</v>
      </c>
      <c r="C84" s="19" t="s">
        <v>240</v>
      </c>
      <c r="D84" s="20">
        <f>VLOOKUP(B84,结果!A:B,2,FALSE)</f>
        <v>63968.226000000002</v>
      </c>
      <c r="E84" s="20">
        <f>VLOOKUP(LEFT(B84, LEN(B84)-2),[1]结果!A:B,2,FALSE)</f>
        <v>93.59</v>
      </c>
      <c r="F84" s="20">
        <f t="shared" si="4"/>
        <v>59867.862713400005</v>
      </c>
      <c r="G84" s="20">
        <f>IFERROR(INDEX([2]Sheet1!B:B, MATCH(B84, [2]Sheet1!A:A, 0)), "0.00")</f>
        <v>50</v>
      </c>
      <c r="H84" s="20">
        <f t="shared" si="5"/>
        <v>59917.862713400005</v>
      </c>
    </row>
    <row r="85" spans="1:8" ht="17.399999999999999" x14ac:dyDescent="0.25">
      <c r="A85" s="26">
        <v>81</v>
      </c>
      <c r="B85" s="18" t="s">
        <v>144</v>
      </c>
      <c r="C85" s="19" t="s">
        <v>240</v>
      </c>
      <c r="D85" s="20">
        <f>VLOOKUP(B85,结果!A:B,2,FALSE)</f>
        <v>94868.467000000004</v>
      </c>
      <c r="E85" s="20">
        <f>VLOOKUP(LEFT(B85, LEN(B85)-2),[1]结果!A:B,2,FALSE)</f>
        <v>96.9</v>
      </c>
      <c r="F85" s="20">
        <f t="shared" si="4"/>
        <v>91927.544523000019</v>
      </c>
      <c r="G85" s="20">
        <f>IFERROR(INDEX([2]Sheet1!B:B, MATCH(B85, [2]Sheet1!A:A, 0)), "0.00")</f>
        <v>1800</v>
      </c>
      <c r="H85" s="20">
        <f t="shared" si="5"/>
        <v>93727.544523000019</v>
      </c>
    </row>
    <row r="86" spans="1:8" ht="17.399999999999999" x14ac:dyDescent="0.25">
      <c r="A86" s="26">
        <v>82</v>
      </c>
      <c r="B86" s="18" t="s">
        <v>145</v>
      </c>
      <c r="C86" s="19" t="s">
        <v>240</v>
      </c>
      <c r="D86" s="20">
        <f>VLOOKUP(B86,结果!A:B,2,FALSE)</f>
        <v>119219.36599999999</v>
      </c>
      <c r="E86" s="20">
        <f>VLOOKUP(LEFT(B86, LEN(B86)-2),[1]结果!A:B,2,FALSE)</f>
        <v>96.5</v>
      </c>
      <c r="F86" s="20">
        <f t="shared" si="4"/>
        <v>115046.68818999999</v>
      </c>
      <c r="G86" s="20">
        <f>IFERROR(INDEX([2]Sheet1!B:B, MATCH(B86, [2]Sheet1!A:A, 0)), "0.00")</f>
        <v>1900</v>
      </c>
      <c r="H86" s="20">
        <f t="shared" si="5"/>
        <v>116946.68818999999</v>
      </c>
    </row>
    <row r="87" spans="1:8" ht="17.399999999999999" x14ac:dyDescent="0.25">
      <c r="A87" s="26">
        <v>83</v>
      </c>
      <c r="B87" s="18" t="s">
        <v>146</v>
      </c>
      <c r="C87" s="19" t="s">
        <v>240</v>
      </c>
      <c r="D87" s="20">
        <f>VLOOKUP(B87,结果!A:B,2,FALSE)</f>
        <v>76663.434999999998</v>
      </c>
      <c r="E87" s="20">
        <f>VLOOKUP(LEFT(B87, LEN(B87)-2),[1]结果!A:B,2,FALSE)</f>
        <v>97.27</v>
      </c>
      <c r="F87" s="20">
        <f t="shared" si="4"/>
        <v>74570.523224499993</v>
      </c>
      <c r="G87" s="20" t="str">
        <f>IFERROR(INDEX([2]Sheet1!B:B, MATCH(B87, [2]Sheet1!A:A, 0)), "0.00")</f>
        <v>0.00</v>
      </c>
      <c r="H87" s="20">
        <f t="shared" si="5"/>
        <v>74570.523224499993</v>
      </c>
    </row>
    <row r="88" spans="1:8" ht="17.399999999999999" x14ac:dyDescent="0.25">
      <c r="A88" s="26">
        <v>84</v>
      </c>
      <c r="B88" s="18" t="s">
        <v>133</v>
      </c>
      <c r="C88" s="19" t="s">
        <v>240</v>
      </c>
      <c r="D88" s="20">
        <f>VLOOKUP(B88,结果!A:B,2,FALSE)</f>
        <v>120116.405</v>
      </c>
      <c r="E88" s="20">
        <f>VLOOKUP(LEFT(B88, LEN(B88)-2),[1]结果!A:B,2,FALSE)</f>
        <v>97.63</v>
      </c>
      <c r="F88" s="20">
        <f t="shared" si="4"/>
        <v>117269.64620149999</v>
      </c>
      <c r="G88" s="20">
        <f>IFERROR(INDEX([2]Sheet1!B:B, MATCH(B88, [2]Sheet1!A:A, 0)), "0.00")</f>
        <v>50</v>
      </c>
      <c r="H88" s="20">
        <f t="shared" si="5"/>
        <v>117319.64620149999</v>
      </c>
    </row>
    <row r="89" spans="1:8" ht="17.399999999999999" x14ac:dyDescent="0.25">
      <c r="A89" s="26">
        <v>85</v>
      </c>
      <c r="B89" s="18" t="s">
        <v>134</v>
      </c>
      <c r="C89" s="19" t="s">
        <v>240</v>
      </c>
      <c r="D89" s="20">
        <f>VLOOKUP(B89,结果!A:B,2,FALSE)</f>
        <v>126520.88800000001</v>
      </c>
      <c r="E89" s="20">
        <f>VLOOKUP(LEFT(B89, LEN(B89)-2),[1]结果!A:B,2,FALSE)</f>
        <v>97.99</v>
      </c>
      <c r="F89" s="20">
        <f t="shared" si="4"/>
        <v>123977.8181512</v>
      </c>
      <c r="G89" s="20">
        <f>IFERROR(INDEX([2]Sheet1!B:B, MATCH(B89, [2]Sheet1!A:A, 0)), "0.00")</f>
        <v>2050</v>
      </c>
      <c r="H89" s="20">
        <f t="shared" si="5"/>
        <v>126027.8181512</v>
      </c>
    </row>
    <row r="90" spans="1:8" ht="17.399999999999999" x14ac:dyDescent="0.25">
      <c r="A90" s="26">
        <v>86</v>
      </c>
      <c r="B90" s="18" t="s">
        <v>137</v>
      </c>
      <c r="C90" s="19" t="s">
        <v>240</v>
      </c>
      <c r="D90" s="20">
        <f>VLOOKUP(B90,结果!A:B,2,FALSE)</f>
        <v>71296.361999999994</v>
      </c>
      <c r="E90" s="20">
        <f>VLOOKUP(LEFT(B90, LEN(B90)-2),[1]结果!A:B,2,FALSE)</f>
        <v>92</v>
      </c>
      <c r="F90" s="20">
        <f t="shared" si="4"/>
        <v>65592.65303999999</v>
      </c>
      <c r="G90" s="20">
        <f>IFERROR(INDEX([2]Sheet1!B:B, MATCH(B90, [2]Sheet1!A:A, 0)), "0.00")</f>
        <v>50</v>
      </c>
      <c r="H90" s="20">
        <f t="shared" si="5"/>
        <v>65642.65303999999</v>
      </c>
    </row>
    <row r="91" spans="1:8" ht="17.399999999999999" x14ac:dyDescent="0.25">
      <c r="A91" s="26">
        <v>87</v>
      </c>
      <c r="B91" s="18" t="s">
        <v>141</v>
      </c>
      <c r="C91" s="19" t="s">
        <v>240</v>
      </c>
      <c r="D91" s="20">
        <f>VLOOKUP(B91,结果!A:B,2,FALSE)</f>
        <v>127268.289</v>
      </c>
      <c r="E91" s="20">
        <f>VLOOKUP(LEFT(B91, LEN(B91)-2),[1]结果!A:B,2,FALSE)</f>
        <v>97.43</v>
      </c>
      <c r="F91" s="20">
        <f t="shared" si="4"/>
        <v>123997.49397270002</v>
      </c>
      <c r="G91" s="20">
        <f>IFERROR(INDEX([2]Sheet1!B:B, MATCH(B91, [2]Sheet1!A:A, 0)), "0.00")</f>
        <v>100</v>
      </c>
      <c r="H91" s="20">
        <f t="shared" si="5"/>
        <v>124097.49397270002</v>
      </c>
    </row>
    <row r="92" spans="1:8" ht="17.399999999999999" x14ac:dyDescent="0.25">
      <c r="A92" s="26">
        <v>88</v>
      </c>
      <c r="B92" s="18" t="s">
        <v>135</v>
      </c>
      <c r="C92" s="19" t="s">
        <v>240</v>
      </c>
      <c r="D92" s="20">
        <f>VLOOKUP(B92,结果!A:B,2,FALSE)</f>
        <v>152992.58900000001</v>
      </c>
      <c r="E92" s="20">
        <f>VLOOKUP(LEFT(B92, LEN(B92)-2),[1]结果!A:B,2,FALSE)</f>
        <v>98.6</v>
      </c>
      <c r="F92" s="20">
        <f t="shared" si="4"/>
        <v>150850.69275400002</v>
      </c>
      <c r="G92" s="20">
        <f>IFERROR(INDEX([2]Sheet1!B:B, MATCH(B92, [2]Sheet1!A:A, 0)), "0.00")</f>
        <v>50</v>
      </c>
      <c r="H92" s="20">
        <f t="shared" si="5"/>
        <v>150900.69275400002</v>
      </c>
    </row>
    <row r="93" spans="1:8" ht="17.399999999999999" x14ac:dyDescent="0.25">
      <c r="A93" s="26">
        <v>89</v>
      </c>
      <c r="B93" s="18" t="s">
        <v>136</v>
      </c>
      <c r="C93" s="19" t="s">
        <v>240</v>
      </c>
      <c r="D93" s="20">
        <f>VLOOKUP(B93,结果!A:B,2,FALSE)</f>
        <v>111393.59</v>
      </c>
      <c r="E93" s="20">
        <f>VLOOKUP(LEFT(B93, LEN(B93)-2),[1]结果!A:B,2,FALSE)</f>
        <v>96.92</v>
      </c>
      <c r="F93" s="20">
        <f t="shared" si="4"/>
        <v>107962.667428</v>
      </c>
      <c r="G93" s="20" t="str">
        <f>IFERROR(INDEX([2]Sheet1!B:B, MATCH(B93, [2]Sheet1!A:A, 0)), "0.00")</f>
        <v>0.00</v>
      </c>
      <c r="H93" s="20">
        <f t="shared" si="5"/>
        <v>107962.667428</v>
      </c>
    </row>
    <row r="94" spans="1:8" ht="17.399999999999999" x14ac:dyDescent="0.25">
      <c r="A94" s="26">
        <v>90</v>
      </c>
      <c r="B94" s="18" t="s">
        <v>149</v>
      </c>
      <c r="C94" s="19" t="s">
        <v>240</v>
      </c>
      <c r="D94" s="20">
        <f>VLOOKUP(B94,结果!A:B,2,FALSE)</f>
        <v>103041.969</v>
      </c>
      <c r="E94" s="20">
        <f>VLOOKUP(LEFT(B94, LEN(B94)-2),[1]结果!A:B,2,FALSE)</f>
        <v>97.91</v>
      </c>
      <c r="F94" s="20">
        <f t="shared" si="4"/>
        <v>100888.3918479</v>
      </c>
      <c r="G94" s="20">
        <f>IFERROR(INDEX([2]Sheet1!B:B, MATCH(B94, [2]Sheet1!A:A, 0)), "0.00")</f>
        <v>100</v>
      </c>
      <c r="H94" s="20">
        <f t="shared" si="5"/>
        <v>100988.3918479</v>
      </c>
    </row>
    <row r="95" spans="1:8" ht="17.399999999999999" x14ac:dyDescent="0.25">
      <c r="A95" s="26">
        <v>91</v>
      </c>
      <c r="B95" s="21" t="s">
        <v>147</v>
      </c>
      <c r="C95" s="19" t="s">
        <v>240</v>
      </c>
      <c r="D95" s="20">
        <f>VLOOKUP(B95,结果!A:B,2,FALSE)</f>
        <v>155140.53599999999</v>
      </c>
      <c r="E95" s="20">
        <f>ROUND(ROUND((INDEX([1]结果!$B:$B, MATCH("肝胆胰肿瘤外科", [1]结果!$A:$A,0))+INDEX([1]结果!$B:$B, MATCH("泌尿外科", [1]结果!$A:$A,0)))/2,2),2)</f>
        <v>98.21</v>
      </c>
      <c r="F95" s="20">
        <f t="shared" si="4"/>
        <v>152363.52040559999</v>
      </c>
      <c r="G95" s="20">
        <f>IFERROR(INDEX([2]Sheet1!B:B, MATCH(B95, [2]Sheet1!A:A, 0)), "0.00")</f>
        <v>1800</v>
      </c>
      <c r="H95" s="20">
        <f t="shared" si="5"/>
        <v>154163.52040559999</v>
      </c>
    </row>
    <row r="96" spans="1:8" ht="17.399999999999999" x14ac:dyDescent="0.25">
      <c r="A96" s="26">
        <v>92</v>
      </c>
      <c r="B96" s="18" t="s">
        <v>148</v>
      </c>
      <c r="C96" s="19" t="s">
        <v>240</v>
      </c>
      <c r="D96" s="20">
        <f>VLOOKUP(B96,结果!A:B,2,FALSE)</f>
        <v>101159.304</v>
      </c>
      <c r="E96" s="20">
        <f>ROUND(ROUND((INDEX([1]结果!$B:$B, MATCH("骨与软组织二科", [1]结果!$A:$A,0))+INDEX([1]结果!$B:$B, MATCH("妇瘤二科", [1]结果!$A:$A,0)))/2,2),2)</f>
        <v>98.22</v>
      </c>
      <c r="F96" s="20">
        <f t="shared" si="4"/>
        <v>99358.668388799997</v>
      </c>
      <c r="G96" s="20">
        <f>IFERROR(INDEX([2]Sheet1!B:B, MATCH(B96, [2]Sheet1!A:A, 0)), "0.00")</f>
        <v>5600</v>
      </c>
      <c r="H96" s="20">
        <f t="shared" si="5"/>
        <v>104958.6683888</v>
      </c>
    </row>
    <row r="97" spans="1:8" ht="17.399999999999999" x14ac:dyDescent="0.25">
      <c r="A97" s="26">
        <v>93</v>
      </c>
      <c r="B97" s="18" t="s">
        <v>104</v>
      </c>
      <c r="C97" s="19" t="s">
        <v>241</v>
      </c>
      <c r="D97" s="20">
        <f>VLOOKUP(B97,结果!A:B,2,FALSE)</f>
        <v>139020.49</v>
      </c>
      <c r="E97" s="20">
        <f>VLOOKUP(B97,[1]结果!A:B,2,FALSE)</f>
        <v>97.88</v>
      </c>
      <c r="F97" s="20">
        <f t="shared" si="4"/>
        <v>136073.25561199998</v>
      </c>
      <c r="G97" s="20">
        <f>IFERROR(INDEX([2]Sheet1!B:B, MATCH(B97, [2]Sheet1!A:A, 0)), "0.00")</f>
        <v>600</v>
      </c>
      <c r="H97" s="20">
        <f t="shared" si="5"/>
        <v>136673.25561199998</v>
      </c>
    </row>
    <row r="98" spans="1:8" ht="17.399999999999999" x14ac:dyDescent="0.25">
      <c r="A98" s="26">
        <v>94</v>
      </c>
      <c r="B98" s="18" t="s">
        <v>106</v>
      </c>
      <c r="C98" s="19" t="s">
        <v>241</v>
      </c>
      <c r="D98" s="20">
        <f>VLOOKUP(B98,结果!A:B,2,FALSE)</f>
        <v>22277.16</v>
      </c>
      <c r="E98" s="20">
        <f>VLOOKUP(B98,[1]结果!A:B,2,FALSE)</f>
        <v>93.24</v>
      </c>
      <c r="F98" s="20">
        <f t="shared" si="4"/>
        <v>20771.223983999997</v>
      </c>
      <c r="G98" s="20" t="str">
        <f>IFERROR(INDEX([2]Sheet1!B:B, MATCH(B98, [2]Sheet1!A:A, 0)), "0.00")</f>
        <v>0.00</v>
      </c>
      <c r="H98" s="20">
        <f t="shared" si="5"/>
        <v>20771.223983999997</v>
      </c>
    </row>
    <row r="99" spans="1:8" ht="17.399999999999999" x14ac:dyDescent="0.25">
      <c r="A99" s="26">
        <v>95</v>
      </c>
      <c r="B99" s="18" t="s">
        <v>107</v>
      </c>
      <c r="C99" s="19" t="s">
        <v>241</v>
      </c>
      <c r="D99" s="20">
        <f>VLOOKUP(B99,结果!A:B,2,FALSE)</f>
        <v>45350.080000000002</v>
      </c>
      <c r="E99" s="20">
        <f>VLOOKUP(B99,[1]结果!A:B,2,FALSE)</f>
        <v>95.67</v>
      </c>
      <c r="F99" s="20">
        <f t="shared" si="4"/>
        <v>43386.421536000002</v>
      </c>
      <c r="G99" s="20" t="str">
        <f>IFERROR(INDEX([2]Sheet1!B:B, MATCH(B99, [2]Sheet1!A:A, 0)), "0.00")</f>
        <v>0.00</v>
      </c>
      <c r="H99" s="20">
        <f t="shared" si="5"/>
        <v>43386.421536000002</v>
      </c>
    </row>
    <row r="100" spans="1:8" ht="17.399999999999999" x14ac:dyDescent="0.25">
      <c r="A100" s="26">
        <v>96</v>
      </c>
      <c r="B100" s="18" t="s">
        <v>108</v>
      </c>
      <c r="C100" s="19" t="s">
        <v>241</v>
      </c>
      <c r="D100" s="20">
        <f>VLOOKUP(B100,结果!A:B,2,FALSE)</f>
        <v>24377.26</v>
      </c>
      <c r="E100" s="20">
        <f>VLOOKUP(B100,[1]结果!A:B,2,FALSE)</f>
        <v>94.03</v>
      </c>
      <c r="F100" s="20">
        <f t="shared" si="4"/>
        <v>22921.937577999997</v>
      </c>
      <c r="G100" s="20" t="str">
        <f>IFERROR(INDEX([2]Sheet1!B:B, MATCH(B100, [2]Sheet1!A:A, 0)), "0.00")</f>
        <v>0.00</v>
      </c>
      <c r="H100" s="20">
        <f t="shared" si="5"/>
        <v>22921.937577999997</v>
      </c>
    </row>
    <row r="101" spans="1:8" ht="17.399999999999999" x14ac:dyDescent="0.25">
      <c r="A101" s="26">
        <v>97</v>
      </c>
      <c r="B101" s="18" t="s">
        <v>109</v>
      </c>
      <c r="C101" s="19" t="s">
        <v>241</v>
      </c>
      <c r="D101" s="20">
        <f>VLOOKUP(B101,结果!A:B,2,FALSE)</f>
        <v>14849</v>
      </c>
      <c r="E101" s="20">
        <f>VLOOKUP(B101,[1]结果!A:B,2,FALSE)</f>
        <v>97.5</v>
      </c>
      <c r="F101" s="20">
        <f t="shared" si="4"/>
        <v>14477.775</v>
      </c>
      <c r="G101" s="20" t="str">
        <f>IFERROR(INDEX([2]Sheet1!B:B, MATCH(B101, [2]Sheet1!A:A, 0)), "0.00")</f>
        <v>0.00</v>
      </c>
      <c r="H101" s="20">
        <f t="shared" si="5"/>
        <v>14477.775</v>
      </c>
    </row>
    <row r="102" spans="1:8" ht="17.399999999999999" x14ac:dyDescent="0.25">
      <c r="A102" s="31" t="s">
        <v>242</v>
      </c>
      <c r="B102" s="31"/>
      <c r="C102" s="31"/>
      <c r="D102" s="20" t="e">
        <f>SUM(D5:D101)</f>
        <v>#VALUE!</v>
      </c>
      <c r="E102" s="20" t="e">
        <f>AVERAGE(E5:E101)</f>
        <v>#N/A</v>
      </c>
      <c r="F102" s="20" t="e">
        <f>SUM(F5:F101)</f>
        <v>#N/A</v>
      </c>
      <c r="G102" s="20">
        <f>SUM(G5:G101)</f>
        <v>194221.77000000002</v>
      </c>
      <c r="H102" s="20" t="e">
        <f>SUM(H5:H101)</f>
        <v>#N/A</v>
      </c>
    </row>
    <row r="103" spans="1:8" ht="17.399999999999999" x14ac:dyDescent="0.25">
      <c r="A103" s="32" t="str">
        <f ca="1">"输出时间："&amp;TEXT(NOW(),"yyyy-mm-dd HH:mm:ss")</f>
        <v>输出时间：2025-02-21 16:56:06</v>
      </c>
      <c r="B103" s="32"/>
      <c r="C103" s="32"/>
      <c r="F103" s="22" t="s">
        <v>243</v>
      </c>
      <c r="G103" s="23" t="s">
        <v>244</v>
      </c>
      <c r="H103" s="24"/>
    </row>
    <row r="105" spans="1:8" ht="17.399999999999999" x14ac:dyDescent="0.25">
      <c r="A105" s="27" t="s">
        <v>245</v>
      </c>
      <c r="B105" s="27"/>
      <c r="C105" s="27" t="s">
        <v>246</v>
      </c>
      <c r="D105" s="27"/>
      <c r="E105" s="27" t="s">
        <v>247</v>
      </c>
      <c r="F105" s="27"/>
      <c r="G105" s="23" t="s">
        <v>248</v>
      </c>
      <c r="H105" s="25"/>
    </row>
  </sheetData>
  <mergeCells count="8">
    <mergeCell ref="A105:B105"/>
    <mergeCell ref="C105:D105"/>
    <mergeCell ref="E105:F105"/>
    <mergeCell ref="A1:H1"/>
    <mergeCell ref="A2:H2"/>
    <mergeCell ref="A3:H3"/>
    <mergeCell ref="A102:C102"/>
    <mergeCell ref="A103:C103"/>
  </mergeCells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71"/>
  <sheetViews>
    <sheetView zoomScale="70" zoomScaleNormal="7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B66" sqref="B66"/>
    </sheetView>
  </sheetViews>
  <sheetFormatPr defaultRowHeight="13.8" x14ac:dyDescent="0.25"/>
  <cols>
    <col min="1" max="1" width="32" customWidth="1"/>
    <col min="2" max="2" width="17.375" bestFit="1" customWidth="1"/>
    <col min="3" max="4" width="17.5" bestFit="1" customWidth="1"/>
    <col min="5" max="5" width="18.5" bestFit="1" customWidth="1"/>
    <col min="6" max="6" width="30.625" bestFit="1" customWidth="1"/>
    <col min="7" max="11" width="14" customWidth="1"/>
    <col min="12" max="12" width="15.625" bestFit="1" customWidth="1"/>
    <col min="13" max="14" width="18.375" bestFit="1" customWidth="1"/>
    <col min="15" max="15" width="21.25" bestFit="1" customWidth="1"/>
    <col min="16" max="16" width="15.5" bestFit="1" customWidth="1"/>
    <col min="17" max="21" width="24" bestFit="1" customWidth="1"/>
    <col min="22" max="22" width="35.5" bestFit="1" customWidth="1"/>
    <col min="23" max="23" width="18.375" bestFit="1" customWidth="1"/>
    <col min="24" max="24" width="24" bestFit="1" customWidth="1"/>
    <col min="25" max="25" width="17.375" bestFit="1" customWidth="1"/>
    <col min="26" max="26" width="30.125" bestFit="1" customWidth="1"/>
    <col min="27" max="27" width="15.625" bestFit="1" customWidth="1"/>
    <col min="28" max="28" width="17.375" bestFit="1" customWidth="1"/>
    <col min="29" max="30" width="12.625" customWidth="1"/>
    <col min="31" max="31" width="17.375" bestFit="1" customWidth="1"/>
    <col min="32" max="34" width="35.5" bestFit="1" customWidth="1"/>
    <col min="35" max="36" width="17.375" bestFit="1" customWidth="1"/>
    <col min="37" max="38" width="15.625" bestFit="1" customWidth="1"/>
    <col min="39" max="42" width="14.5" bestFit="1" customWidth="1"/>
    <col min="43" max="43" width="19" bestFit="1" customWidth="1"/>
    <col min="44" max="44" width="17.375" bestFit="1" customWidth="1"/>
    <col min="45" max="45" width="29.25" bestFit="1" customWidth="1"/>
    <col min="46" max="46" width="36.25" bestFit="1" customWidth="1"/>
    <col min="47" max="47" width="24.5" bestFit="1" customWidth="1"/>
    <col min="48" max="48" width="30.375" bestFit="1" customWidth="1"/>
    <col min="49" max="49" width="20.625" bestFit="1" customWidth="1"/>
    <col min="50" max="50" width="36.25" bestFit="1" customWidth="1"/>
    <col min="51" max="54" width="24.5" bestFit="1" customWidth="1"/>
    <col min="55" max="55" width="36.25" bestFit="1" customWidth="1"/>
  </cols>
  <sheetData>
    <row r="1" spans="1:55" ht="33.6" customHeight="1" x14ac:dyDescent="0.25">
      <c r="A1" s="37"/>
      <c r="B1" s="37" t="s">
        <v>0</v>
      </c>
      <c r="C1" s="37" t="s">
        <v>1</v>
      </c>
      <c r="D1" s="37" t="s">
        <v>2</v>
      </c>
      <c r="E1" s="37" t="s">
        <v>3</v>
      </c>
      <c r="F1" s="35" t="s">
        <v>4</v>
      </c>
      <c r="G1" s="33" t="s">
        <v>5</v>
      </c>
      <c r="H1" s="33" t="s">
        <v>6</v>
      </c>
      <c r="I1" s="33" t="s">
        <v>7</v>
      </c>
      <c r="J1" s="33" t="s">
        <v>8</v>
      </c>
      <c r="K1" s="33" t="s">
        <v>9</v>
      </c>
      <c r="L1" s="33" t="s">
        <v>10</v>
      </c>
      <c r="M1" s="33" t="s">
        <v>11</v>
      </c>
      <c r="N1" s="33" t="s">
        <v>12</v>
      </c>
      <c r="O1" s="33" t="s">
        <v>13</v>
      </c>
      <c r="P1" s="33" t="s">
        <v>14</v>
      </c>
      <c r="Q1" s="33" t="s">
        <v>15</v>
      </c>
      <c r="R1" s="33" t="s">
        <v>16</v>
      </c>
      <c r="S1" s="33" t="s">
        <v>17</v>
      </c>
      <c r="T1" s="33" t="s">
        <v>18</v>
      </c>
      <c r="U1" s="33" t="s">
        <v>19</v>
      </c>
      <c r="V1" s="33" t="s">
        <v>20</v>
      </c>
      <c r="W1" s="33" t="s">
        <v>21</v>
      </c>
      <c r="X1" s="33" t="s">
        <v>22</v>
      </c>
      <c r="Y1" s="33" t="s">
        <v>23</v>
      </c>
      <c r="Z1" s="33" t="s">
        <v>24</v>
      </c>
      <c r="AA1" s="33" t="s">
        <v>25</v>
      </c>
      <c r="AB1" s="33" t="s">
        <v>116</v>
      </c>
      <c r="AC1" s="33" t="s">
        <v>26</v>
      </c>
      <c r="AD1" s="33" t="s">
        <v>115</v>
      </c>
      <c r="AE1" s="33" t="s">
        <v>28</v>
      </c>
      <c r="AF1" s="33" t="s">
        <v>29</v>
      </c>
      <c r="AG1" s="33" t="s">
        <v>30</v>
      </c>
      <c r="AH1" s="33" t="s">
        <v>31</v>
      </c>
      <c r="AI1" s="33" t="s">
        <v>34</v>
      </c>
      <c r="AJ1" s="33" t="s">
        <v>35</v>
      </c>
      <c r="AK1" s="33" t="s">
        <v>70</v>
      </c>
      <c r="AL1" s="33" t="s">
        <v>71</v>
      </c>
      <c r="AM1" s="33" t="s">
        <v>72</v>
      </c>
      <c r="AN1" s="33" t="s">
        <v>73</v>
      </c>
      <c r="AO1" s="33" t="s">
        <v>74</v>
      </c>
      <c r="AP1" s="33" t="s">
        <v>75</v>
      </c>
      <c r="AQ1" s="33" t="s">
        <v>131</v>
      </c>
      <c r="AR1" s="33" t="s">
        <v>132</v>
      </c>
      <c r="AS1" s="33" t="s">
        <v>177</v>
      </c>
      <c r="AT1" s="33" t="s">
        <v>158</v>
      </c>
      <c r="AU1" s="33" t="s">
        <v>159</v>
      </c>
      <c r="AV1" s="33" t="s">
        <v>160</v>
      </c>
      <c r="AW1" s="33" t="s">
        <v>161</v>
      </c>
      <c r="AX1" s="33" t="s">
        <v>162</v>
      </c>
      <c r="AY1" s="33" t="s">
        <v>163</v>
      </c>
      <c r="AZ1" s="33" t="s">
        <v>164</v>
      </c>
      <c r="BA1" s="33" t="s">
        <v>165</v>
      </c>
      <c r="BB1" s="33" t="s">
        <v>166</v>
      </c>
      <c r="BC1" s="33" t="s">
        <v>167</v>
      </c>
    </row>
    <row r="2" spans="1:55" ht="33.6" customHeight="1" x14ac:dyDescent="0.25">
      <c r="A2" s="37"/>
      <c r="B2" s="37"/>
      <c r="C2" s="37"/>
      <c r="D2" s="37"/>
      <c r="E2" s="37"/>
      <c r="F2" s="36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3" t="s">
        <v>26</v>
      </c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</row>
    <row r="3" spans="1:55" ht="25.65" customHeight="1" x14ac:dyDescent="0.25">
      <c r="A3" s="1" t="s">
        <v>36</v>
      </c>
      <c r="B3" s="1">
        <f>ROUND(IF(C3&lt;&gt;"--",C3,0)+IF(D3&lt;&gt;"--",D3,0)+IF(E3&lt;&gt;"--",E3,0),2)</f>
        <v>110934.98</v>
      </c>
      <c r="C3" s="2">
        <f>ROUND(IFERROR(L3+AG3+IF(AA3&lt;&gt;"--",AA3,0),"0"),2)</f>
        <v>15580</v>
      </c>
      <c r="D3" s="2">
        <f>ROUND(IF(F3&lt;&gt;"--",F3,0) + IF(G3&lt;&gt;"--",G3,0) + IF(H3&lt;&gt;"--",H3,0) + IF(I3&lt;&gt;"--",I3,0) + IF(J3&lt;&gt;"--",J3,0) + IF(K3&lt;&gt;"--",K3,0) +
IF(M3&lt;&gt;"--",M3,0) + IF(N3&lt;&gt;"--",N3,0) + IF(O3&lt;&gt;"--",O3,0) + IF(P3&lt;&gt;"--",P3,0) + IF(Q3&lt;&gt;"--",Q3,0) + IF(R3&lt;&gt;"--",R3,0) +
IF(S3&lt;&gt;"--",S3,0) + IF(T3&lt;&gt;"--",T3,0) + IF(U3&lt;&gt;"--",U3,0) + IF(V3&lt;&gt;"--",V3,0) + IF(W3&lt;&gt;"--",W3,0) + IF(X3&lt;&gt;"--",X3,0) +
IF(Z3&lt;&gt;"--",Z3,0) + IF(AA3&lt;&gt;"--",AA3,0) + IF(AB3&lt;&gt;"--",AB3,0) + IF(AC3&lt;&gt;"--",AC3,0) + IF(AF3&lt;&gt;"--",AF3,0) +
IF(AI3&lt;&gt;"--",AI3,0) + IF(AJ3&lt;&gt;"--",AJ3,0) + IF(AK3&lt;&gt;"--",AK3,0) + IF(AL3&lt;&gt;"--",AL3,0) + IF(AM3&lt;&gt;"--",AM3,0) +
IF(AN3&lt;&gt;"--",AN3,0) + IF(AO3&lt;&gt;"--",AO3,0) + IF(AP3&lt;&gt;"--",AP3,0),2)</f>
        <v>95354.98</v>
      </c>
      <c r="E3" s="2">
        <f>ROUND(IF(Y3&lt;&gt;"--",Y3,0)+IF(AD3&lt;&gt;"--",AD3,0)+IF(AH3&lt;&gt;"--",AH3,0),2)</f>
        <v>0</v>
      </c>
      <c r="F3" s="2" cm="1">
        <f t="array" ref="F3">IFERROR(
病区折扣比例(
(
INDEX([3]Sheet1!$I:$I, MATCH(A3, [3]Sheet1!$B:$B, 0))
/
次均费用!C3
)
)
*INDEX([4]Sheet1!$AL:$AL, MATCH(A3, [4]Sheet1!$A:$A, 0))
* 积分!B3, "--")</f>
        <v>25366.500000000004</v>
      </c>
      <c r="G3" s="2">
        <f>IFERROR(INDEX([4]Sheet1!$AK:$AK, MATCH(A3, [4]Sheet1!$A:$A, 0)) * 积分!C3, "--")</f>
        <v>380</v>
      </c>
      <c r="H3" s="2">
        <f>IFERROR(INDEX([4]Sheet1!$AB:$AB, MATCH(A3, [4]Sheet1!$A:$A, 0)) * 积分!D3, "--")</f>
        <v>180</v>
      </c>
      <c r="I3" s="2">
        <f>IFERROR(INDEX([4]Sheet1!$AA:$AA, MATCH(A3, [4]Sheet1!$A:$A, 0)) * 积分!E3, "--")</f>
        <v>640</v>
      </c>
      <c r="J3" s="2">
        <f>IFERROR(INDEX([4]Sheet1!$Z:$Z, MATCH(A3, [4]Sheet1!$A:$A, 0)) * 积分!F3, "--")</f>
        <v>4000</v>
      </c>
      <c r="K3" s="2">
        <f>IFERROR(INDEX([4]Sheet1!$Y:$Y, MATCH(A3, [4]Sheet1!$A:$A, 0)) * 积分!G3, "--")</f>
        <v>63600</v>
      </c>
      <c r="L3" s="2" cm="1">
        <f t="array" ref="L3">IFERROR(
门诊折扣比例(
(
INDEX([5]Sheet1!$D:$D, MATCH(A3, [5]Sheet1!$B:$B, 0))
/
次均费用!B3
)
)
*INDEX([5]Sheet1!$C:$C, MATCH(A3, [5]Sheet1!$B:$B, 0))
* 积分!H3, "--")</f>
        <v>15580</v>
      </c>
      <c r="M3" s="2">
        <f>IFERROR(INDEX([3]Sheet1!$C:$C, MATCH(A3, [3]Sheet1!$B:$B, 0)) * 积分!I3, "--")</f>
        <v>0</v>
      </c>
      <c r="N3" s="2">
        <f>IFERROR(INDEX([3]Sheet1!$D:$D, MATCH(A3, [3]Sheet1!$B:$B, 0)) * 积分!J3, "--")</f>
        <v>0</v>
      </c>
      <c r="O3" s="2">
        <f>IFERROR(INDEX([3]Sheet1!$E:$E, MATCH(A3, [3]Sheet1!$B:$B, 0)) * 积分!K3, "--")</f>
        <v>0</v>
      </c>
      <c r="P3" s="2">
        <f>IFERROR(INDEX([3]Sheet1!$F:$F, MATCH(A3, [3]Sheet1!$B:$B, 0)) * 积分!L3, "--")</f>
        <v>0</v>
      </c>
      <c r="Q3" s="2">
        <f>IFERROR(INDEX([3]Sheet1!$G:$G, MATCH(A3, [3]Sheet1!$B:$B, 0)) * 积分!M3, "--")</f>
        <v>3281.85</v>
      </c>
      <c r="R3" s="2" t="str" cm="1">
        <f t="array" ref="R3">IFERROR(INDEX([6]Sheet1!$D:$D, MATCH(1, ([6]Sheet1!$B:$B=A3) * ([6]Sheet1!$C:$C="特级护理（临床）"), 0)) * 积分!AI3, "--")</f>
        <v>--</v>
      </c>
      <c r="S3" s="2" t="str" cm="1">
        <f t="array" ref="S3">IFERROR(INDEX([6]Sheet1!$D:$D, MATCH(1, ([6]Sheet1!$B:$B=A3) * ([6]Sheet1!$C:$C="重症监护（临床）"), 0)) * 积分!AJ3, "--")</f>
        <v>--</v>
      </c>
      <c r="T3" s="2" t="str" cm="1">
        <f t="array" ref="T3">IFERROR(INDEX([6]Sheet1!$D:$D, MATCH(1, ([6]Sheet1!$B:$B=A3) * ([6]Sheet1!$C:$C="Ⅰ级护理（临床）"), 0)) * 积分!AK3, "--")</f>
        <v>--</v>
      </c>
      <c r="U3" s="2" t="str" cm="1">
        <f t="array" ref="U3">IFERROR(INDEX([6]Sheet1!$D:$D, MATCH(1, ([6]Sheet1!$B:$B=A3) * ([6]Sheet1!$C:$C="Ⅱ级护理（临床）"), 0)) * 积分!AL3, "--")</f>
        <v>--</v>
      </c>
      <c r="V3" s="2" t="str" cm="1">
        <f t="array" ref="V3">IFERROR(INDEX([6]Sheet1!$D:$D, MATCH(1, ([6]Sheet1!$B:$B=A3) * ([6]Sheet1!$C:$C="护士中医适宜技术（临床）"), 0)) * 积分!AM3, "--")</f>
        <v>--</v>
      </c>
      <c r="W3" s="2">
        <f>IFERROR(INDEX([3]Sheet1!$H:$H, MATCH(A3, [3]Sheet1!$B:$B, 0)) * 积分!N3, "--")</f>
        <v>0</v>
      </c>
      <c r="X3" s="2">
        <f>IFERROR(INDEX([3]Sheet1!$J:$J, MATCH(A3, [3]Sheet1!$B:$B, 0)) * 积分!O3, "--")</f>
        <v>518.11099999999999</v>
      </c>
      <c r="Y3" s="2" t="str" cm="1">
        <f t="array" ref="Y3">IFERROR(INDEX([7]Sheet1!$D:$D, MATCH(1, ([7]Sheet1!$B:$B=A3) * ([7]Sheet1!$C:$C="单位系数"), 0)) * 积分!P3, "--")</f>
        <v>--</v>
      </c>
      <c r="Z3" s="2" cm="1">
        <f t="array" ref="Z3">IFERROR(INDEX([7]Sheet1!$D:$D, MATCH(1, ([7]Sheet1!$B:$B=A3) * ([7]Sheet1!$C:$C="多学科联合(MDT)门诊"), 0)) * 积分!Q3, "--")</f>
        <v>0</v>
      </c>
      <c r="AA3" s="2" t="str" cm="1">
        <f t="array" ref="AA3">IFERROR(INDEX([7]Sheet1!$D:$D, MATCH(1, ([7]Sheet1!$B:$B=A3) * ([7]Sheet1!$C:$C="核算金额"), 0)) * 积分!R3, "--")</f>
        <v>--</v>
      </c>
      <c r="AB3" s="2" t="str" cm="1">
        <f t="array" ref="AB3">IFERROR(INDEX([7]Sheet1!$D:$D, MATCH(1, ([7]Sheet1!$B:$B=A3) * ([7]Sheet1!$C:$C="单据"), 0)), "--")</f>
        <v>--</v>
      </c>
      <c r="AC3" s="2" cm="1">
        <f t="array" ref="AC3">IFERROR(INDEX([7]Sheet1!$D:$D, MATCH(1, ([7]Sheet1!$B:$B=A3) * ([7]Sheet1!$C:$C="特需门诊"), 0)) * 积分!S3, "--")</f>
        <v>0</v>
      </c>
      <c r="AD3" s="2" cm="1">
        <f t="array" ref="AD3">IFERROR(INDEX([7]Sheet1!$D:$D, MATCH(1, ([7]Sheet1!$B:$B=A3) * ([7]Sheet1!$C:$C="中医会诊"), 0)) * 积分!T3, "--")</f>
        <v>0</v>
      </c>
      <c r="AE3" s="2">
        <f>积分!U3*0</f>
        <v>0</v>
      </c>
      <c r="AF3" s="2">
        <f>-3992.16*积分!V3</f>
        <v>-3992.16</v>
      </c>
      <c r="AG3" s="2">
        <f>-3992.16*积分!W3</f>
        <v>0</v>
      </c>
      <c r="AH3" s="2">
        <f>-3992.16*积分!X3</f>
        <v>0</v>
      </c>
      <c r="AI3" s="2">
        <f>IFERROR(INDEX([4]Sheet1!$AD:$AD, MATCH(A3, [4]Sheet1!$A:$A, 0)) * 积分!AA3, "--")</f>
        <v>0</v>
      </c>
      <c r="AJ3" s="2">
        <f>IFERROR(INDEX([4]Sheet1!$AC:$AC, MATCH(A3, [4]Sheet1!$A:$A, 0)) * 积分!AB3, "--")</f>
        <v>900</v>
      </c>
      <c r="AK3" s="2">
        <f>IFERROR(INDEX([4]Sheet1!$AE:$AE, MATCH(A3, [4]Sheet1!$A:$A, 0)) * 积分!AC3, "--")</f>
        <v>231.08</v>
      </c>
      <c r="AL3" s="2">
        <f>IFERROR(INDEX([4]Sheet1!$AF:$AF, MATCH(A3, [4]Sheet1!$A:$A, 0)) * 积分!AD3, "--")</f>
        <v>249.6</v>
      </c>
      <c r="AM3" s="2">
        <f>IFERROR(INDEX([4]Sheet1!$AG:$AG, MATCH(A3, [4]Sheet1!$A:$A, 0)) * 积分!AE3, "--")</f>
        <v>0</v>
      </c>
      <c r="AN3" s="2">
        <f>IFERROR(INDEX([4]Sheet1!$AH:$AH, MATCH(A3, [4]Sheet1!$A:$A, 0)) * 积分!AF3, "--")</f>
        <v>0</v>
      </c>
      <c r="AO3" s="2">
        <f>IFERROR(INDEX([4]Sheet1!$AI:$AI, MATCH(A3, [4]Sheet1!$A:$A, 0)) * 积分!AG3, "--")</f>
        <v>0</v>
      </c>
      <c r="AP3" s="2">
        <f>IFERROR(INDEX([4]Sheet1!$AJ:$AJ, MATCH(A3, [4]Sheet1!$A:$A, 0)) * 积分!AH3, "--")</f>
        <v>0</v>
      </c>
      <c r="AQ3" s="2">
        <v>0</v>
      </c>
      <c r="AR3" s="2">
        <v>0</v>
      </c>
      <c r="AS3" s="12" t="s">
        <v>117</v>
      </c>
      <c r="AT3" s="12" t="s">
        <v>117</v>
      </c>
      <c r="AU3" s="12" t="s">
        <v>117</v>
      </c>
      <c r="AV3" s="12" t="s">
        <v>117</v>
      </c>
      <c r="AW3" s="12" t="s">
        <v>117</v>
      </c>
      <c r="AX3" s="12" t="s">
        <v>117</v>
      </c>
      <c r="AY3" s="12" t="s">
        <v>117</v>
      </c>
      <c r="AZ3" s="12" t="s">
        <v>117</v>
      </c>
      <c r="BA3" s="12" t="s">
        <v>117</v>
      </c>
      <c r="BB3" s="12" t="s">
        <v>117</v>
      </c>
      <c r="BC3" s="12" t="s">
        <v>117</v>
      </c>
    </row>
    <row r="4" spans="1:55" ht="25.65" customHeight="1" x14ac:dyDescent="0.25">
      <c r="A4" s="3" t="s">
        <v>37</v>
      </c>
      <c r="B4" s="4">
        <f>ROUND(IF(C4&lt;&gt;"--",C4,0)+IF(D4&lt;&gt;"--",D4,0)+IF(E4&lt;&gt;"--",E4,0),2)</f>
        <v>114747.84</v>
      </c>
      <c r="C4" s="4">
        <f>ROUND(IFERROR(L4+AG4+IF(AA4&lt;&gt;"--",AA4,0),"0"),2)</f>
        <v>16590</v>
      </c>
      <c r="D4" s="4">
        <f>ROUND(IF(F4&lt;&gt;"--",F4,0) + IF(G4&lt;&gt;"--",G4,0) + IF(H4&lt;&gt;"--",H4,0) + IF(I4&lt;&gt;"--",I4,0) + IF(J4&lt;&gt;"--",J4,0) + IF(K4&lt;&gt;"--",K4,0) +
IF(M4&lt;&gt;"--",M4,0) + IF(N4&lt;&gt;"--",N4,0) + IF(O4&lt;&gt;"--",O4,0) + IF(P4&lt;&gt;"--",P4,0) + IF(Q4&lt;&gt;"--",Q4,0) + IF(R4&lt;&gt;"--",R4,0) +
IF(S4&lt;&gt;"--",S4,0) + IF(T4&lt;&gt;"--",T4,0) + IF(U4&lt;&gt;"--",U4,0) + IF(V4&lt;&gt;"--",V4,0) + IF(W4&lt;&gt;"--",W4,0) + IF(X4&lt;&gt;"--",X4,0) +
IF(Z4&lt;&gt;"--",Z4,0) + IF(AA4&lt;&gt;"--",AA4,0) + IF(AB4&lt;&gt;"--",AB4,0) + IF(AC4&lt;&gt;"--",AC4,0) + IF(AF4&lt;&gt;"--",AF4,0) +
IF(AI4&lt;&gt;"--",AI4,0) + IF(AJ4&lt;&gt;"--",AJ4,0) + IF(AK4&lt;&gt;"--",AK4,0) + IF(AL4&lt;&gt;"--",AL4,0) + IF(AM4&lt;&gt;"--",AM4,0) +
IF(AN4&lt;&gt;"--",AN4,0) + IF(AO4&lt;&gt;"--",AO4,0) + IF(AP4&lt;&gt;"--",AP4,0),2)</f>
        <v>98157.84</v>
      </c>
      <c r="E4" s="4">
        <f>ROUND(IF(Y4&lt;&gt;"--",Y4,0)+IF(AD4&lt;&gt;"--",AD4,0)+IF(AH4&lt;&gt;"--",AH4,0),2)</f>
        <v>0</v>
      </c>
      <c r="F4" s="4" cm="1">
        <f t="array" ref="F4">IFERROR(
病区折扣比例(
(
INDEX([3]Sheet1!$I:$I, MATCH(A4, [3]Sheet1!$B:$B, 0))
/
次均费用!C4
)
)
*INDEX([4]Sheet1!$AL:$AL, MATCH(A4, [4]Sheet1!$A:$A, 0))
* 积分!B4, "--")</f>
        <v>30722.99</v>
      </c>
      <c r="G4" s="4">
        <f>IFERROR(INDEX([4]Sheet1!$AK:$AK, MATCH(A4, [4]Sheet1!$A:$A, 0)) * 积分!C4, "--")</f>
        <v>280</v>
      </c>
      <c r="H4" s="4">
        <f>IFERROR(INDEX([4]Sheet1!$AB:$AB, MATCH(A4, [4]Sheet1!$A:$A, 0)) * 积分!D4, "--")</f>
        <v>390</v>
      </c>
      <c r="I4" s="4">
        <f>IFERROR(INDEX([4]Sheet1!$AA:$AA, MATCH(A4, [4]Sheet1!$A:$A, 0)) * 积分!E4, "--")</f>
        <v>560</v>
      </c>
      <c r="J4" s="4">
        <f>IFERROR(INDEX([4]Sheet1!$Z:$Z, MATCH(A4, [4]Sheet1!$A:$A, 0)) * 积分!F4, "--")</f>
        <v>7840</v>
      </c>
      <c r="K4" s="4">
        <f>IFERROR(INDEX([4]Sheet1!$Y:$Y, MATCH(A4, [4]Sheet1!$A:$A, 0)) * 积分!G4, "--")</f>
        <v>54600</v>
      </c>
      <c r="L4" s="4" cm="1">
        <f t="array" ref="L4">IFERROR(
门诊折扣比例(
(
INDEX([5]Sheet1!$D:$D, MATCH(A4, [5]Sheet1!$B:$B, 0))
/
次均费用!B4
)
)
*INDEX([5]Sheet1!$C:$C, MATCH(A4, [5]Sheet1!$B:$B, 0))
* 积分!H4, "--")</f>
        <v>16590</v>
      </c>
      <c r="M4" s="4">
        <f>IFERROR(INDEX([3]Sheet1!$C:$C, MATCH(A4, [3]Sheet1!$B:$B, 0)) * 积分!I4, "--")</f>
        <v>0</v>
      </c>
      <c r="N4" s="4">
        <f>IFERROR(INDEX([3]Sheet1!$D:$D, MATCH(A4, [3]Sheet1!$B:$B, 0)) * 积分!J4, "--")</f>
        <v>27.6</v>
      </c>
      <c r="O4" s="4">
        <f>IFERROR(INDEX([3]Sheet1!$E:$E, MATCH(A4, [3]Sheet1!$B:$B, 0)) * 积分!K4, "--")</f>
        <v>27.599999999999998</v>
      </c>
      <c r="P4" s="4">
        <f>IFERROR(INDEX([3]Sheet1!$F:$F, MATCH(A4, [3]Sheet1!$B:$B, 0)) * 积分!L4, "--")</f>
        <v>0</v>
      </c>
      <c r="Q4" s="4">
        <f>IFERROR(INDEX([3]Sheet1!$G:$G, MATCH(A4, [3]Sheet1!$B:$B, 0)) * 积分!M4, "--")</f>
        <v>6221.7</v>
      </c>
      <c r="R4" s="4" t="str" cm="1">
        <f t="array" ref="R4">IFERROR(INDEX([6]Sheet1!$D:$D, MATCH(1, ([6]Sheet1!$B:$B=A4) * ([6]Sheet1!$C:$C="特级护理（临床）"), 0)) * 积分!AI4, "--")</f>
        <v>--</v>
      </c>
      <c r="S4" s="4" t="str" cm="1">
        <f t="array" ref="S4">IFERROR(INDEX([6]Sheet1!$D:$D, MATCH(1, ([6]Sheet1!$B:$B=A4) * ([6]Sheet1!$C:$C="重症监护（临床）"), 0)) * 积分!AJ4, "--")</f>
        <v>--</v>
      </c>
      <c r="T4" s="4" t="str" cm="1">
        <f t="array" ref="T4">IFERROR(INDEX([6]Sheet1!$D:$D, MATCH(1, ([6]Sheet1!$B:$B=A4) * ([6]Sheet1!$C:$C="Ⅰ级护理（临床）"), 0)) * 积分!AK4, "--")</f>
        <v>--</v>
      </c>
      <c r="U4" s="4" t="str" cm="1">
        <f t="array" ref="U4">IFERROR(INDEX([6]Sheet1!$D:$D, MATCH(1, ([6]Sheet1!$B:$B=A4) * ([6]Sheet1!$C:$C="Ⅱ级护理（临床）"), 0)) * 积分!AL4, "--")</f>
        <v>--</v>
      </c>
      <c r="V4" s="4" t="str" cm="1">
        <f t="array" ref="V4">IFERROR(INDEX([6]Sheet1!$D:$D, MATCH(1, ([6]Sheet1!$B:$B=A4) * ([6]Sheet1!$C:$C="护士中医适宜技术（临床）"), 0)) * 积分!AM4, "--")</f>
        <v>--</v>
      </c>
      <c r="W4" s="4">
        <f>IFERROR(INDEX([3]Sheet1!$H:$H, MATCH(A4, [3]Sheet1!$B:$B, 0)) * 积分!N4, "--")</f>
        <v>0</v>
      </c>
      <c r="X4" s="4">
        <f>IFERROR(INDEX([3]Sheet1!$J:$J, MATCH(A4, [3]Sheet1!$B:$B, 0)) * 积分!O4, "--")</f>
        <v>0</v>
      </c>
      <c r="Y4" s="4" t="str" cm="1">
        <f t="array" ref="Y4">IFERROR(INDEX([7]Sheet1!$D:$D, MATCH(1, ([7]Sheet1!$B:$B=A4) * ([7]Sheet1!$C:$C="单位系数"), 0)) * 积分!P4, "--")</f>
        <v>--</v>
      </c>
      <c r="Z4" s="4" cm="1">
        <f t="array" ref="Z4">IFERROR(INDEX([7]Sheet1!$D:$D, MATCH(1, ([7]Sheet1!$B:$B=A4) * ([7]Sheet1!$C:$C="多学科联合(MDT)门诊"), 0)) * 积分!Q4, "--")</f>
        <v>0</v>
      </c>
      <c r="AA4" s="4" t="str" cm="1">
        <f t="array" ref="AA4">IFERROR(INDEX([7]Sheet1!$D:$D, MATCH(1, ([7]Sheet1!$B:$B=A4) * ([7]Sheet1!$C:$C="核算金额"), 0)) * 积分!R4, "--")</f>
        <v>--</v>
      </c>
      <c r="AB4" s="4" t="str" cm="1">
        <f t="array" ref="AB4">IFERROR(INDEX([7]Sheet1!$D:$D, MATCH(1, ([7]Sheet1!$B:$B=A4) * ([7]Sheet1!$C:$C="单据"), 0)), "--")</f>
        <v>--</v>
      </c>
      <c r="AC4" s="4" cm="1">
        <f t="array" ref="AC4">IFERROR(INDEX([7]Sheet1!$D:$D, MATCH(1, ([7]Sheet1!$B:$B=A4) * ([7]Sheet1!$C:$C="特需门诊"), 0)) * 积分!S4, "--")</f>
        <v>0</v>
      </c>
      <c r="AD4" s="4" cm="1">
        <f t="array" ref="AD4">IFERROR(INDEX([7]Sheet1!$D:$D, MATCH(1, ([7]Sheet1!$B:$B=A4) * ([7]Sheet1!$C:$C="中医会诊"), 0)) * 积分!T4, "--")</f>
        <v>0</v>
      </c>
      <c r="AE4" s="4">
        <f>积分!U4*0</f>
        <v>0</v>
      </c>
      <c r="AF4" s="4">
        <f>-5097.41*积分!V4</f>
        <v>-5097.41</v>
      </c>
      <c r="AG4" s="4">
        <f>-5097.41*积分!W4</f>
        <v>0</v>
      </c>
      <c r="AH4" s="4">
        <f>-5097.41*积分!X4</f>
        <v>0</v>
      </c>
      <c r="AI4" s="4">
        <f>IFERROR(INDEX([4]Sheet1!$AD:$AD, MATCH(A4, [4]Sheet1!$A:$A, 0)) * 积分!AA4, "--")</f>
        <v>0</v>
      </c>
      <c r="AJ4" s="4">
        <f>IFERROR(INDEX([4]Sheet1!$AC:$AC, MATCH(A4, [4]Sheet1!$A:$A, 0)) * 积分!AB4, "--")</f>
        <v>0</v>
      </c>
      <c r="AK4" s="4">
        <f>IFERROR(INDEX([4]Sheet1!$AE:$AE, MATCH(A4, [4]Sheet1!$A:$A, 0)) * 积分!AC4, "--")</f>
        <v>738.48</v>
      </c>
      <c r="AL4" s="4">
        <f>IFERROR(INDEX([4]Sheet1!$AF:$AF, MATCH(A4, [4]Sheet1!$A:$A, 0)) * 积分!AD4, "--")</f>
        <v>1846.88</v>
      </c>
      <c r="AM4" s="4">
        <f>IFERROR(INDEX([4]Sheet1!$AG:$AG, MATCH(A4, [4]Sheet1!$A:$A, 0)) * 积分!AE4, "--")</f>
        <v>0</v>
      </c>
      <c r="AN4" s="4">
        <f>IFERROR(INDEX([4]Sheet1!$AH:$AH, MATCH(A4, [4]Sheet1!$A:$A, 0)) * 积分!AF4, "--")</f>
        <v>0</v>
      </c>
      <c r="AO4" s="4">
        <f>IFERROR(INDEX([4]Sheet1!$AI:$AI, MATCH(A4, [4]Sheet1!$A:$A, 0)) * 积分!AG4, "--")</f>
        <v>0</v>
      </c>
      <c r="AP4" s="4">
        <f>IFERROR(INDEX([4]Sheet1!$AJ:$AJ, MATCH(A4, [4]Sheet1!$A:$A, 0)) * 积分!AH4, "--")</f>
        <v>0</v>
      </c>
      <c r="AQ4" s="4">
        <v>0</v>
      </c>
      <c r="AR4" s="4">
        <v>0</v>
      </c>
      <c r="AS4" s="7" t="s">
        <v>117</v>
      </c>
      <c r="AT4" s="7" t="s">
        <v>117</v>
      </c>
      <c r="AU4" s="7" t="s">
        <v>117</v>
      </c>
      <c r="AV4" s="7" t="s">
        <v>117</v>
      </c>
      <c r="AW4" s="7" t="s">
        <v>117</v>
      </c>
      <c r="AX4" s="7" t="s">
        <v>117</v>
      </c>
      <c r="AY4" s="7" t="s">
        <v>117</v>
      </c>
      <c r="AZ4" s="7" t="s">
        <v>117</v>
      </c>
      <c r="BA4" s="7" t="s">
        <v>117</v>
      </c>
      <c r="BB4" s="7" t="s">
        <v>117</v>
      </c>
      <c r="BC4" s="7" t="s">
        <v>117</v>
      </c>
    </row>
    <row r="5" spans="1:55" ht="25.2" customHeight="1" x14ac:dyDescent="0.25">
      <c r="A5" s="1" t="s">
        <v>38</v>
      </c>
      <c r="B5" s="1">
        <f t="shared" ref="B5:B51" si="0">ROUND(IF(C5&lt;&gt;"--",C5,0)+IF(D5&lt;&gt;"--",D5,0)+IF(E5&lt;&gt;"--",E5,0),2)</f>
        <v>62903.41</v>
      </c>
      <c r="C5" s="2">
        <f t="shared" ref="C5:C44" si="1">ROUND(IFERROR(L5+AG5+IF(AA5&lt;&gt;"--",AA5,0),"0"),2)</f>
        <v>7329.6</v>
      </c>
      <c r="D5" s="2">
        <f t="shared" ref="D5:D44" si="2">ROUND(IF(F5&lt;&gt;"--",F5,0) + IF(G5&lt;&gt;"--",G5,0) + IF(H5&lt;&gt;"--",H5,0) + IF(I5&lt;&gt;"--",I5,0) + IF(J5&lt;&gt;"--",J5,0) + IF(K5&lt;&gt;"--",K5,0) +
IF(M5&lt;&gt;"--",M5,0) + IF(N5&lt;&gt;"--",N5,0) + IF(O5&lt;&gt;"--",O5,0) + IF(P5&lt;&gt;"--",P5,0) + IF(Q5&lt;&gt;"--",Q5,0) + IF(R5&lt;&gt;"--",R5,0) +
IF(S5&lt;&gt;"--",S5,0) + IF(T5&lt;&gt;"--",T5,0) + IF(U5&lt;&gt;"--",U5,0) + IF(V5&lt;&gt;"--",V5,0) + IF(W5&lt;&gt;"--",W5,0) + IF(X5&lt;&gt;"--",X5,0) +
IF(Z5&lt;&gt;"--",Z5,0) + IF(AA5&lt;&gt;"--",AA5,0) + IF(AB5&lt;&gt;"--",AB5,0) + IF(AC5&lt;&gt;"--",AC5,0) + IF(AF5&lt;&gt;"--",AF5,0) +
IF(AI5&lt;&gt;"--",AI5,0) + IF(AJ5&lt;&gt;"--",AJ5,0) + IF(AK5&lt;&gt;"--",AK5,0) + IF(AL5&lt;&gt;"--",AL5,0) + IF(AM5&lt;&gt;"--",AM5,0) +
IF(AN5&lt;&gt;"--",AN5,0) + IF(AO5&lt;&gt;"--",AO5,0) + IF(AP5&lt;&gt;"--",AP5,0),2)</f>
        <v>55573.81</v>
      </c>
      <c r="E5" s="2">
        <f t="shared" ref="E5:E44" si="3">ROUND(IF(Y5&lt;&gt;"--",Y5,0)+IF(AD5&lt;&gt;"--",AD5,0)+IF(AH5&lt;&gt;"--",AH5,0),2)</f>
        <v>0</v>
      </c>
      <c r="F5" s="2" cm="1">
        <f t="array" ref="F5">IFERROR(
病区折扣比例(
(
INDEX([3]Sheet1!$I:$I, MATCH(A5, [3]Sheet1!$B:$B, 0))
/
次均费用!C5
)
)
*INDEX([4]Sheet1!$AL:$AL, MATCH(A5, [4]Sheet1!$A:$A, 0))
* 积分!B5, "--")</f>
        <v>12774.465</v>
      </c>
      <c r="G5" s="2">
        <f>IFERROR(INDEX([4]Sheet1!$AK:$AK, MATCH(A5, [4]Sheet1!$A:$A, 0)) * 积分!C5, "--")</f>
        <v>240</v>
      </c>
      <c r="H5" s="2">
        <f>IFERROR(INDEX([4]Sheet1!$AB:$AB, MATCH(A5, [4]Sheet1!$A:$A, 0)) * 积分!D5, "--")</f>
        <v>270</v>
      </c>
      <c r="I5" s="2">
        <f>IFERROR(INDEX([4]Sheet1!$AA:$AA, MATCH(A5, [4]Sheet1!$A:$A, 0)) * 积分!E5, "--")</f>
        <v>4720</v>
      </c>
      <c r="J5" s="2">
        <f>IFERROR(INDEX([4]Sheet1!$Z:$Z, MATCH(A5, [4]Sheet1!$A:$A, 0)) * 积分!F5, "--")</f>
        <v>5760</v>
      </c>
      <c r="K5" s="2">
        <f>IFERROR(INDEX([4]Sheet1!$Y:$Y, MATCH(A5, [4]Sheet1!$A:$A, 0)) * 积分!G5, "--")</f>
        <v>17600</v>
      </c>
      <c r="L5" s="2" cm="1">
        <f t="array" ref="L5">IFERROR(
门诊折扣比例(
(
INDEX([5]Sheet1!$D:$D, MATCH(A5, [5]Sheet1!$B:$B, 0))
/
次均费用!B5
)
)
*INDEX([5]Sheet1!$C:$C, MATCH(A5, [5]Sheet1!$B:$B, 0))
* 积分!H5, "--")</f>
        <v>7329.6</v>
      </c>
      <c r="M5" s="2">
        <f>IFERROR(INDEX([3]Sheet1!$C:$C, MATCH(A5, [3]Sheet1!$B:$B, 0)) * 积分!I5, "--")</f>
        <v>0</v>
      </c>
      <c r="N5" s="2">
        <f>IFERROR(INDEX([3]Sheet1!$D:$D, MATCH(A5, [3]Sheet1!$B:$B, 0)) * 积分!J5, "--")</f>
        <v>27.6</v>
      </c>
      <c r="O5" s="2">
        <f>IFERROR(INDEX([3]Sheet1!$E:$E, MATCH(A5, [3]Sheet1!$B:$B, 0)) * 积分!K5, "--")</f>
        <v>0</v>
      </c>
      <c r="P5" s="2">
        <f>IFERROR(INDEX([3]Sheet1!$F:$F, MATCH(A5, [3]Sheet1!$B:$B, 0)) * 积分!L5, "--")</f>
        <v>0</v>
      </c>
      <c r="Q5" s="2">
        <f>IFERROR(INDEX([3]Sheet1!$G:$G, MATCH(A5, [3]Sheet1!$B:$B, 0)) * 积分!M5, "--")</f>
        <v>3614.4</v>
      </c>
      <c r="R5" s="2" t="str" cm="1">
        <f t="array" ref="R5">IFERROR(INDEX([6]Sheet1!$D:$D, MATCH(1, ([6]Sheet1!$B:$B=A5) * ([6]Sheet1!$C:$C="特级护理（临床）"), 0)) * 积分!AI5, "--")</f>
        <v>--</v>
      </c>
      <c r="S5" s="2" t="str" cm="1">
        <f t="array" ref="S5">IFERROR(INDEX([6]Sheet1!$D:$D, MATCH(1, ([6]Sheet1!$B:$B=A5) * ([6]Sheet1!$C:$C="重症监护（临床）"), 0)) * 积分!AJ5, "--")</f>
        <v>--</v>
      </c>
      <c r="T5" s="2" t="str" cm="1">
        <f t="array" ref="T5">IFERROR(INDEX([6]Sheet1!$D:$D, MATCH(1, ([6]Sheet1!$B:$B=A5) * ([6]Sheet1!$C:$C="Ⅰ级护理（临床）"), 0)) * 积分!AK5, "--")</f>
        <v>--</v>
      </c>
      <c r="U5" s="2" t="str" cm="1">
        <f t="array" ref="U5">IFERROR(INDEX([6]Sheet1!$D:$D, MATCH(1, ([6]Sheet1!$B:$B=A5) * ([6]Sheet1!$C:$C="Ⅱ级护理（临床）"), 0)) * 积分!AL5, "--")</f>
        <v>--</v>
      </c>
      <c r="V5" s="2" t="str" cm="1">
        <f t="array" ref="V5">IFERROR(INDEX([6]Sheet1!$D:$D, MATCH(1, ([6]Sheet1!$B:$B=A5) * ([6]Sheet1!$C:$C="护士中医适宜技术（临床）"), 0)) * 积分!AM5, "--")</f>
        <v>--</v>
      </c>
      <c r="W5" s="2">
        <f>IFERROR(INDEX([3]Sheet1!$H:$H, MATCH(A5, [3]Sheet1!$B:$B, 0)) * 积分!N5, "--")</f>
        <v>0</v>
      </c>
      <c r="X5" s="2">
        <f>IFERROR(INDEX([3]Sheet1!$J:$J, MATCH(A5, [3]Sheet1!$B:$B, 0)) * 积分!O5, "--")</f>
        <v>0</v>
      </c>
      <c r="Y5" s="2" t="str" cm="1">
        <f t="array" ref="Y5">IFERROR(INDEX([7]Sheet1!$D:$D, MATCH(1, ([7]Sheet1!$B:$B=A5) * ([7]Sheet1!$C:$C="单位系数"), 0)) * 积分!P5, "--")</f>
        <v>--</v>
      </c>
      <c r="Z5" s="2" cm="1">
        <f t="array" ref="Z5">IFERROR(INDEX([7]Sheet1!$D:$D, MATCH(1, ([7]Sheet1!$B:$B=A5) * ([7]Sheet1!$C:$C="多学科联合(MDT)门诊"), 0)) * 积分!Q5, "--")</f>
        <v>0</v>
      </c>
      <c r="AA5" s="2" t="str" cm="1">
        <f t="array" ref="AA5">IFERROR(INDEX([7]Sheet1!$D:$D, MATCH(1, ([7]Sheet1!$B:$B=A5) * ([7]Sheet1!$C:$C="核算金额"), 0)) * 积分!R5, "--")</f>
        <v>--</v>
      </c>
      <c r="AB5" s="2" t="str" cm="1">
        <f t="array" ref="AB5">IFERROR(INDEX([7]Sheet1!$D:$D, MATCH(1, ([7]Sheet1!$B:$B=A5) * ([7]Sheet1!$C:$C="单据"), 0)), "--")</f>
        <v>--</v>
      </c>
      <c r="AC5" s="2" cm="1">
        <f t="array" ref="AC5">IFERROR(INDEX([7]Sheet1!$D:$D, MATCH(1, ([7]Sheet1!$B:$B=A5) * ([7]Sheet1!$C:$C="特需门诊"), 0)) * 积分!S5, "--")</f>
        <v>0</v>
      </c>
      <c r="AD5" s="2" cm="1">
        <f t="array" ref="AD5">IFERROR(INDEX([7]Sheet1!$D:$D, MATCH(1, ([7]Sheet1!$B:$B=A5) * ([7]Sheet1!$C:$C="中医会诊"), 0)) * 积分!T5, "--")</f>
        <v>0</v>
      </c>
      <c r="AE5" s="2">
        <f>积分!U5*0</f>
        <v>0</v>
      </c>
      <c r="AF5" s="2">
        <f>-5914.53*积分!V5</f>
        <v>-5914.53</v>
      </c>
      <c r="AG5" s="2">
        <f>-5914.53*积分!W5</f>
        <v>0</v>
      </c>
      <c r="AH5" s="2">
        <f>-5914.53*积分!X5</f>
        <v>0</v>
      </c>
      <c r="AI5" s="2">
        <f>IFERROR(INDEX([4]Sheet1!$AD:$AD, MATCH(A5, [4]Sheet1!$A:$A, 0)) * 积分!AA5, "--")</f>
        <v>320</v>
      </c>
      <c r="AJ5" s="2">
        <f>IFERROR(INDEX([4]Sheet1!$AC:$AC, MATCH(A5, [4]Sheet1!$A:$A, 0)) * 积分!AB5, "--")</f>
        <v>2750</v>
      </c>
      <c r="AK5" s="2">
        <f>IFERROR(INDEX([4]Sheet1!$AE:$AE, MATCH(A5, [4]Sheet1!$A:$A, 0)) * 积分!AC5, "--")</f>
        <v>4880.46</v>
      </c>
      <c r="AL5" s="2">
        <f>IFERROR(INDEX([4]Sheet1!$AF:$AF, MATCH(A5, [4]Sheet1!$A:$A, 0)) * 积分!AD5, "--")</f>
        <v>8531.41</v>
      </c>
      <c r="AM5" s="2">
        <f>IFERROR(INDEX([4]Sheet1!$AG:$AG, MATCH(A5, [4]Sheet1!$A:$A, 0)) * 积分!AE5, "--")</f>
        <v>0</v>
      </c>
      <c r="AN5" s="2">
        <f>IFERROR(INDEX([4]Sheet1!$AH:$AH, MATCH(A5, [4]Sheet1!$A:$A, 0)) * 积分!AF5, "--")</f>
        <v>0</v>
      </c>
      <c r="AO5" s="2">
        <f>IFERROR(INDEX([4]Sheet1!$AI:$AI, MATCH(A5, [4]Sheet1!$A:$A, 0)) * 积分!AG5, "--")</f>
        <v>0</v>
      </c>
      <c r="AP5" s="2">
        <f>IFERROR(INDEX([4]Sheet1!$AJ:$AJ, MATCH(A5, [4]Sheet1!$A:$A, 0)) * 积分!AH5, "--")</f>
        <v>0</v>
      </c>
      <c r="AQ5" s="2">
        <v>0</v>
      </c>
      <c r="AR5" s="2">
        <v>0</v>
      </c>
      <c r="AS5" s="12" t="s">
        <v>117</v>
      </c>
      <c r="AT5" s="12" t="s">
        <v>117</v>
      </c>
      <c r="AU5" s="12" t="s">
        <v>117</v>
      </c>
      <c r="AV5" s="12" t="s">
        <v>117</v>
      </c>
      <c r="AW5" s="12" t="s">
        <v>117</v>
      </c>
      <c r="AX5" s="12" t="s">
        <v>117</v>
      </c>
      <c r="AY5" s="12" t="s">
        <v>117</v>
      </c>
      <c r="AZ5" s="12" t="s">
        <v>117</v>
      </c>
      <c r="BA5" s="12" t="s">
        <v>117</v>
      </c>
      <c r="BB5" s="12" t="s">
        <v>117</v>
      </c>
      <c r="BC5" s="12" t="s">
        <v>117</v>
      </c>
    </row>
    <row r="6" spans="1:55" ht="25.65" customHeight="1" x14ac:dyDescent="0.25">
      <c r="A6" s="3" t="s">
        <v>39</v>
      </c>
      <c r="B6" s="4">
        <f t="shared" si="0"/>
        <v>35364.050000000003</v>
      </c>
      <c r="C6" s="4">
        <f t="shared" si="1"/>
        <v>3622.08</v>
      </c>
      <c r="D6" s="4">
        <f t="shared" si="2"/>
        <v>31741.97</v>
      </c>
      <c r="E6" s="4">
        <f t="shared" si="3"/>
        <v>0</v>
      </c>
      <c r="F6" s="4" cm="1">
        <f t="array" ref="F6">IFERROR(
病区折扣比例(
(
INDEX([3]Sheet1!$I:$I, MATCH(A6, [3]Sheet1!$B:$B, 0))
/
次均费用!C6
)
)
*INDEX([4]Sheet1!$AL:$AL, MATCH(A6, [4]Sheet1!$A:$A, 0))
* 积分!B6, "--")</f>
        <v>9361.44</v>
      </c>
      <c r="G6" s="4">
        <f>IFERROR(INDEX([4]Sheet1!$AK:$AK, MATCH(A6, [4]Sheet1!$A:$A, 0)) * 积分!C6, "--")</f>
        <v>340</v>
      </c>
      <c r="H6" s="4">
        <f>IFERROR(INDEX([4]Sheet1!$AB:$AB, MATCH(A6, [4]Sheet1!$A:$A, 0)) * 积分!D6, "--")</f>
        <v>120</v>
      </c>
      <c r="I6" s="4">
        <f>IFERROR(INDEX([4]Sheet1!$AA:$AA, MATCH(A6, [4]Sheet1!$A:$A, 0)) * 积分!E6, "--")</f>
        <v>3600</v>
      </c>
      <c r="J6" s="4">
        <f>IFERROR(INDEX([4]Sheet1!$Z:$Z, MATCH(A6, [4]Sheet1!$A:$A, 0)) * 积分!F6, "--")</f>
        <v>4320</v>
      </c>
      <c r="K6" s="4">
        <f>IFERROR(INDEX([4]Sheet1!$Y:$Y, MATCH(A6, [4]Sheet1!$A:$A, 0)) * 积分!G6, "--")</f>
        <v>9900</v>
      </c>
      <c r="L6" s="4" cm="1">
        <f t="array" ref="L6">IFERROR(
门诊折扣比例(
(
INDEX([5]Sheet1!$D:$D, MATCH(A6, [5]Sheet1!$B:$B, 0))
/
次均费用!B6
)
)
*INDEX([5]Sheet1!$C:$C, MATCH(A6, [5]Sheet1!$B:$B, 0))
* 积分!H6, "--")</f>
        <v>3622.0800000000004</v>
      </c>
      <c r="M6" s="4">
        <f>IFERROR(INDEX([3]Sheet1!$C:$C, MATCH(A6, [3]Sheet1!$B:$B, 0)) * 积分!I6, "--")</f>
        <v>0</v>
      </c>
      <c r="N6" s="4">
        <f>IFERROR(INDEX([3]Sheet1!$D:$D, MATCH(A6, [3]Sheet1!$B:$B, 0)) * 积分!J6, "--")</f>
        <v>0</v>
      </c>
      <c r="O6" s="4">
        <f>IFERROR(INDEX([3]Sheet1!$E:$E, MATCH(A6, [3]Sheet1!$B:$B, 0)) * 积分!K6, "--")</f>
        <v>9.1999999999999993</v>
      </c>
      <c r="P6" s="4">
        <f>IFERROR(INDEX([3]Sheet1!$F:$F, MATCH(A6, [3]Sheet1!$B:$B, 0)) * 积分!L6, "--")</f>
        <v>0</v>
      </c>
      <c r="Q6" s="4">
        <f>IFERROR(INDEX([3]Sheet1!$G:$G, MATCH(A6, [3]Sheet1!$B:$B, 0)) * 积分!M6, "--")</f>
        <v>1350</v>
      </c>
      <c r="R6" s="4" t="str" cm="1">
        <f t="array" ref="R6">IFERROR(INDEX([6]Sheet1!$D:$D, MATCH(1, ([6]Sheet1!$B:$B=A6) * ([6]Sheet1!$C:$C="特级护理（临床）"), 0)) * 积分!AI6, "--")</f>
        <v>--</v>
      </c>
      <c r="S6" s="4" t="str" cm="1">
        <f t="array" ref="S6">IFERROR(INDEX([6]Sheet1!$D:$D, MATCH(1, ([6]Sheet1!$B:$B=A6) * ([6]Sheet1!$C:$C="重症监护（临床）"), 0)) * 积分!AJ6, "--")</f>
        <v>--</v>
      </c>
      <c r="T6" s="4" t="str" cm="1">
        <f t="array" ref="T6">IFERROR(INDEX([6]Sheet1!$D:$D, MATCH(1, ([6]Sheet1!$B:$B=A6) * ([6]Sheet1!$C:$C="Ⅰ级护理（临床）"), 0)) * 积分!AK6, "--")</f>
        <v>--</v>
      </c>
      <c r="U6" s="4" t="str" cm="1">
        <f t="array" ref="U6">IFERROR(INDEX([6]Sheet1!$D:$D, MATCH(1, ([6]Sheet1!$B:$B=A6) * ([6]Sheet1!$C:$C="Ⅱ级护理（临床）"), 0)) * 积分!AL6, "--")</f>
        <v>--</v>
      </c>
      <c r="V6" s="4" t="str" cm="1">
        <f t="array" ref="V6">IFERROR(INDEX([6]Sheet1!$D:$D, MATCH(1, ([6]Sheet1!$B:$B=A6) * ([6]Sheet1!$C:$C="护士中医适宜技术（临床）"), 0)) * 积分!AM6, "--")</f>
        <v>--</v>
      </c>
      <c r="W6" s="4">
        <f>IFERROR(INDEX([3]Sheet1!$H:$H, MATCH(A6, [3]Sheet1!$B:$B, 0)) * 积分!N6, "--")</f>
        <v>0</v>
      </c>
      <c r="X6" s="4">
        <f>IFERROR(INDEX([3]Sheet1!$J:$J, MATCH(A6, [3]Sheet1!$B:$B, 0)) * 积分!O6, "--")</f>
        <v>0</v>
      </c>
      <c r="Y6" s="4" t="str" cm="1">
        <f t="array" ref="Y6">IFERROR(INDEX([7]Sheet1!$D:$D, MATCH(1, ([7]Sheet1!$B:$B=A6) * ([7]Sheet1!$C:$C="单位系数"), 0)) * 积分!P6, "--")</f>
        <v>--</v>
      </c>
      <c r="Z6" s="4" cm="1">
        <f t="array" ref="Z6">IFERROR(INDEX([7]Sheet1!$D:$D, MATCH(1, ([7]Sheet1!$B:$B=A6) * ([7]Sheet1!$C:$C="多学科联合(MDT)门诊"), 0)) * 积分!Q6, "--")</f>
        <v>0</v>
      </c>
      <c r="AA6" s="4" t="str" cm="1">
        <f t="array" ref="AA6">IFERROR(INDEX([7]Sheet1!$D:$D, MATCH(1, ([7]Sheet1!$B:$B=A6) * ([7]Sheet1!$C:$C="核算金额"), 0)) * 积分!R6, "--")</f>
        <v>--</v>
      </c>
      <c r="AB6" s="4" t="str" cm="1">
        <f t="array" ref="AB6">IFERROR(INDEX([7]Sheet1!$D:$D, MATCH(1, ([7]Sheet1!$B:$B=A6) * ([7]Sheet1!$C:$C="单据"), 0)), "--")</f>
        <v>--</v>
      </c>
      <c r="AC6" s="4" cm="1">
        <f t="array" ref="AC6">IFERROR(INDEX([7]Sheet1!$D:$D, MATCH(1, ([7]Sheet1!$B:$B=A6) * ([7]Sheet1!$C:$C="特需门诊"), 0)) * 积分!S6, "--")</f>
        <v>0</v>
      </c>
      <c r="AD6" s="4" cm="1">
        <f t="array" ref="AD6">IFERROR(INDEX([7]Sheet1!$D:$D, MATCH(1, ([7]Sheet1!$B:$B=A6) * ([7]Sheet1!$C:$C="中医会诊"), 0)) * 积分!T6, "--")</f>
        <v>0</v>
      </c>
      <c r="AE6" s="4">
        <f>积分!U6*0</f>
        <v>0</v>
      </c>
      <c r="AF6" s="4">
        <f>-1111.01*积分!V6</f>
        <v>-1111.01</v>
      </c>
      <c r="AG6" s="4">
        <f>-1111.01*积分!W6</f>
        <v>0</v>
      </c>
      <c r="AH6" s="4">
        <f>-1111.01*积分!X6</f>
        <v>0</v>
      </c>
      <c r="AI6" s="4">
        <f>IFERROR(INDEX([4]Sheet1!$AD:$AD, MATCH(A6, [4]Sheet1!$A:$A, 0)) * 积分!AA6, "--")</f>
        <v>640</v>
      </c>
      <c r="AJ6" s="4">
        <f>IFERROR(INDEX([4]Sheet1!$AC:$AC, MATCH(A6, [4]Sheet1!$A:$A, 0)) * 积分!AB6, "--")</f>
        <v>2200</v>
      </c>
      <c r="AK6" s="4">
        <f>IFERROR(INDEX([4]Sheet1!$AE:$AE, MATCH(A6, [4]Sheet1!$A:$A, 0)) * 积分!AC6, "--")</f>
        <v>584.64</v>
      </c>
      <c r="AL6" s="4">
        <f>IFERROR(INDEX([4]Sheet1!$AF:$AF, MATCH(A6, [4]Sheet1!$A:$A, 0)) * 积分!AD6, "--")</f>
        <v>427.7</v>
      </c>
      <c r="AM6" s="4">
        <f>IFERROR(INDEX([4]Sheet1!$AG:$AG, MATCH(A6, [4]Sheet1!$A:$A, 0)) * 积分!AE6, "--")</f>
        <v>0</v>
      </c>
      <c r="AN6" s="4">
        <f>IFERROR(INDEX([4]Sheet1!$AH:$AH, MATCH(A6, [4]Sheet1!$A:$A, 0)) * 积分!AF6, "--")</f>
        <v>0</v>
      </c>
      <c r="AO6" s="4">
        <f>IFERROR(INDEX([4]Sheet1!$AI:$AI, MATCH(A6, [4]Sheet1!$A:$A, 0)) * 积分!AG6, "--")</f>
        <v>0</v>
      </c>
      <c r="AP6" s="4">
        <f>IFERROR(INDEX([4]Sheet1!$AJ:$AJ, MATCH(A6, [4]Sheet1!$A:$A, 0)) * 积分!AH6, "--")</f>
        <v>0</v>
      </c>
      <c r="AQ6" s="4">
        <v>0</v>
      </c>
      <c r="AR6" s="4">
        <v>0</v>
      </c>
      <c r="AS6" s="7" t="s">
        <v>117</v>
      </c>
      <c r="AT6" s="7" t="s">
        <v>117</v>
      </c>
      <c r="AU6" s="7" t="s">
        <v>117</v>
      </c>
      <c r="AV6" s="7" t="s">
        <v>117</v>
      </c>
      <c r="AW6" s="7" t="s">
        <v>117</v>
      </c>
      <c r="AX6" s="7" t="s">
        <v>117</v>
      </c>
      <c r="AY6" s="7" t="s">
        <v>117</v>
      </c>
      <c r="AZ6" s="7" t="s">
        <v>117</v>
      </c>
      <c r="BA6" s="7" t="s">
        <v>117</v>
      </c>
      <c r="BB6" s="7" t="s">
        <v>117</v>
      </c>
      <c r="BC6" s="7" t="s">
        <v>117</v>
      </c>
    </row>
    <row r="7" spans="1:55" ht="25.65" customHeight="1" x14ac:dyDescent="0.25">
      <c r="A7" s="1" t="s">
        <v>40</v>
      </c>
      <c r="B7" s="1">
        <f t="shared" si="0"/>
        <v>76549.210000000006</v>
      </c>
      <c r="C7" s="2">
        <f t="shared" si="1"/>
        <v>6442.47</v>
      </c>
      <c r="D7" s="2">
        <f t="shared" si="2"/>
        <v>70106.740000000005</v>
      </c>
      <c r="E7" s="2">
        <f t="shared" si="3"/>
        <v>0</v>
      </c>
      <c r="F7" s="2" cm="1">
        <f t="array" ref="F7">IFERROR(
病区折扣比例(
(
INDEX([3]Sheet1!$I:$I, MATCH(A7, [3]Sheet1!$B:$B, 0))
/
次均费用!C7
)
)
*INDEX([4]Sheet1!$AL:$AL, MATCH(A7, [4]Sheet1!$A:$A, 0))
* 积分!B7, "--")</f>
        <v>34262.513999999996</v>
      </c>
      <c r="G7" s="2">
        <f>IFERROR(INDEX([4]Sheet1!$AK:$AK, MATCH(A7, [4]Sheet1!$A:$A, 0)) * 积分!C7, "--")</f>
        <v>500</v>
      </c>
      <c r="H7" s="2">
        <f>IFERROR(INDEX([4]Sheet1!$AB:$AB, MATCH(A7, [4]Sheet1!$A:$A, 0)) * 积分!D7, "--")</f>
        <v>0</v>
      </c>
      <c r="I7" s="2">
        <f>IFERROR(INDEX([4]Sheet1!$AA:$AA, MATCH(A7, [4]Sheet1!$A:$A, 0)) * 积分!E7, "--")</f>
        <v>0</v>
      </c>
      <c r="J7" s="2">
        <f>IFERROR(INDEX([4]Sheet1!$Z:$Z, MATCH(A7, [4]Sheet1!$A:$A, 0)) * 积分!F7, "--")</f>
        <v>0</v>
      </c>
      <c r="K7" s="2">
        <f>IFERROR(INDEX([4]Sheet1!$Y:$Y, MATCH(A7, [4]Sheet1!$A:$A, 0)) * 积分!G7, "--")</f>
        <v>0</v>
      </c>
      <c r="L7" s="2" cm="1">
        <f t="array" ref="L7">IFERROR(
门诊折扣比例(
(
INDEX([5]Sheet1!$D:$D, MATCH(A7, [5]Sheet1!$B:$B, 0))
/
次均费用!B7
)
)
*INDEX([5]Sheet1!$C:$C, MATCH(A7, [5]Sheet1!$B:$B, 0))
* 积分!H7, "--")</f>
        <v>6442.4700000000012</v>
      </c>
      <c r="M7" s="2">
        <f>IFERROR(INDEX([3]Sheet1!$C:$C, MATCH(A7, [3]Sheet1!$B:$B, 0)) * 积分!I7, "--")</f>
        <v>0</v>
      </c>
      <c r="N7" s="2">
        <f>IFERROR(INDEX([3]Sheet1!$D:$D, MATCH(A7, [3]Sheet1!$B:$B, 0)) * 积分!J7, "--")</f>
        <v>13.8</v>
      </c>
      <c r="O7" s="2">
        <f>IFERROR(INDEX([3]Sheet1!$E:$E, MATCH(A7, [3]Sheet1!$B:$B, 0)) * 积分!K7, "--")</f>
        <v>18.399999999999999</v>
      </c>
      <c r="P7" s="2">
        <f>IFERROR(INDEX([3]Sheet1!$F:$F, MATCH(A7, [3]Sheet1!$B:$B, 0)) * 积分!L7, "--")</f>
        <v>21930</v>
      </c>
      <c r="Q7" s="2">
        <f>IFERROR(INDEX([3]Sheet1!$G:$G, MATCH(A7, [3]Sheet1!$B:$B, 0)) * 积分!M7, "--")</f>
        <v>7092</v>
      </c>
      <c r="R7" s="2" t="str" cm="1">
        <f t="array" ref="R7">IFERROR(INDEX([6]Sheet1!$D:$D, MATCH(1, ([6]Sheet1!$B:$B=A7) * ([6]Sheet1!$C:$C="特级护理（临床）"), 0)) * 积分!AI7, "--")</f>
        <v>--</v>
      </c>
      <c r="S7" s="2" t="str" cm="1">
        <f t="array" ref="S7">IFERROR(INDEX([6]Sheet1!$D:$D, MATCH(1, ([6]Sheet1!$B:$B=A7) * ([6]Sheet1!$C:$C="重症监护（临床）"), 0)) * 积分!AJ7, "--")</f>
        <v>--</v>
      </c>
      <c r="T7" s="2" t="str" cm="1">
        <f t="array" ref="T7">IFERROR(INDEX([6]Sheet1!$D:$D, MATCH(1, ([6]Sheet1!$B:$B=A7) * ([6]Sheet1!$C:$C="Ⅰ级护理（临床）"), 0)) * 积分!AK7, "--")</f>
        <v>--</v>
      </c>
      <c r="U7" s="2" t="str" cm="1">
        <f t="array" ref="U7">IFERROR(INDEX([6]Sheet1!$D:$D, MATCH(1, ([6]Sheet1!$B:$B=A7) * ([6]Sheet1!$C:$C="Ⅱ级护理（临床）"), 0)) * 积分!AL7, "--")</f>
        <v>--</v>
      </c>
      <c r="V7" s="2" t="str" cm="1">
        <f t="array" ref="V7">IFERROR(INDEX([6]Sheet1!$D:$D, MATCH(1, ([6]Sheet1!$B:$B=A7) * ([6]Sheet1!$C:$C="护士中医适宜技术（临床）"), 0)) * 积分!AM7, "--")</f>
        <v>--</v>
      </c>
      <c r="W7" s="2">
        <f>IFERROR(INDEX([3]Sheet1!$H:$H, MATCH(A7, [3]Sheet1!$B:$B, 0)) * 积分!N7, "--")</f>
        <v>0</v>
      </c>
      <c r="X7" s="2">
        <f>IFERROR(INDEX([3]Sheet1!$J:$J, MATCH(A7, [3]Sheet1!$B:$B, 0)) * 积分!O7, "--")</f>
        <v>0</v>
      </c>
      <c r="Y7" s="2" t="str" cm="1">
        <f t="array" ref="Y7">IFERROR(INDEX([7]Sheet1!$D:$D, MATCH(1, ([7]Sheet1!$B:$B=A7) * ([7]Sheet1!$C:$C="单位系数"), 0)) * 积分!P7, "--")</f>
        <v>--</v>
      </c>
      <c r="Z7" s="2" cm="1">
        <f t="array" ref="Z7">IFERROR(INDEX([7]Sheet1!$D:$D, MATCH(1, ([7]Sheet1!$B:$B=A7) * ([7]Sheet1!$C:$C="多学科联合(MDT)门诊"), 0)) * 积分!Q7, "--")</f>
        <v>0</v>
      </c>
      <c r="AA7" s="2" t="str" cm="1">
        <f t="array" ref="AA7">IFERROR(INDEX([7]Sheet1!$D:$D, MATCH(1, ([7]Sheet1!$B:$B=A7) * ([7]Sheet1!$C:$C="核算金额"), 0)) * 积分!R7, "--")</f>
        <v>--</v>
      </c>
      <c r="AB7" s="2" t="str" cm="1">
        <f t="array" ref="AB7">IFERROR(INDEX([7]Sheet1!$D:$D, MATCH(1, ([7]Sheet1!$B:$B=A7) * ([7]Sheet1!$C:$C="单据"), 0)), "--")</f>
        <v>--</v>
      </c>
      <c r="AC7" s="2" cm="1">
        <f t="array" ref="AC7">IFERROR(INDEX([7]Sheet1!$D:$D, MATCH(1, ([7]Sheet1!$B:$B=A7) * ([7]Sheet1!$C:$C="特需门诊"), 0)) * 积分!S7, "--")</f>
        <v>0</v>
      </c>
      <c r="AD7" s="2" cm="1">
        <f t="array" ref="AD7">IFERROR(INDEX([7]Sheet1!$D:$D, MATCH(1, ([7]Sheet1!$B:$B=A7) * ([7]Sheet1!$C:$C="中医会诊"), 0)) * 积分!T7, "--")</f>
        <v>0</v>
      </c>
      <c r="AE7" s="2">
        <f>积分!U7*0</f>
        <v>0</v>
      </c>
      <c r="AF7" s="2">
        <f>IFERROR(-814.71*积分!V7,"0")</f>
        <v>-814.71</v>
      </c>
      <c r="AG7" s="2">
        <f>-814.71*积分!W7</f>
        <v>0</v>
      </c>
      <c r="AH7" s="2">
        <f>-814.71*积分!X7</f>
        <v>0</v>
      </c>
      <c r="AI7" s="2">
        <f>IFERROR(INDEX([4]Sheet1!$AD:$AD, MATCH(A7, [4]Sheet1!$A:$A, 0)) * 积分!AA7, "--")</f>
        <v>0</v>
      </c>
      <c r="AJ7" s="2">
        <f>IFERROR(INDEX([4]Sheet1!$AC:$AC, MATCH(A7, [4]Sheet1!$A:$A, 0)) * 积分!AB7, "--")</f>
        <v>0</v>
      </c>
      <c r="AK7" s="2">
        <f>IFERROR(INDEX([4]Sheet1!$AE:$AE, MATCH(A7, [4]Sheet1!$A:$A, 0)) * 积分!AC7, "--")</f>
        <v>365.98</v>
      </c>
      <c r="AL7" s="2">
        <f>IFERROR(INDEX([4]Sheet1!$AF:$AF, MATCH(A7, [4]Sheet1!$A:$A, 0)) * 积分!AD7, "--")</f>
        <v>6738.7599999999993</v>
      </c>
      <c r="AM7" s="2">
        <f>IFERROR(INDEX([4]Sheet1!$AG:$AG, MATCH(A7, [4]Sheet1!$A:$A, 0)) * 积分!AE7, "--")</f>
        <v>0</v>
      </c>
      <c r="AN7" s="2">
        <f>IFERROR(INDEX([4]Sheet1!$AH:$AH, MATCH(A7, [4]Sheet1!$A:$A, 0)) * 积分!AF7, "--")</f>
        <v>0</v>
      </c>
      <c r="AO7" s="2">
        <f>IFERROR(INDEX([4]Sheet1!$AI:$AI, MATCH(A7, [4]Sheet1!$A:$A, 0)) * 积分!AG7, "--")</f>
        <v>0</v>
      </c>
      <c r="AP7" s="2">
        <f>IFERROR(INDEX([4]Sheet1!$AJ:$AJ, MATCH(A7, [4]Sheet1!$A:$A, 0)) * 积分!AH7, "--")</f>
        <v>0</v>
      </c>
      <c r="AQ7" s="2">
        <v>0</v>
      </c>
      <c r="AR7" s="2">
        <v>0</v>
      </c>
      <c r="AS7" s="12" t="s">
        <v>117</v>
      </c>
      <c r="AT7" s="12" t="s">
        <v>117</v>
      </c>
      <c r="AU7" s="12" t="s">
        <v>117</v>
      </c>
      <c r="AV7" s="12" t="s">
        <v>117</v>
      </c>
      <c r="AW7" s="12" t="s">
        <v>117</v>
      </c>
      <c r="AX7" s="12" t="s">
        <v>117</v>
      </c>
      <c r="AY7" s="12" t="s">
        <v>117</v>
      </c>
      <c r="AZ7" s="12" t="s">
        <v>117</v>
      </c>
      <c r="BA7" s="12" t="s">
        <v>117</v>
      </c>
      <c r="BB7" s="12" t="s">
        <v>117</v>
      </c>
      <c r="BC7" s="12" t="s">
        <v>117</v>
      </c>
    </row>
    <row r="8" spans="1:55" ht="25.65" customHeight="1" x14ac:dyDescent="0.25">
      <c r="A8" s="3" t="s">
        <v>41</v>
      </c>
      <c r="B8" s="4">
        <f t="shared" si="0"/>
        <v>56694.65</v>
      </c>
      <c r="C8" s="4">
        <f t="shared" si="1"/>
        <v>4092.99</v>
      </c>
      <c r="D8" s="4">
        <f t="shared" si="2"/>
        <v>52601.66</v>
      </c>
      <c r="E8" s="4">
        <f t="shared" si="3"/>
        <v>0</v>
      </c>
      <c r="F8" s="4" cm="1">
        <f t="array" ref="F8">IFERROR(
病区折扣比例(
(
INDEX([3]Sheet1!$I:$I, MATCH(A8, [3]Sheet1!$B:$B, 0))
/
次均费用!C8
)
)
*INDEX([4]Sheet1!$AL:$AL, MATCH(A8, [4]Sheet1!$A:$A, 0))
* 积分!B8, "--")</f>
        <v>21896.16</v>
      </c>
      <c r="G8" s="4">
        <f>IFERROR(INDEX([4]Sheet1!$AK:$AK, MATCH(A8, [4]Sheet1!$A:$A, 0)) * 积分!C8, "--")</f>
        <v>400</v>
      </c>
      <c r="H8" s="4">
        <f>IFERROR(INDEX([4]Sheet1!$AB:$AB, MATCH(A8, [4]Sheet1!$A:$A, 0)) * 积分!D8, "--")</f>
        <v>240</v>
      </c>
      <c r="I8" s="4">
        <f>IFERROR(INDEX([4]Sheet1!$AA:$AA, MATCH(A8, [4]Sheet1!$A:$A, 0)) * 积分!E8, "--")</f>
        <v>4480</v>
      </c>
      <c r="J8" s="4">
        <f>IFERROR(INDEX([4]Sheet1!$Z:$Z, MATCH(A8, [4]Sheet1!$A:$A, 0)) * 积分!F8, "--")</f>
        <v>5760</v>
      </c>
      <c r="K8" s="4">
        <f>IFERROR(INDEX([4]Sheet1!$Y:$Y, MATCH(A8, [4]Sheet1!$A:$A, 0)) * 积分!G8, "--")</f>
        <v>15400</v>
      </c>
      <c r="L8" s="4" cm="1">
        <f t="array" ref="L8">IFERROR(
门诊折扣比例(
(
INDEX([5]Sheet1!$D:$D, MATCH(A8, [5]Sheet1!$B:$B, 0))
/
次均费用!B8
)
)
*INDEX([5]Sheet1!$C:$C, MATCH(A8, [5]Sheet1!$B:$B, 0))
* 积分!H8, "--")</f>
        <v>4092.99</v>
      </c>
      <c r="M8" s="4">
        <f>IFERROR(INDEX([3]Sheet1!$C:$C, MATCH(A8, [3]Sheet1!$B:$B, 0)) * 积分!I8, "--")</f>
        <v>0</v>
      </c>
      <c r="N8" s="4">
        <f>IFERROR(INDEX([3]Sheet1!$D:$D, MATCH(A8, [3]Sheet1!$B:$B, 0)) * 积分!J8, "--")</f>
        <v>55.2</v>
      </c>
      <c r="O8" s="4">
        <f>IFERROR(INDEX([3]Sheet1!$E:$E, MATCH(A8, [3]Sheet1!$B:$B, 0)) * 积分!K8, "--")</f>
        <v>18.399999999999999</v>
      </c>
      <c r="P8" s="4">
        <f>IFERROR(INDEX([3]Sheet1!$F:$F, MATCH(A8, [3]Sheet1!$B:$B, 0)) * 积分!L8, "--")</f>
        <v>0</v>
      </c>
      <c r="Q8" s="4">
        <f>IFERROR(INDEX([3]Sheet1!$G:$G, MATCH(A8, [3]Sheet1!$B:$B, 0)) * 积分!M8, "--")</f>
        <v>2821.5</v>
      </c>
      <c r="R8" s="4" t="str" cm="1">
        <f t="array" ref="R8">IFERROR(INDEX([6]Sheet1!$D:$D, MATCH(1, ([6]Sheet1!$B:$B=A8) * ([6]Sheet1!$C:$C="特级护理（临床）"), 0)) * 积分!AI8, "--")</f>
        <v>--</v>
      </c>
      <c r="S8" s="4" t="str" cm="1">
        <f t="array" ref="S8">IFERROR(INDEX([6]Sheet1!$D:$D, MATCH(1, ([6]Sheet1!$B:$B=A8) * ([6]Sheet1!$C:$C="重症监护（临床）"), 0)) * 积分!AJ8, "--")</f>
        <v>--</v>
      </c>
      <c r="T8" s="4" t="str" cm="1">
        <f t="array" ref="T8">IFERROR(INDEX([6]Sheet1!$D:$D, MATCH(1, ([6]Sheet1!$B:$B=A8) * ([6]Sheet1!$C:$C="Ⅰ级护理（临床）"), 0)) * 积分!AK8, "--")</f>
        <v>--</v>
      </c>
      <c r="U8" s="4" t="str" cm="1">
        <f t="array" ref="U8">IFERROR(INDEX([6]Sheet1!$D:$D, MATCH(1, ([6]Sheet1!$B:$B=A8) * ([6]Sheet1!$C:$C="Ⅱ级护理（临床）"), 0)) * 积分!AL8, "--")</f>
        <v>--</v>
      </c>
      <c r="V8" s="4" t="str" cm="1">
        <f t="array" ref="V8">IFERROR(INDEX([6]Sheet1!$D:$D, MATCH(1, ([6]Sheet1!$B:$B=A8) * ([6]Sheet1!$C:$C="护士中医适宜技术（临床）"), 0)) * 积分!AM8, "--")</f>
        <v>--</v>
      </c>
      <c r="W8" s="4">
        <f>IFERROR(INDEX([3]Sheet1!$H:$H, MATCH(A8, [3]Sheet1!$B:$B, 0)) * 积分!N8, "--")</f>
        <v>0</v>
      </c>
      <c r="X8" s="4">
        <f>IFERROR(INDEX([3]Sheet1!$J:$J, MATCH(A8, [3]Sheet1!$B:$B, 0)) * 积分!O8, "--")</f>
        <v>0</v>
      </c>
      <c r="Y8" s="4" t="str" cm="1">
        <f t="array" ref="Y8">IFERROR(INDEX([7]Sheet1!$D:$D, MATCH(1, ([7]Sheet1!$B:$B=A8) * ([7]Sheet1!$C:$C="单位系数"), 0)) * 积分!P8, "--")</f>
        <v>--</v>
      </c>
      <c r="Z8" s="4" cm="1">
        <f t="array" ref="Z8">IFERROR(INDEX([7]Sheet1!$D:$D, MATCH(1, ([7]Sheet1!$B:$B=A8) * ([7]Sheet1!$C:$C="多学科联合(MDT)门诊"), 0)) * 积分!Q8, "--")</f>
        <v>0</v>
      </c>
      <c r="AA8" s="4" t="str" cm="1">
        <f t="array" ref="AA8">IFERROR(INDEX([7]Sheet1!$D:$D, MATCH(1, ([7]Sheet1!$B:$B=A8) * ([7]Sheet1!$C:$C="核算金额"), 0)) * 积分!R8, "--")</f>
        <v>--</v>
      </c>
      <c r="AB8" s="4" t="str" cm="1">
        <f t="array" ref="AB8">IFERROR(INDEX([7]Sheet1!$D:$D, MATCH(1, ([7]Sheet1!$B:$B=A8) * ([7]Sheet1!$C:$C="单据"), 0)), "--")</f>
        <v>--</v>
      </c>
      <c r="AC8" s="4" cm="1">
        <f t="array" ref="AC8">IFERROR(INDEX([7]Sheet1!$D:$D, MATCH(1, ([7]Sheet1!$B:$B=A8) * ([7]Sheet1!$C:$C="特需门诊"), 0)) * 积分!S8, "--")</f>
        <v>0</v>
      </c>
      <c r="AD8" s="4" cm="1">
        <f t="array" ref="AD8">IFERROR(INDEX([7]Sheet1!$D:$D, MATCH(1, ([7]Sheet1!$B:$B=A8) * ([7]Sheet1!$C:$C="中医会诊"), 0)) * 积分!T8, "--")</f>
        <v>0</v>
      </c>
      <c r="AE8" s="4">
        <f>积分!U8*0</f>
        <v>0</v>
      </c>
      <c r="AF8" s="4">
        <f>-613.14*积分!V8</f>
        <v>-613.14</v>
      </c>
      <c r="AG8" s="4">
        <f>-613.14*积分!W8</f>
        <v>0</v>
      </c>
      <c r="AH8" s="4">
        <f>-613.14*积分!X8</f>
        <v>0</v>
      </c>
      <c r="AI8" s="4">
        <f>IFERROR(INDEX([4]Sheet1!$AD:$AD, MATCH(A8, [4]Sheet1!$A:$A, 0)) * 积分!AA8, "--")</f>
        <v>0</v>
      </c>
      <c r="AJ8" s="4">
        <f>IFERROR(INDEX([4]Sheet1!$AC:$AC, MATCH(A8, [4]Sheet1!$A:$A, 0)) * 积分!AB8, "--")</f>
        <v>0</v>
      </c>
      <c r="AK8" s="4">
        <f>IFERROR(INDEX([4]Sheet1!$AE:$AE, MATCH(A8, [4]Sheet1!$A:$A, 0)) * 积分!AC8, "--")</f>
        <v>240.34</v>
      </c>
      <c r="AL8" s="4">
        <f>IFERROR(INDEX([4]Sheet1!$AF:$AF, MATCH(A8, [4]Sheet1!$A:$A, 0)) * 积分!AD8, "--")</f>
        <v>1903.1999999999998</v>
      </c>
      <c r="AM8" s="4">
        <f>IFERROR(INDEX([4]Sheet1!$AG:$AG, MATCH(A8, [4]Sheet1!$A:$A, 0)) * 积分!AE8, "--")</f>
        <v>0</v>
      </c>
      <c r="AN8" s="4">
        <f>IFERROR(INDEX([4]Sheet1!$AH:$AH, MATCH(A8, [4]Sheet1!$A:$A, 0)) * 积分!AF8, "--")</f>
        <v>0</v>
      </c>
      <c r="AO8" s="4">
        <f>IFERROR(INDEX([4]Sheet1!$AI:$AI, MATCH(A8, [4]Sheet1!$A:$A, 0)) * 积分!AG8, "--")</f>
        <v>0</v>
      </c>
      <c r="AP8" s="4">
        <f>IFERROR(INDEX([4]Sheet1!$AJ:$AJ, MATCH(A8, [4]Sheet1!$A:$A, 0)) * 积分!AH8, "--")</f>
        <v>0</v>
      </c>
      <c r="AQ8" s="4">
        <v>0</v>
      </c>
      <c r="AR8" s="4">
        <v>0</v>
      </c>
      <c r="AS8" s="7" t="s">
        <v>117</v>
      </c>
      <c r="AT8" s="7" t="s">
        <v>117</v>
      </c>
      <c r="AU8" s="7" t="s">
        <v>117</v>
      </c>
      <c r="AV8" s="7" t="s">
        <v>117</v>
      </c>
      <c r="AW8" s="7" t="s">
        <v>117</v>
      </c>
      <c r="AX8" s="7" t="s">
        <v>117</v>
      </c>
      <c r="AY8" s="7" t="s">
        <v>117</v>
      </c>
      <c r="AZ8" s="7" t="s">
        <v>117</v>
      </c>
      <c r="BA8" s="7" t="s">
        <v>117</v>
      </c>
      <c r="BB8" s="7" t="s">
        <v>117</v>
      </c>
      <c r="BC8" s="7" t="s">
        <v>117</v>
      </c>
    </row>
    <row r="9" spans="1:55" ht="25.65" customHeight="1" x14ac:dyDescent="0.25">
      <c r="A9" s="1" t="s">
        <v>42</v>
      </c>
      <c r="B9" s="1">
        <f t="shared" si="0"/>
        <v>139039.75</v>
      </c>
      <c r="C9" s="2">
        <f t="shared" si="1"/>
        <v>19840</v>
      </c>
      <c r="D9" s="2">
        <f t="shared" si="2"/>
        <v>119199.75</v>
      </c>
      <c r="E9" s="2">
        <f t="shared" si="3"/>
        <v>0</v>
      </c>
      <c r="F9" s="2" cm="1">
        <f t="array" ref="F9">IFERROR(
病区折扣比例(
(
INDEX([3]Sheet1!$I:$I, MATCH(A9, [3]Sheet1!$B:$B, 0))
/
次均费用!C9
)
)
*INDEX([4]Sheet1!$AL:$AL, MATCH(A9, [4]Sheet1!$A:$A, 0))
* 积分!B9, "--")</f>
        <v>33692.32</v>
      </c>
      <c r="G9" s="2">
        <f>IFERROR(INDEX([4]Sheet1!$AK:$AK, MATCH(A9, [4]Sheet1!$A:$A, 0)) * 积分!C9, "--")</f>
        <v>400</v>
      </c>
      <c r="H9" s="2">
        <f>IFERROR(INDEX([4]Sheet1!$AB:$AB, MATCH(A9, [4]Sheet1!$A:$A, 0)) * 积分!D9, "--")</f>
        <v>870</v>
      </c>
      <c r="I9" s="2">
        <f>IFERROR(INDEX([4]Sheet1!$AA:$AA, MATCH(A9, [4]Sheet1!$A:$A, 0)) * 积分!E9, "--")</f>
        <v>10480</v>
      </c>
      <c r="J9" s="2">
        <f>IFERROR(INDEX([4]Sheet1!$Z:$Z, MATCH(A9, [4]Sheet1!$A:$A, 0)) * 积分!F9, "--")</f>
        <v>37120</v>
      </c>
      <c r="K9" s="2">
        <f>IFERROR(INDEX([4]Sheet1!$Y:$Y, MATCH(A9, [4]Sheet1!$A:$A, 0)) * 积分!G9, "--")</f>
        <v>26400</v>
      </c>
      <c r="L9" s="2" cm="1">
        <f t="array" ref="L9">IFERROR(
门诊折扣比例(
(
INDEX([5]Sheet1!$D:$D, MATCH(A9, [5]Sheet1!$B:$B, 0))
/
次均费用!B9
)
)
*INDEX([5]Sheet1!$C:$C, MATCH(A9, [5]Sheet1!$B:$B, 0))
* 积分!H9, "--")</f>
        <v>19840</v>
      </c>
      <c r="M9" s="2">
        <f>IFERROR(INDEX([3]Sheet1!$C:$C, MATCH(A9, [3]Sheet1!$B:$B, 0)) * 积分!I9, "--")</f>
        <v>0</v>
      </c>
      <c r="N9" s="2">
        <f>IFERROR(INDEX([3]Sheet1!$D:$D, MATCH(A9, [3]Sheet1!$B:$B, 0)) * 积分!J9, "--")</f>
        <v>13.8</v>
      </c>
      <c r="O9" s="2">
        <f>IFERROR(INDEX([3]Sheet1!$E:$E, MATCH(A9, [3]Sheet1!$B:$B, 0)) * 积分!K9, "--")</f>
        <v>0</v>
      </c>
      <c r="P9" s="2">
        <f>IFERROR(INDEX([3]Sheet1!$F:$F, MATCH(A9, [3]Sheet1!$B:$B, 0)) * 积分!L9, "--")</f>
        <v>0</v>
      </c>
      <c r="Q9" s="2">
        <f>IFERROR(INDEX([3]Sheet1!$G:$G, MATCH(A9, [3]Sheet1!$B:$B, 0)) * 积分!M9, "--")</f>
        <v>3538.35</v>
      </c>
      <c r="R9" s="2" t="str" cm="1">
        <f t="array" ref="R9">IFERROR(INDEX([6]Sheet1!$D:$D, MATCH(1, ([6]Sheet1!$B:$B=A9) * ([6]Sheet1!$C:$C="特级护理（临床）"), 0)) * 积分!AI9, "--")</f>
        <v>--</v>
      </c>
      <c r="S9" s="2" t="str" cm="1">
        <f t="array" ref="S9">IFERROR(INDEX([6]Sheet1!$D:$D, MATCH(1, ([6]Sheet1!$B:$B=A9) * ([6]Sheet1!$C:$C="重症监护（临床）"), 0)) * 积分!AJ9, "--")</f>
        <v>--</v>
      </c>
      <c r="T9" s="2" t="str" cm="1">
        <f t="array" ref="T9">IFERROR(INDEX([6]Sheet1!$D:$D, MATCH(1, ([6]Sheet1!$B:$B=A9) * ([6]Sheet1!$C:$C="Ⅰ级护理（临床）"), 0)) * 积分!AK9, "--")</f>
        <v>--</v>
      </c>
      <c r="U9" s="2" t="str" cm="1">
        <f t="array" ref="U9">IFERROR(INDEX([6]Sheet1!$D:$D, MATCH(1, ([6]Sheet1!$B:$B=A9) * ([6]Sheet1!$C:$C="Ⅱ级护理（临床）"), 0)) * 积分!AL9, "--")</f>
        <v>--</v>
      </c>
      <c r="V9" s="2" t="str" cm="1">
        <f t="array" ref="V9">IFERROR(INDEX([6]Sheet1!$D:$D, MATCH(1, ([6]Sheet1!$B:$B=A9) * ([6]Sheet1!$C:$C="护士中医适宜技术（临床）"), 0)) * 积分!AM9, "--")</f>
        <v>--</v>
      </c>
      <c r="W9" s="2">
        <f>IFERROR(INDEX([3]Sheet1!$H:$H, MATCH(A9, [3]Sheet1!$B:$B, 0)) * 积分!N9, "--")</f>
        <v>0</v>
      </c>
      <c r="X9" s="2">
        <f>IFERROR(INDEX([3]Sheet1!$J:$J, MATCH(A9, [3]Sheet1!$B:$B, 0)) * 积分!O9, "--")</f>
        <v>0</v>
      </c>
      <c r="Y9" s="2" t="str" cm="1">
        <f t="array" ref="Y9">IFERROR(INDEX([7]Sheet1!$D:$D, MATCH(1, ([7]Sheet1!$B:$B=A9) * ([7]Sheet1!$C:$C="单位系数"), 0)) * 积分!P9, "--")</f>
        <v>--</v>
      </c>
      <c r="Z9" s="2" cm="1">
        <f t="array" ref="Z9">IFERROR(INDEX([7]Sheet1!$D:$D, MATCH(1, ([7]Sheet1!$B:$B=A9) * ([7]Sheet1!$C:$C="多学科联合(MDT)门诊"), 0)) * 积分!Q9, "--")</f>
        <v>0</v>
      </c>
      <c r="AA9" s="2" t="str" cm="1">
        <f t="array" ref="AA9">IFERROR(INDEX([7]Sheet1!$D:$D, MATCH(1, ([7]Sheet1!$B:$B=A9) * ([7]Sheet1!$C:$C="核算金额"), 0)) * 积分!R9, "--")</f>
        <v>--</v>
      </c>
      <c r="AB9" s="2" t="str" cm="1">
        <f t="array" ref="AB9">IFERROR(INDEX([7]Sheet1!$D:$D, MATCH(1, ([7]Sheet1!$B:$B=A9) * ([7]Sheet1!$C:$C="单据"), 0)), "--")</f>
        <v>--</v>
      </c>
      <c r="AC9" s="2" cm="1">
        <f t="array" ref="AC9">IFERROR(INDEX([7]Sheet1!$D:$D, MATCH(1, ([7]Sheet1!$B:$B=A9) * ([7]Sheet1!$C:$C="特需门诊"), 0)) * 积分!S9, "--")</f>
        <v>0</v>
      </c>
      <c r="AD9" s="2" cm="1">
        <f t="array" ref="AD9">IFERROR(INDEX([7]Sheet1!$D:$D, MATCH(1, ([7]Sheet1!$B:$B=A9) * ([7]Sheet1!$C:$C="中医会诊"), 0)) * 积分!T9, "--")</f>
        <v>0</v>
      </c>
      <c r="AE9" s="2">
        <f>积分!U9*0</f>
        <v>0</v>
      </c>
      <c r="AF9" s="2">
        <f>-3831.38*积分!V9</f>
        <v>-3831.38</v>
      </c>
      <c r="AG9" s="2">
        <f>-3831.38*积分!W9</f>
        <v>0</v>
      </c>
      <c r="AH9" s="2">
        <f>-3831.38*积分!X9</f>
        <v>0</v>
      </c>
      <c r="AI9" s="2">
        <f>IFERROR(INDEX([4]Sheet1!$AD:$AD, MATCH(A9, [4]Sheet1!$A:$A, 0)) * 积分!AA9, "--")</f>
        <v>0</v>
      </c>
      <c r="AJ9" s="2">
        <f>IFERROR(INDEX([4]Sheet1!$AC:$AC, MATCH(A9, [4]Sheet1!$A:$A, 0)) * 积分!AB9, "--")</f>
        <v>4620</v>
      </c>
      <c r="AK9" s="2">
        <f>IFERROR(INDEX([4]Sheet1!$AE:$AE, MATCH(A9, [4]Sheet1!$A:$A, 0)) * 积分!AC9, "--")</f>
        <v>4181.32</v>
      </c>
      <c r="AL9" s="2">
        <f>IFERROR(INDEX([4]Sheet1!$AF:$AF, MATCH(A9, [4]Sheet1!$A:$A, 0)) * 积分!AD9, "--")</f>
        <v>1715.34</v>
      </c>
      <c r="AM9" s="2">
        <f>IFERROR(INDEX([4]Sheet1!$AG:$AG, MATCH(A9, [4]Sheet1!$A:$A, 0)) * 积分!AE9, "--")</f>
        <v>0</v>
      </c>
      <c r="AN9" s="2">
        <f>IFERROR(INDEX([4]Sheet1!$AH:$AH, MATCH(A9, [4]Sheet1!$A:$A, 0)) * 积分!AF9, "--")</f>
        <v>0</v>
      </c>
      <c r="AO9" s="2">
        <f>IFERROR(INDEX([4]Sheet1!$AI:$AI, MATCH(A9, [4]Sheet1!$A:$A, 0)) * 积分!AG9, "--")</f>
        <v>0</v>
      </c>
      <c r="AP9" s="2">
        <f>IFERROR(INDEX([4]Sheet1!$AJ:$AJ, MATCH(A9, [4]Sheet1!$A:$A, 0)) * 积分!AH9, "--")</f>
        <v>0</v>
      </c>
      <c r="AQ9" s="2">
        <v>0</v>
      </c>
      <c r="AR9" s="2">
        <v>0</v>
      </c>
      <c r="AS9" s="12" t="s">
        <v>117</v>
      </c>
      <c r="AT9" s="12" t="s">
        <v>117</v>
      </c>
      <c r="AU9" s="12" t="s">
        <v>117</v>
      </c>
      <c r="AV9" s="12" t="s">
        <v>117</v>
      </c>
      <c r="AW9" s="12" t="s">
        <v>117</v>
      </c>
      <c r="AX9" s="12" t="s">
        <v>117</v>
      </c>
      <c r="AY9" s="12" t="s">
        <v>117</v>
      </c>
      <c r="AZ9" s="12" t="s">
        <v>117</v>
      </c>
      <c r="BA9" s="12" t="s">
        <v>117</v>
      </c>
      <c r="BB9" s="12" t="s">
        <v>117</v>
      </c>
      <c r="BC9" s="12" t="s">
        <v>117</v>
      </c>
    </row>
    <row r="10" spans="1:55" ht="25.65" customHeight="1" x14ac:dyDescent="0.25">
      <c r="A10" s="3" t="s">
        <v>43</v>
      </c>
      <c r="B10" s="4">
        <f t="shared" si="0"/>
        <v>115836.75</v>
      </c>
      <c r="C10" s="4">
        <f t="shared" si="1"/>
        <v>8470</v>
      </c>
      <c r="D10" s="4">
        <f t="shared" si="2"/>
        <v>107366.75</v>
      </c>
      <c r="E10" s="4">
        <f t="shared" si="3"/>
        <v>0</v>
      </c>
      <c r="F10" s="4" cm="1">
        <f t="array" ref="F10">IFERROR(
病区折扣比例(
(
INDEX([3]Sheet1!$I:$I, MATCH(A10, [3]Sheet1!$B:$B, 0))
/
次均费用!C10
)
)
*INDEX([4]Sheet1!$AL:$AL, MATCH(A10, [4]Sheet1!$A:$A, 0))
* 积分!B10, "--")</f>
        <v>21833.51</v>
      </c>
      <c r="G10" s="4">
        <f>IFERROR(INDEX([4]Sheet1!$AK:$AK, MATCH(A10, [4]Sheet1!$A:$A, 0)) * 积分!C10, "--")</f>
        <v>380</v>
      </c>
      <c r="H10" s="4">
        <f>IFERROR(INDEX([4]Sheet1!$AB:$AB, MATCH(A10, [4]Sheet1!$A:$A, 0)) * 积分!D10, "--")</f>
        <v>210</v>
      </c>
      <c r="I10" s="4">
        <f>IFERROR(INDEX([4]Sheet1!$AA:$AA, MATCH(A10, [4]Sheet1!$A:$A, 0)) * 积分!E10, "--")</f>
        <v>7600</v>
      </c>
      <c r="J10" s="4">
        <f>IFERROR(INDEX([4]Sheet1!$Z:$Z, MATCH(A10, [4]Sheet1!$A:$A, 0)) * 积分!F10, "--")</f>
        <v>22080</v>
      </c>
      <c r="K10" s="4">
        <f>IFERROR(INDEX([4]Sheet1!$Y:$Y, MATCH(A10, [4]Sheet1!$A:$A, 0)) * 积分!G10, "--")</f>
        <v>34320</v>
      </c>
      <c r="L10" s="4" cm="1">
        <f t="array" ref="L10">IFERROR(
门诊折扣比例(
(
INDEX([5]Sheet1!$D:$D, MATCH(A10, [5]Sheet1!$B:$B, 0))
/
次均费用!B10
)
)
*INDEX([5]Sheet1!$C:$C, MATCH(A10, [5]Sheet1!$B:$B, 0))
* 积分!H10, "--")</f>
        <v>8470</v>
      </c>
      <c r="M10" s="4">
        <f>IFERROR(INDEX([3]Sheet1!$C:$C, MATCH(A10, [3]Sheet1!$B:$B, 0)) * 积分!I10, "--")</f>
        <v>0</v>
      </c>
      <c r="N10" s="4">
        <f>IFERROR(INDEX([3]Sheet1!$D:$D, MATCH(A10, [3]Sheet1!$B:$B, 0)) * 积分!J10, "--")</f>
        <v>0</v>
      </c>
      <c r="O10" s="4">
        <f>IFERROR(INDEX([3]Sheet1!$E:$E, MATCH(A10, [3]Sheet1!$B:$B, 0)) * 积分!K10, "--")</f>
        <v>0</v>
      </c>
      <c r="P10" s="4">
        <f>IFERROR(INDEX([3]Sheet1!$F:$F, MATCH(A10, [3]Sheet1!$B:$B, 0)) * 积分!L10, "--")</f>
        <v>0</v>
      </c>
      <c r="Q10" s="4">
        <f>IFERROR(INDEX([3]Sheet1!$G:$G, MATCH(A10, [3]Sheet1!$B:$B, 0)) * 积分!M10, "--")</f>
        <v>10573.83</v>
      </c>
      <c r="R10" s="4" t="str" cm="1">
        <f t="array" ref="R10">IFERROR(INDEX([6]Sheet1!$D:$D, MATCH(1, ([6]Sheet1!$B:$B=A10) * ([6]Sheet1!$C:$C="特级护理（临床）"), 0)) * 积分!AI10, "--")</f>
        <v>--</v>
      </c>
      <c r="S10" s="4" t="str" cm="1">
        <f t="array" ref="S10">IFERROR(INDEX([6]Sheet1!$D:$D, MATCH(1, ([6]Sheet1!$B:$B=A10) * ([6]Sheet1!$C:$C="重症监护（临床）"), 0)) * 积分!AJ10, "--")</f>
        <v>--</v>
      </c>
      <c r="T10" s="4" t="str" cm="1">
        <f t="array" ref="T10">IFERROR(INDEX([6]Sheet1!$D:$D, MATCH(1, ([6]Sheet1!$B:$B=A10) * ([6]Sheet1!$C:$C="Ⅰ级护理（临床）"), 0)) * 积分!AK10, "--")</f>
        <v>--</v>
      </c>
      <c r="U10" s="4" t="str" cm="1">
        <f t="array" ref="U10">IFERROR(INDEX([6]Sheet1!$D:$D, MATCH(1, ([6]Sheet1!$B:$B=A10) * ([6]Sheet1!$C:$C="Ⅱ级护理（临床）"), 0)) * 积分!AL10, "--")</f>
        <v>--</v>
      </c>
      <c r="V10" s="4" t="str" cm="1">
        <f t="array" ref="V10">IFERROR(INDEX([6]Sheet1!$D:$D, MATCH(1, ([6]Sheet1!$B:$B=A10) * ([6]Sheet1!$C:$C="护士中医适宜技术（临床）"), 0)) * 积分!AM10, "--")</f>
        <v>--</v>
      </c>
      <c r="W10" s="4">
        <f>IFERROR(INDEX([3]Sheet1!$H:$H, MATCH(A10, [3]Sheet1!$B:$B, 0)) * 积分!N10, "--")</f>
        <v>0</v>
      </c>
      <c r="X10" s="4">
        <f>IFERROR(INDEX([3]Sheet1!$J:$J, MATCH(A10, [3]Sheet1!$B:$B, 0)) * 积分!O10, "--")</f>
        <v>0</v>
      </c>
      <c r="Y10" s="4" t="str" cm="1">
        <f t="array" ref="Y10">IFERROR(INDEX([7]Sheet1!$D:$D, MATCH(1, ([7]Sheet1!$B:$B=A10) * ([7]Sheet1!$C:$C="单位系数"), 0)) * 积分!P10, "--")</f>
        <v>--</v>
      </c>
      <c r="Z10" s="4" cm="1">
        <f t="array" ref="Z10">IFERROR(INDEX([7]Sheet1!$D:$D, MATCH(1, ([7]Sheet1!$B:$B=A10) * ([7]Sheet1!$C:$C="多学科联合(MDT)门诊"), 0)) * 积分!Q10, "--")</f>
        <v>0</v>
      </c>
      <c r="AA10" s="4" t="str" cm="1">
        <f t="array" ref="AA10">IFERROR(INDEX([7]Sheet1!$D:$D, MATCH(1, ([7]Sheet1!$B:$B=A10) * ([7]Sheet1!$C:$C="核算金额"), 0)) * 积分!R10, "--")</f>
        <v>--</v>
      </c>
      <c r="AB10" s="4" t="str" cm="1">
        <f t="array" ref="AB10">IFERROR(INDEX([7]Sheet1!$D:$D, MATCH(1, ([7]Sheet1!$B:$B=A10) * ([7]Sheet1!$C:$C="单据"), 0)), "--")</f>
        <v>--</v>
      </c>
      <c r="AC10" s="4" cm="1">
        <f t="array" ref="AC10">IFERROR(INDEX([7]Sheet1!$D:$D, MATCH(1, ([7]Sheet1!$B:$B=A10) * ([7]Sheet1!$C:$C="特需门诊"), 0)) * 积分!S10, "--")</f>
        <v>0</v>
      </c>
      <c r="AD10" s="4" cm="1">
        <f t="array" ref="AD10">IFERROR(INDEX([7]Sheet1!$D:$D, MATCH(1, ([7]Sheet1!$B:$B=A10) * ([7]Sheet1!$C:$C="中医会诊"), 0)) * 积分!T10, "--")</f>
        <v>0</v>
      </c>
      <c r="AE10" s="4">
        <f>积分!U10*0</f>
        <v>0</v>
      </c>
      <c r="AF10" s="4">
        <f>4002.75*积分!V10</f>
        <v>4002.75</v>
      </c>
      <c r="AG10" s="4">
        <f>4002.75*积分!W10</f>
        <v>0</v>
      </c>
      <c r="AH10" s="4">
        <f>4002.75*积分!X10</f>
        <v>0</v>
      </c>
      <c r="AI10" s="4">
        <f>IFERROR(INDEX([4]Sheet1!$AD:$AD, MATCH(A10, [4]Sheet1!$A:$A, 0)) * 积分!AA10, "--")</f>
        <v>160</v>
      </c>
      <c r="AJ10" s="4">
        <f>IFERROR(INDEX([4]Sheet1!$AC:$AC, MATCH(A10, [4]Sheet1!$A:$A, 0)) * 积分!AB10, "--")</f>
        <v>660</v>
      </c>
      <c r="AK10" s="4">
        <f>IFERROR(INDEX([4]Sheet1!$AE:$AE, MATCH(A10, [4]Sheet1!$A:$A, 0)) * 积分!AC10, "--")</f>
        <v>4631.9000000000005</v>
      </c>
      <c r="AL10" s="4">
        <f>IFERROR(INDEX([4]Sheet1!$AF:$AF, MATCH(A10, [4]Sheet1!$A:$A, 0)) * 积分!AD10, "--")</f>
        <v>914.7600000000001</v>
      </c>
      <c r="AM10" s="4">
        <f>IFERROR(INDEX([4]Sheet1!$AG:$AG, MATCH(A10, [4]Sheet1!$A:$A, 0)) * 积分!AE10, "--")</f>
        <v>0</v>
      </c>
      <c r="AN10" s="4">
        <f>IFERROR(INDEX([4]Sheet1!$AH:$AH, MATCH(A10, [4]Sheet1!$A:$A, 0)) * 积分!AF10, "--")</f>
        <v>0</v>
      </c>
      <c r="AO10" s="4">
        <f>IFERROR(INDEX([4]Sheet1!$AI:$AI, MATCH(A10, [4]Sheet1!$A:$A, 0)) * 积分!AG10, "--")</f>
        <v>0</v>
      </c>
      <c r="AP10" s="4">
        <f>IFERROR(INDEX([4]Sheet1!$AJ:$AJ, MATCH(A10, [4]Sheet1!$A:$A, 0)) * 积分!AH10, "--")</f>
        <v>0</v>
      </c>
      <c r="AQ10" s="4">
        <v>0</v>
      </c>
      <c r="AR10" s="4">
        <v>0</v>
      </c>
      <c r="AS10" s="7" t="s">
        <v>117</v>
      </c>
      <c r="AT10" s="7" t="s">
        <v>117</v>
      </c>
      <c r="AU10" s="7" t="s">
        <v>117</v>
      </c>
      <c r="AV10" s="7" t="s">
        <v>117</v>
      </c>
      <c r="AW10" s="7" t="s">
        <v>117</v>
      </c>
      <c r="AX10" s="7" t="s">
        <v>117</v>
      </c>
      <c r="AY10" s="7" t="s">
        <v>117</v>
      </c>
      <c r="AZ10" s="7" t="s">
        <v>117</v>
      </c>
      <c r="BA10" s="7" t="s">
        <v>117</v>
      </c>
      <c r="BB10" s="7" t="s">
        <v>117</v>
      </c>
      <c r="BC10" s="7" t="s">
        <v>117</v>
      </c>
    </row>
    <row r="11" spans="1:55" ht="25.65" customHeight="1" x14ac:dyDescent="0.25">
      <c r="A11" s="1" t="s">
        <v>44</v>
      </c>
      <c r="B11" s="1">
        <f t="shared" si="0"/>
        <v>131650.32</v>
      </c>
      <c r="C11" s="2">
        <f t="shared" si="1"/>
        <v>15228.08</v>
      </c>
      <c r="D11" s="2">
        <f t="shared" si="2"/>
        <v>116422.24</v>
      </c>
      <c r="E11" s="2">
        <f t="shared" si="3"/>
        <v>0</v>
      </c>
      <c r="F11" s="2" cm="1">
        <f t="array" ref="F11">IFERROR(
病区折扣比例(
(
INDEX([3]Sheet1!$I:$I, MATCH(A11, [3]Sheet1!$B:$B, 0))
/
次均费用!C11
)
)
*INDEX([4]Sheet1!$AL:$AL, MATCH(A11, [4]Sheet1!$A:$A, 0))
* 积分!B11, "--")</f>
        <v>27222.096000000001</v>
      </c>
      <c r="G11" s="2">
        <f>IFERROR(INDEX([4]Sheet1!$AK:$AK, MATCH(A11, [4]Sheet1!$A:$A, 0)) * 积分!C11, "--")</f>
        <v>1720</v>
      </c>
      <c r="H11" s="2">
        <f>IFERROR(INDEX([4]Sheet1!$AB:$AB, MATCH(A11, [4]Sheet1!$A:$A, 0)) * 积分!D11, "--")</f>
        <v>750</v>
      </c>
      <c r="I11" s="2">
        <f>IFERROR(INDEX([4]Sheet1!$AA:$AA, MATCH(A11, [4]Sheet1!$A:$A, 0)) * 积分!E11, "--")</f>
        <v>10160</v>
      </c>
      <c r="J11" s="2">
        <f>IFERROR(INDEX([4]Sheet1!$Z:$Z, MATCH(A11, [4]Sheet1!$A:$A, 0)) * 积分!F11, "--")</f>
        <v>4320</v>
      </c>
      <c r="K11" s="2">
        <f>IFERROR(INDEX([4]Sheet1!$Y:$Y, MATCH(A11, [4]Sheet1!$A:$A, 0)) * 积分!G11, "--")</f>
        <v>37800</v>
      </c>
      <c r="L11" s="2" cm="1">
        <f t="array" ref="L11">IFERROR(
门诊折扣比例(
(
INDEX([5]Sheet1!$D:$D, MATCH(A11, [5]Sheet1!$B:$B, 0))
/
次均费用!B11
)
)
*INDEX([5]Sheet1!$C:$C, MATCH(A11, [5]Sheet1!$B:$B, 0))
* 积分!H11, "--")</f>
        <v>15228.08</v>
      </c>
      <c r="M11" s="2">
        <f>IFERROR(INDEX([3]Sheet1!$C:$C, MATCH(A11, [3]Sheet1!$B:$B, 0)) * 积分!I11, "--")</f>
        <v>0</v>
      </c>
      <c r="N11" s="2">
        <f>IFERROR(INDEX([3]Sheet1!$D:$D, MATCH(A11, [3]Sheet1!$B:$B, 0)) * 积分!J11, "--")</f>
        <v>0</v>
      </c>
      <c r="O11" s="2">
        <f>IFERROR(INDEX([3]Sheet1!$E:$E, MATCH(A11, [3]Sheet1!$B:$B, 0)) * 积分!K11, "--")</f>
        <v>73.599999999999994</v>
      </c>
      <c r="P11" s="2">
        <f>IFERROR(INDEX([3]Sheet1!$F:$F, MATCH(A11, [3]Sheet1!$B:$B, 0)) * 积分!L11, "--")</f>
        <v>0</v>
      </c>
      <c r="Q11" s="2">
        <f>IFERROR(INDEX([3]Sheet1!$G:$G, MATCH(A11, [3]Sheet1!$B:$B, 0)) * 积分!M11, "--")</f>
        <v>3599.1</v>
      </c>
      <c r="R11" s="2" t="str" cm="1">
        <f t="array" ref="R11">IFERROR(INDEX([6]Sheet1!$D:$D, MATCH(1, ([6]Sheet1!$B:$B=A11) * ([6]Sheet1!$C:$C="特级护理（临床）"), 0)) * 积分!AI11, "--")</f>
        <v>--</v>
      </c>
      <c r="S11" s="2" t="str" cm="1">
        <f t="array" ref="S11">IFERROR(INDEX([6]Sheet1!$D:$D, MATCH(1, ([6]Sheet1!$B:$B=A11) * ([6]Sheet1!$C:$C="重症监护（临床）"), 0)) * 积分!AJ11, "--")</f>
        <v>--</v>
      </c>
      <c r="T11" s="2" t="str" cm="1">
        <f t="array" ref="T11">IFERROR(INDEX([6]Sheet1!$D:$D, MATCH(1, ([6]Sheet1!$B:$B=A11) * ([6]Sheet1!$C:$C="Ⅰ级护理（临床）"), 0)) * 积分!AK11, "--")</f>
        <v>--</v>
      </c>
      <c r="U11" s="2" t="str" cm="1">
        <f t="array" ref="U11">IFERROR(INDEX([6]Sheet1!$D:$D, MATCH(1, ([6]Sheet1!$B:$B=A11) * ([6]Sheet1!$C:$C="Ⅱ级护理（临床）"), 0)) * 积分!AL11, "--")</f>
        <v>--</v>
      </c>
      <c r="V11" s="2" t="str" cm="1">
        <f t="array" ref="V11">IFERROR(INDEX([6]Sheet1!$D:$D, MATCH(1, ([6]Sheet1!$B:$B=A11) * ([6]Sheet1!$C:$C="护士中医适宜技术（临床）"), 0)) * 积分!AM11, "--")</f>
        <v>--</v>
      </c>
      <c r="W11" s="2">
        <f>IFERROR(INDEX([3]Sheet1!$H:$H, MATCH(A11, [3]Sheet1!$B:$B, 0)) * 积分!N11, "--")</f>
        <v>0</v>
      </c>
      <c r="X11" s="2">
        <f>IFERROR(INDEX([3]Sheet1!$J:$J, MATCH(A11, [3]Sheet1!$B:$B, 0)) * 积分!O11, "--")</f>
        <v>0</v>
      </c>
      <c r="Y11" s="2" t="str" cm="1">
        <f t="array" ref="Y11">IFERROR(INDEX([7]Sheet1!$D:$D, MATCH(1, ([7]Sheet1!$B:$B=A11) * ([7]Sheet1!$C:$C="单位系数"), 0)) * 积分!P11, "--")</f>
        <v>--</v>
      </c>
      <c r="Z11" s="2" cm="1">
        <f t="array" ref="Z11">IFERROR(INDEX([7]Sheet1!$D:$D, MATCH(1, ([7]Sheet1!$B:$B=A11) * ([7]Sheet1!$C:$C="多学科联合(MDT)门诊"), 0)) * 积分!Q11, "--")</f>
        <v>0</v>
      </c>
      <c r="AA11" s="2" t="str" cm="1">
        <f t="array" ref="AA11">IFERROR(INDEX([7]Sheet1!$D:$D, MATCH(1, ([7]Sheet1!$B:$B=A11) * ([7]Sheet1!$C:$C="核算金额"), 0)) * 积分!R11, "--")</f>
        <v>--</v>
      </c>
      <c r="AB11" s="2" t="str" cm="1">
        <f t="array" ref="AB11">IFERROR(INDEX([7]Sheet1!$D:$D, MATCH(1, ([7]Sheet1!$B:$B=A11) * ([7]Sheet1!$C:$C="单据"), 0)), "--")</f>
        <v>--</v>
      </c>
      <c r="AC11" s="2" cm="1">
        <f t="array" ref="AC11">IFERROR(INDEX([7]Sheet1!$D:$D, MATCH(1, ([7]Sheet1!$B:$B=A11) * ([7]Sheet1!$C:$C="特需门诊"), 0)) * 积分!S11, "--")</f>
        <v>0</v>
      </c>
      <c r="AD11" s="2" cm="1">
        <f t="array" ref="AD11">IFERROR(INDEX([7]Sheet1!$D:$D, MATCH(1, ([7]Sheet1!$B:$B=A11) * ([7]Sheet1!$C:$C="中医会诊"), 0)) * 积分!T11, "--")</f>
        <v>0</v>
      </c>
      <c r="AE11" s="2">
        <f>积分!U11*0</f>
        <v>0</v>
      </c>
      <c r="AF11" s="2">
        <f>-1957*积分!V11</f>
        <v>-1957</v>
      </c>
      <c r="AG11" s="2">
        <f>-1957*积分!W11</f>
        <v>0</v>
      </c>
      <c r="AH11" s="2">
        <f>-1957*积分!X11</f>
        <v>0</v>
      </c>
      <c r="AI11" s="2">
        <f>IFERROR(INDEX([4]Sheet1!$AD:$AD, MATCH(A11, [4]Sheet1!$A:$A, 0)) * 积分!AA11, "--")</f>
        <v>0</v>
      </c>
      <c r="AJ11" s="2">
        <f>IFERROR(INDEX([4]Sheet1!$AC:$AC, MATCH(A11, [4]Sheet1!$A:$A, 0)) * 积分!AB11, "--")</f>
        <v>17640</v>
      </c>
      <c r="AK11" s="2">
        <f>IFERROR(INDEX([4]Sheet1!$AE:$AE, MATCH(A11, [4]Sheet1!$A:$A, 0)) * 积分!AC11, "--")</f>
        <v>2059.5</v>
      </c>
      <c r="AL11" s="2">
        <f>IFERROR(INDEX([4]Sheet1!$AF:$AF, MATCH(A11, [4]Sheet1!$A:$A, 0)) * 积分!AD11, "--")</f>
        <v>13034.94</v>
      </c>
      <c r="AM11" s="2">
        <f>IFERROR(INDEX([4]Sheet1!$AG:$AG, MATCH(A11, [4]Sheet1!$A:$A, 0)) * 积分!AE11, "--")</f>
        <v>0</v>
      </c>
      <c r="AN11" s="2">
        <f>IFERROR(INDEX([4]Sheet1!$AH:$AH, MATCH(A11, [4]Sheet1!$A:$A, 0)) * 积分!AF11, "--")</f>
        <v>0</v>
      </c>
      <c r="AO11" s="2">
        <f>IFERROR(INDEX([4]Sheet1!$AI:$AI, MATCH(A11, [4]Sheet1!$A:$A, 0)) * 积分!AG11, "--")</f>
        <v>0</v>
      </c>
      <c r="AP11" s="2">
        <f>IFERROR(INDEX([4]Sheet1!$AJ:$AJ, MATCH(A11, [4]Sheet1!$A:$A, 0)) * 积分!AH11, "--")</f>
        <v>0</v>
      </c>
      <c r="AQ11" s="2">
        <v>0</v>
      </c>
      <c r="AR11" s="2">
        <v>0</v>
      </c>
      <c r="AS11" s="12" t="s">
        <v>117</v>
      </c>
      <c r="AT11" s="12" t="s">
        <v>117</v>
      </c>
      <c r="AU11" s="12" t="s">
        <v>117</v>
      </c>
      <c r="AV11" s="12" t="s">
        <v>117</v>
      </c>
      <c r="AW11" s="12" t="s">
        <v>117</v>
      </c>
      <c r="AX11" s="12" t="s">
        <v>117</v>
      </c>
      <c r="AY11" s="12" t="s">
        <v>117</v>
      </c>
      <c r="AZ11" s="12" t="s">
        <v>117</v>
      </c>
      <c r="BA11" s="12" t="s">
        <v>117</v>
      </c>
      <c r="BB11" s="12" t="s">
        <v>117</v>
      </c>
      <c r="BC11" s="12" t="s">
        <v>117</v>
      </c>
    </row>
    <row r="12" spans="1:55" ht="25.65" customHeight="1" x14ac:dyDescent="0.25">
      <c r="A12" s="3" t="s">
        <v>45</v>
      </c>
      <c r="B12" s="4">
        <f t="shared" si="0"/>
        <v>59771.27</v>
      </c>
      <c r="C12" s="4">
        <f t="shared" si="1"/>
        <v>4840.3</v>
      </c>
      <c r="D12" s="4">
        <f t="shared" si="2"/>
        <v>54930.97</v>
      </c>
      <c r="E12" s="4">
        <f t="shared" si="3"/>
        <v>0</v>
      </c>
      <c r="F12" s="4" cm="1">
        <f t="array" ref="F12">IFERROR(
病区折扣比例(
(
INDEX([3]Sheet1!$I:$I, MATCH(A12, [3]Sheet1!$B:$B, 0))
/
次均费用!C12
)
)
*INDEX([4]Sheet1!$AL:$AL, MATCH(A12, [4]Sheet1!$A:$A, 0))
* 积分!B12, "--")</f>
        <v>17794.260000000002</v>
      </c>
      <c r="G12" s="4">
        <f>IFERROR(INDEX([4]Sheet1!$AK:$AK, MATCH(A12, [4]Sheet1!$A:$A, 0)) * 积分!C12, "--")</f>
        <v>960</v>
      </c>
      <c r="H12" s="4">
        <f>IFERROR(INDEX([4]Sheet1!$AB:$AB, MATCH(A12, [4]Sheet1!$A:$A, 0)) * 积分!D12, "--")</f>
        <v>450</v>
      </c>
      <c r="I12" s="4">
        <f>IFERROR(INDEX([4]Sheet1!$AA:$AA, MATCH(A12, [4]Sheet1!$A:$A, 0)) * 积分!E12, "--")</f>
        <v>5200</v>
      </c>
      <c r="J12" s="4">
        <f>IFERROR(INDEX([4]Sheet1!$Z:$Z, MATCH(A12, [4]Sheet1!$A:$A, 0)) * 积分!F12, "--")</f>
        <v>2240</v>
      </c>
      <c r="K12" s="4">
        <f>IFERROR(INDEX([4]Sheet1!$Y:$Y, MATCH(A12, [4]Sheet1!$A:$A, 0)) * 积分!G12, "--")</f>
        <v>15120</v>
      </c>
      <c r="L12" s="4" cm="1">
        <f t="array" ref="L12">IFERROR(
门诊折扣比例(
(
INDEX([5]Sheet1!$D:$D, MATCH(A12, [5]Sheet1!$B:$B, 0))
/
次均费用!B12
)
)
*INDEX([5]Sheet1!$C:$C, MATCH(A12, [5]Sheet1!$B:$B, 0))
* 积分!H12, "--")</f>
        <v>4840.3040000000001</v>
      </c>
      <c r="M12" s="4">
        <f>IFERROR(INDEX([3]Sheet1!$C:$C, MATCH(A12, [3]Sheet1!$B:$B, 0)) * 积分!I12, "--")</f>
        <v>0</v>
      </c>
      <c r="N12" s="4">
        <f>IFERROR(INDEX([3]Sheet1!$D:$D, MATCH(A12, [3]Sheet1!$B:$B, 0)) * 积分!J12, "--")</f>
        <v>0</v>
      </c>
      <c r="O12" s="4">
        <f>IFERROR(INDEX([3]Sheet1!$E:$E, MATCH(A12, [3]Sheet1!$B:$B, 0)) * 积分!K12, "--")</f>
        <v>0</v>
      </c>
      <c r="P12" s="4">
        <f>IFERROR(INDEX([3]Sheet1!$F:$F, MATCH(A12, [3]Sheet1!$B:$B, 0)) * 积分!L12, "--")</f>
        <v>0</v>
      </c>
      <c r="Q12" s="4">
        <f>IFERROR(INDEX([3]Sheet1!$G:$G, MATCH(A12, [3]Sheet1!$B:$B, 0)) * 积分!M12, "--")</f>
        <v>67.5</v>
      </c>
      <c r="R12" s="4" t="str" cm="1">
        <f t="array" ref="R12">IFERROR(INDEX([6]Sheet1!$D:$D, MATCH(1, ([6]Sheet1!$B:$B=A12) * ([6]Sheet1!$C:$C="特级护理（临床）"), 0)) * 积分!AI12, "--")</f>
        <v>--</v>
      </c>
      <c r="S12" s="4" t="str" cm="1">
        <f t="array" ref="S12">IFERROR(INDEX([6]Sheet1!$D:$D, MATCH(1, ([6]Sheet1!$B:$B=A12) * ([6]Sheet1!$C:$C="重症监护（临床）"), 0)) * 积分!AJ12, "--")</f>
        <v>--</v>
      </c>
      <c r="T12" s="4" t="str" cm="1">
        <f t="array" ref="T12">IFERROR(INDEX([6]Sheet1!$D:$D, MATCH(1, ([6]Sheet1!$B:$B=A12) * ([6]Sheet1!$C:$C="Ⅰ级护理（临床）"), 0)) * 积分!AK12, "--")</f>
        <v>--</v>
      </c>
      <c r="U12" s="4" t="str" cm="1">
        <f t="array" ref="U12">IFERROR(INDEX([6]Sheet1!$D:$D, MATCH(1, ([6]Sheet1!$B:$B=A12) * ([6]Sheet1!$C:$C="Ⅱ级护理（临床）"), 0)) * 积分!AL12, "--")</f>
        <v>--</v>
      </c>
      <c r="V12" s="4" t="str" cm="1">
        <f t="array" ref="V12">IFERROR(INDEX([6]Sheet1!$D:$D, MATCH(1, ([6]Sheet1!$B:$B=A12) * ([6]Sheet1!$C:$C="护士中医适宜技术（临床）"), 0)) * 积分!AM12, "--")</f>
        <v>--</v>
      </c>
      <c r="W12" s="4">
        <f>IFERROR(INDEX([3]Sheet1!$H:$H, MATCH(A12, [3]Sheet1!$B:$B, 0)) * 积分!N12, "--")</f>
        <v>0</v>
      </c>
      <c r="X12" s="4">
        <f>IFERROR(INDEX([3]Sheet1!$J:$J, MATCH(A12, [3]Sheet1!$B:$B, 0)) * 积分!O12, "--")</f>
        <v>0</v>
      </c>
      <c r="Y12" s="4" t="str" cm="1">
        <f t="array" ref="Y12">IFERROR(INDEX([7]Sheet1!$D:$D, MATCH(1, ([7]Sheet1!$B:$B=A12) * ([7]Sheet1!$C:$C="单位系数"), 0)) * 积分!P12, "--")</f>
        <v>--</v>
      </c>
      <c r="Z12" s="4" cm="1">
        <f t="array" ref="Z12">IFERROR(INDEX([7]Sheet1!$D:$D, MATCH(1, ([7]Sheet1!$B:$B=A12) * ([7]Sheet1!$C:$C="多学科联合(MDT)门诊"), 0)) * 积分!Q12, "--")</f>
        <v>0</v>
      </c>
      <c r="AA12" s="4" t="str" cm="1">
        <f t="array" ref="AA12">IFERROR(INDEX([7]Sheet1!$D:$D, MATCH(1, ([7]Sheet1!$B:$B=A12) * ([7]Sheet1!$C:$C="核算金额"), 0)) * 积分!R12, "--")</f>
        <v>--</v>
      </c>
      <c r="AB12" s="4" t="str" cm="1">
        <f t="array" ref="AB12">IFERROR(INDEX([7]Sheet1!$D:$D, MATCH(1, ([7]Sheet1!$B:$B=A12) * ([7]Sheet1!$C:$C="单据"), 0)), "--")</f>
        <v>--</v>
      </c>
      <c r="AC12" s="4" cm="1">
        <f t="array" ref="AC12">IFERROR(INDEX([7]Sheet1!$D:$D, MATCH(1, ([7]Sheet1!$B:$B=A12) * ([7]Sheet1!$C:$C="特需门诊"), 0)) * 积分!S12, "--")</f>
        <v>0</v>
      </c>
      <c r="AD12" s="4" cm="1">
        <f t="array" ref="AD12">IFERROR(INDEX([7]Sheet1!$D:$D, MATCH(1, ([7]Sheet1!$B:$B=A12) * ([7]Sheet1!$C:$C="中医会诊"), 0)) * 积分!T12, "--")</f>
        <v>0</v>
      </c>
      <c r="AE12" s="4">
        <f>积分!U12*0</f>
        <v>0</v>
      </c>
      <c r="AF12" s="4">
        <f>40.47*积分!V12</f>
        <v>40.47</v>
      </c>
      <c r="AG12" s="4">
        <f>40.47*积分!W12</f>
        <v>0</v>
      </c>
      <c r="AH12" s="4">
        <f>40.47*积分!X12</f>
        <v>0</v>
      </c>
      <c r="AI12" s="4">
        <f>IFERROR(INDEX([4]Sheet1!$AD:$AD, MATCH(A12, [4]Sheet1!$A:$A, 0)) * 积分!AA12, "--")</f>
        <v>80</v>
      </c>
      <c r="AJ12" s="4">
        <f>IFERROR(INDEX([4]Sheet1!$AC:$AC, MATCH(A12, [4]Sheet1!$A:$A, 0)) * 积分!AB12, "--")</f>
        <v>6930</v>
      </c>
      <c r="AK12" s="4">
        <f>IFERROR(INDEX([4]Sheet1!$AE:$AE, MATCH(A12, [4]Sheet1!$A:$A, 0)) * 积分!AC12, "--")</f>
        <v>1791.6000000000001</v>
      </c>
      <c r="AL12" s="4">
        <f>IFERROR(INDEX([4]Sheet1!$AF:$AF, MATCH(A12, [4]Sheet1!$A:$A, 0)) * 积分!AD12, "--")</f>
        <v>4257.1399999999994</v>
      </c>
      <c r="AM12" s="4">
        <f>IFERROR(INDEX([4]Sheet1!$AG:$AG, MATCH(A12, [4]Sheet1!$A:$A, 0)) * 积分!AE12, "--")</f>
        <v>0</v>
      </c>
      <c r="AN12" s="4">
        <f>IFERROR(INDEX([4]Sheet1!$AH:$AH, MATCH(A12, [4]Sheet1!$A:$A, 0)) * 积分!AF12, "--")</f>
        <v>0</v>
      </c>
      <c r="AO12" s="4">
        <f>IFERROR(INDEX([4]Sheet1!$AI:$AI, MATCH(A12, [4]Sheet1!$A:$A, 0)) * 积分!AG12, "--")</f>
        <v>0</v>
      </c>
      <c r="AP12" s="4">
        <f>IFERROR(INDEX([4]Sheet1!$AJ:$AJ, MATCH(A12, [4]Sheet1!$A:$A, 0)) * 积分!AH12, "--")</f>
        <v>0</v>
      </c>
      <c r="AQ12" s="4">
        <v>0</v>
      </c>
      <c r="AR12" s="4">
        <v>0</v>
      </c>
      <c r="AS12" s="7" t="s">
        <v>117</v>
      </c>
      <c r="AT12" s="7" t="s">
        <v>117</v>
      </c>
      <c r="AU12" s="7" t="s">
        <v>117</v>
      </c>
      <c r="AV12" s="7" t="s">
        <v>117</v>
      </c>
      <c r="AW12" s="7" t="s">
        <v>117</v>
      </c>
      <c r="AX12" s="7" t="s">
        <v>117</v>
      </c>
      <c r="AY12" s="7" t="s">
        <v>117</v>
      </c>
      <c r="AZ12" s="7" t="s">
        <v>117</v>
      </c>
      <c r="BA12" s="7" t="s">
        <v>117</v>
      </c>
      <c r="BB12" s="7" t="s">
        <v>117</v>
      </c>
      <c r="BC12" s="7" t="s">
        <v>117</v>
      </c>
    </row>
    <row r="13" spans="1:55" ht="25.65" customHeight="1" x14ac:dyDescent="0.25">
      <c r="A13" s="1" t="s">
        <v>46</v>
      </c>
      <c r="B13" s="1">
        <f t="shared" si="0"/>
        <v>124970.12</v>
      </c>
      <c r="C13" s="2">
        <f t="shared" si="1"/>
        <v>7590.69</v>
      </c>
      <c r="D13" s="2">
        <f t="shared" si="2"/>
        <v>117379.43</v>
      </c>
      <c r="E13" s="2">
        <f t="shared" si="3"/>
        <v>0</v>
      </c>
      <c r="F13" s="2" cm="1">
        <f t="array" ref="F13">IFERROR(
病区折扣比例(
(
INDEX([3]Sheet1!$I:$I, MATCH(A13, [3]Sheet1!$B:$B, 0))
/
次均费用!C13
)
)
*INDEX([4]Sheet1!$AL:$AL, MATCH(A13, [4]Sheet1!$A:$A, 0))
* 积分!B13, "--")</f>
        <v>44084.56</v>
      </c>
      <c r="G13" s="2">
        <f>IFERROR(INDEX([4]Sheet1!$AK:$AK, MATCH(A13, [4]Sheet1!$A:$A, 0)) * 积分!C13, "--")</f>
        <v>1200</v>
      </c>
      <c r="H13" s="2">
        <f>IFERROR(INDEX([4]Sheet1!$AB:$AB, MATCH(A13, [4]Sheet1!$A:$A, 0)) * 积分!D13, "--")</f>
        <v>360</v>
      </c>
      <c r="I13" s="2">
        <f>IFERROR(INDEX([4]Sheet1!$AA:$AA, MATCH(A13, [4]Sheet1!$A:$A, 0)) * 积分!E13, "--")</f>
        <v>9600</v>
      </c>
      <c r="J13" s="2">
        <f>IFERROR(INDEX([4]Sheet1!$Z:$Z, MATCH(A13, [4]Sheet1!$A:$A, 0)) * 积分!F13, "--")</f>
        <v>1600</v>
      </c>
      <c r="K13" s="2">
        <f>IFERROR(INDEX([4]Sheet1!$Y:$Y, MATCH(A13, [4]Sheet1!$A:$A, 0)) * 积分!G13, "--")</f>
        <v>45500</v>
      </c>
      <c r="L13" s="2" cm="1">
        <f t="array" ref="L13">IFERROR(
门诊折扣比例(
(
INDEX([5]Sheet1!$D:$D, MATCH(A13, [5]Sheet1!$B:$B, 0))
/
次均费用!B13
)
)
*INDEX([5]Sheet1!$C:$C, MATCH(A13, [5]Sheet1!$B:$B, 0))
* 积分!H13, "--")</f>
        <v>7590.6900000000014</v>
      </c>
      <c r="M13" s="2">
        <f>IFERROR(INDEX([3]Sheet1!$C:$C, MATCH(A13, [3]Sheet1!$B:$B, 0)) * 积分!I13, "--")</f>
        <v>0</v>
      </c>
      <c r="N13" s="2">
        <f>IFERROR(INDEX([3]Sheet1!$D:$D, MATCH(A13, [3]Sheet1!$B:$B, 0)) * 积分!J13, "--")</f>
        <v>0</v>
      </c>
      <c r="O13" s="2">
        <f>IFERROR(INDEX([3]Sheet1!$E:$E, MATCH(A13, [3]Sheet1!$B:$B, 0)) * 积分!K13, "--")</f>
        <v>9.1999999999999993</v>
      </c>
      <c r="P13" s="2">
        <f>IFERROR(INDEX([3]Sheet1!$F:$F, MATCH(A13, [3]Sheet1!$B:$B, 0)) * 积分!L13, "--")</f>
        <v>0</v>
      </c>
      <c r="Q13" s="2">
        <f>IFERROR(INDEX([3]Sheet1!$G:$G, MATCH(A13, [3]Sheet1!$B:$B, 0)) * 积分!M13, "--")</f>
        <v>9724.68</v>
      </c>
      <c r="R13" s="2" t="str" cm="1">
        <f t="array" ref="R13">IFERROR(INDEX([6]Sheet1!$D:$D, MATCH(1, ([6]Sheet1!$B:$B=A13) * ([6]Sheet1!$C:$C="特级护理（临床）"), 0)) * 积分!AI13, "--")</f>
        <v>--</v>
      </c>
      <c r="S13" s="2" t="str" cm="1">
        <f t="array" ref="S13">IFERROR(INDEX([6]Sheet1!$D:$D, MATCH(1, ([6]Sheet1!$B:$B=A13) * ([6]Sheet1!$C:$C="重症监护（临床）"), 0)) * 积分!AJ13, "--")</f>
        <v>--</v>
      </c>
      <c r="T13" s="2" t="str" cm="1">
        <f t="array" ref="T13">IFERROR(INDEX([6]Sheet1!$D:$D, MATCH(1, ([6]Sheet1!$B:$B=A13) * ([6]Sheet1!$C:$C="Ⅰ级护理（临床）"), 0)) * 积分!AK13, "--")</f>
        <v>--</v>
      </c>
      <c r="U13" s="2" t="str" cm="1">
        <f t="array" ref="U13">IFERROR(INDEX([6]Sheet1!$D:$D, MATCH(1, ([6]Sheet1!$B:$B=A13) * ([6]Sheet1!$C:$C="Ⅱ级护理（临床）"), 0)) * 积分!AL13, "--")</f>
        <v>--</v>
      </c>
      <c r="V13" s="2" t="str" cm="1">
        <f t="array" ref="V13">IFERROR(INDEX([6]Sheet1!$D:$D, MATCH(1, ([6]Sheet1!$B:$B=A13) * ([6]Sheet1!$C:$C="护士中医适宜技术（临床）"), 0)) * 积分!AM13, "--")</f>
        <v>--</v>
      </c>
      <c r="W13" s="2">
        <f>IFERROR(INDEX([3]Sheet1!$H:$H, MATCH(A13, [3]Sheet1!$B:$B, 0)) * 积分!N13, "--")</f>
        <v>0</v>
      </c>
      <c r="X13" s="2">
        <f>IFERROR(INDEX([3]Sheet1!$J:$J, MATCH(A13, [3]Sheet1!$B:$B, 0)) * 积分!O13, "--")</f>
        <v>0</v>
      </c>
      <c r="Y13" s="2" t="str" cm="1">
        <f t="array" ref="Y13">IFERROR(INDEX([7]Sheet1!$D:$D, MATCH(1, ([7]Sheet1!$B:$B=A13) * ([7]Sheet1!$C:$C="单位系数"), 0)) * 积分!P13, "--")</f>
        <v>--</v>
      </c>
      <c r="Z13" s="2" t="str" cm="1">
        <f t="array" ref="Z13">IFERROR(INDEX([7]Sheet1!$D:$D, MATCH(1, ([7]Sheet1!$B:$B=A13) * ([7]Sheet1!$C:$C="多学科联合(MDT)门诊"), 0)) * 积分!Q13, "--")</f>
        <v>--</v>
      </c>
      <c r="AA13" s="2" t="str" cm="1">
        <f t="array" ref="AA13">IFERROR(INDEX([7]Sheet1!$D:$D, MATCH(1, ([7]Sheet1!$B:$B=A13) * ([7]Sheet1!$C:$C="核算金额"), 0)) * 积分!R13, "--")</f>
        <v>--</v>
      </c>
      <c r="AB13" s="2" t="str" cm="1">
        <f t="array" ref="AB13">IFERROR(INDEX([7]Sheet1!$D:$D, MATCH(1, ([7]Sheet1!$B:$B=A13) * ([7]Sheet1!$C:$C="单据"), 0)), "--")</f>
        <v>--</v>
      </c>
      <c r="AC13" s="2" t="str" cm="1">
        <f t="array" ref="AC13">IFERROR(INDEX([7]Sheet1!$D:$D, MATCH(1, ([7]Sheet1!$B:$B=A13) * ([7]Sheet1!$C:$C="特需门诊"), 0)) * 积分!S13, "--")</f>
        <v>--</v>
      </c>
      <c r="AD13" s="2" t="str" cm="1">
        <f t="array" ref="AD13">IFERROR(INDEX([7]Sheet1!$D:$D, MATCH(1, ([7]Sheet1!$B:$B=A13) * ([7]Sheet1!$C:$C="中医会诊"), 0)) * 积分!T13, "--")</f>
        <v>--</v>
      </c>
      <c r="AE13" s="2">
        <f>积分!U13*0</f>
        <v>0</v>
      </c>
      <c r="AF13" s="2">
        <f>-5525.86*积分!V13</f>
        <v>-5525.86</v>
      </c>
      <c r="AG13" s="2">
        <f>-5525.86*积分!W13</f>
        <v>0</v>
      </c>
      <c r="AH13" s="2">
        <f>-5525.86*积分!X13</f>
        <v>0</v>
      </c>
      <c r="AI13" s="2">
        <f>IFERROR(INDEX([4]Sheet1!$AD:$AD, MATCH(A13, [4]Sheet1!$A:$A, 0)) * 积分!AA13, "--")</f>
        <v>80</v>
      </c>
      <c r="AJ13" s="2">
        <f>IFERROR(INDEX([4]Sheet1!$AC:$AC, MATCH(A13, [4]Sheet1!$A:$A, 0)) * 积分!AB13, "--")</f>
        <v>9625</v>
      </c>
      <c r="AK13" s="2">
        <f>IFERROR(INDEX([4]Sheet1!$AE:$AE, MATCH(A13, [4]Sheet1!$A:$A, 0)) * 积分!AC13, "--")</f>
        <v>1081.25</v>
      </c>
      <c r="AL13" s="2">
        <f>IFERROR(INDEX([4]Sheet1!$AF:$AF, MATCH(A13, [4]Sheet1!$A:$A, 0)) * 积分!AD13, "--")</f>
        <v>40.6</v>
      </c>
      <c r="AM13" s="2">
        <f>IFERROR(INDEX([4]Sheet1!$AG:$AG, MATCH(A13, [4]Sheet1!$A:$A, 0)) * 积分!AE13, "--")</f>
        <v>0</v>
      </c>
      <c r="AN13" s="2">
        <f>IFERROR(INDEX([4]Sheet1!$AH:$AH, MATCH(A13, [4]Sheet1!$A:$A, 0)) * 积分!AF13, "--")</f>
        <v>0</v>
      </c>
      <c r="AO13" s="2">
        <f>IFERROR(INDEX([4]Sheet1!$AI:$AI, MATCH(A13, [4]Sheet1!$A:$A, 0)) * 积分!AG13, "--")</f>
        <v>0</v>
      </c>
      <c r="AP13" s="2">
        <f>IFERROR(INDEX([4]Sheet1!$AJ:$AJ, MATCH(A13, [4]Sheet1!$A:$A, 0)) * 积分!AH13, "--")</f>
        <v>0</v>
      </c>
      <c r="AQ13" s="2">
        <v>0</v>
      </c>
      <c r="AR13" s="2">
        <v>0</v>
      </c>
      <c r="AS13" s="12" t="s">
        <v>117</v>
      </c>
      <c r="AT13" s="12" t="s">
        <v>117</v>
      </c>
      <c r="AU13" s="12" t="s">
        <v>117</v>
      </c>
      <c r="AV13" s="12" t="s">
        <v>117</v>
      </c>
      <c r="AW13" s="12" t="s">
        <v>117</v>
      </c>
      <c r="AX13" s="12" t="s">
        <v>117</v>
      </c>
      <c r="AY13" s="12" t="s">
        <v>117</v>
      </c>
      <c r="AZ13" s="12" t="s">
        <v>117</v>
      </c>
      <c r="BA13" s="12" t="s">
        <v>117</v>
      </c>
      <c r="BB13" s="12" t="s">
        <v>117</v>
      </c>
      <c r="BC13" s="12" t="s">
        <v>117</v>
      </c>
    </row>
    <row r="14" spans="1:55" ht="25.65" customHeight="1" x14ac:dyDescent="0.25">
      <c r="A14" s="3" t="s">
        <v>47</v>
      </c>
      <c r="B14" s="4">
        <f t="shared" si="0"/>
        <v>85499.839999999997</v>
      </c>
      <c r="C14" s="4">
        <f t="shared" si="1"/>
        <v>6761.69</v>
      </c>
      <c r="D14" s="4">
        <f t="shared" si="2"/>
        <v>78738.149999999994</v>
      </c>
      <c r="E14" s="4">
        <f t="shared" si="3"/>
        <v>0</v>
      </c>
      <c r="F14" s="4" cm="1">
        <f t="array" ref="F14">IFERROR(
病区折扣比例(
(
INDEX([3]Sheet1!$I:$I, MATCH(A14, [3]Sheet1!$B:$B, 0))
/
次均费用!C14
)
)
*INDEX([4]Sheet1!$AL:$AL, MATCH(A14, [4]Sheet1!$A:$A, 0))
* 积分!B14, "--")</f>
        <v>29232</v>
      </c>
      <c r="G14" s="4">
        <f>IFERROR(INDEX([4]Sheet1!$AK:$AK, MATCH(A14, [4]Sheet1!$A:$A, 0)) * 积分!C14, "--")</f>
        <v>820</v>
      </c>
      <c r="H14" s="4">
        <f>IFERROR(INDEX([4]Sheet1!$AB:$AB, MATCH(A14, [4]Sheet1!$A:$A, 0)) * 积分!D14, "--")</f>
        <v>450</v>
      </c>
      <c r="I14" s="4">
        <f>IFERROR(INDEX([4]Sheet1!$AA:$AA, MATCH(A14, [4]Sheet1!$A:$A, 0)) * 积分!E14, "--")</f>
        <v>5280</v>
      </c>
      <c r="J14" s="4">
        <f>IFERROR(INDEX([4]Sheet1!$Z:$Z, MATCH(A14, [4]Sheet1!$A:$A, 0)) * 积分!F14, "--")</f>
        <v>3840</v>
      </c>
      <c r="K14" s="4">
        <f>IFERROR(INDEX([4]Sheet1!$Y:$Y, MATCH(A14, [4]Sheet1!$A:$A, 0)) * 积分!G14, "--")</f>
        <v>24570</v>
      </c>
      <c r="L14" s="4" cm="1">
        <f t="array" ref="L14">IFERROR(
门诊折扣比例(
(
INDEX([5]Sheet1!$D:$D, MATCH(A14, [5]Sheet1!$B:$B, 0))
/
次均费用!B14
)
)
*INDEX([5]Sheet1!$C:$C, MATCH(A14, [5]Sheet1!$B:$B, 0))
* 积分!H14, "--")</f>
        <v>6761.6849999999995</v>
      </c>
      <c r="M14" s="4">
        <f>IFERROR(INDEX([3]Sheet1!$C:$C, MATCH(A14, [3]Sheet1!$B:$B, 0)) * 积分!I14, "--")</f>
        <v>0</v>
      </c>
      <c r="N14" s="4">
        <f>IFERROR(INDEX([3]Sheet1!$D:$D, MATCH(A14, [3]Sheet1!$B:$B, 0)) * 积分!J14, "--")</f>
        <v>13.8</v>
      </c>
      <c r="O14" s="4">
        <f>IFERROR(INDEX([3]Sheet1!$E:$E, MATCH(A14, [3]Sheet1!$B:$B, 0)) * 积分!K14, "--")</f>
        <v>9.1999999999999993</v>
      </c>
      <c r="P14" s="4">
        <f>IFERROR(INDEX([3]Sheet1!$F:$F, MATCH(A14, [3]Sheet1!$B:$B, 0)) * 积分!L14, "--")</f>
        <v>0</v>
      </c>
      <c r="Q14" s="4">
        <f>IFERROR(INDEX([3]Sheet1!$G:$G, MATCH(A14, [3]Sheet1!$B:$B, 0)) * 积分!M14, "--")</f>
        <v>3834</v>
      </c>
      <c r="R14" s="4" t="str" cm="1">
        <f t="array" ref="R14">IFERROR(INDEX([6]Sheet1!$D:$D, MATCH(1, ([6]Sheet1!$B:$B=A14) * ([6]Sheet1!$C:$C="特级护理（临床）"), 0)) * 积分!AI14, "--")</f>
        <v>--</v>
      </c>
      <c r="S14" s="4" t="str" cm="1">
        <f t="array" ref="S14">IFERROR(INDEX([6]Sheet1!$D:$D, MATCH(1, ([6]Sheet1!$B:$B=A14) * ([6]Sheet1!$C:$C="重症监护（临床）"), 0)) * 积分!AJ14, "--")</f>
        <v>--</v>
      </c>
      <c r="T14" s="4" t="str" cm="1">
        <f t="array" ref="T14">IFERROR(INDEX([6]Sheet1!$D:$D, MATCH(1, ([6]Sheet1!$B:$B=A14) * ([6]Sheet1!$C:$C="Ⅰ级护理（临床）"), 0)) * 积分!AK14, "--")</f>
        <v>--</v>
      </c>
      <c r="U14" s="4" t="str" cm="1">
        <f t="array" ref="U14">IFERROR(INDEX([6]Sheet1!$D:$D, MATCH(1, ([6]Sheet1!$B:$B=A14) * ([6]Sheet1!$C:$C="Ⅱ级护理（临床）"), 0)) * 积分!AL14, "--")</f>
        <v>--</v>
      </c>
      <c r="V14" s="4" t="str" cm="1">
        <f t="array" ref="V14">IFERROR(INDEX([6]Sheet1!$D:$D, MATCH(1, ([6]Sheet1!$B:$B=A14) * ([6]Sheet1!$C:$C="护士中医适宜技术（临床）"), 0)) * 积分!AM14, "--")</f>
        <v>--</v>
      </c>
      <c r="W14" s="4">
        <f>IFERROR(INDEX([3]Sheet1!$H:$H, MATCH(A14, [3]Sheet1!$B:$B, 0)) * 积分!N14, "--")</f>
        <v>0</v>
      </c>
      <c r="X14" s="4">
        <f>IFERROR(INDEX([3]Sheet1!$J:$J, MATCH(A14, [3]Sheet1!$B:$B, 0)) * 积分!O14, "--")</f>
        <v>0</v>
      </c>
      <c r="Y14" s="4" t="str" cm="1">
        <f t="array" ref="Y14">IFERROR(INDEX([7]Sheet1!$D:$D, MATCH(1, ([7]Sheet1!$B:$B=A14) * ([7]Sheet1!$C:$C="单位系数"), 0)) * 积分!P14, "--")</f>
        <v>--</v>
      </c>
      <c r="Z14" s="4" t="str" cm="1">
        <f t="array" ref="Z14">IFERROR(INDEX([7]Sheet1!$D:$D, MATCH(1, ([7]Sheet1!$B:$B=A14) * ([7]Sheet1!$C:$C="多学科联合(MDT)门诊"), 0)) * 积分!Q14, "--")</f>
        <v>--</v>
      </c>
      <c r="AA14" s="4" t="str" cm="1">
        <f t="array" ref="AA14">IFERROR(INDEX([7]Sheet1!$D:$D, MATCH(1, ([7]Sheet1!$B:$B=A14) * ([7]Sheet1!$C:$C="核算金额"), 0)) * 积分!R14, "--")</f>
        <v>--</v>
      </c>
      <c r="AB14" s="4" t="str" cm="1">
        <f t="array" ref="AB14">IFERROR(INDEX([7]Sheet1!$D:$D, MATCH(1, ([7]Sheet1!$B:$B=A14) * ([7]Sheet1!$C:$C="单据"), 0)), "--")</f>
        <v>--</v>
      </c>
      <c r="AC14" s="4" t="str" cm="1">
        <f t="array" ref="AC14">IFERROR(INDEX([7]Sheet1!$D:$D, MATCH(1, ([7]Sheet1!$B:$B=A14) * ([7]Sheet1!$C:$C="特需门诊"), 0)) * 积分!S14, "--")</f>
        <v>--</v>
      </c>
      <c r="AD14" s="4" t="str" cm="1">
        <f t="array" ref="AD14">IFERROR(INDEX([7]Sheet1!$D:$D, MATCH(1, ([7]Sheet1!$B:$B=A14) * ([7]Sheet1!$C:$C="中医会诊"), 0)) * 积分!T14, "--")</f>
        <v>--</v>
      </c>
      <c r="AE14" s="4">
        <f>积分!U14*0</f>
        <v>0</v>
      </c>
      <c r="AF14" s="4">
        <f>-655.73*积分!V14</f>
        <v>-655.73</v>
      </c>
      <c r="AG14" s="4">
        <f>-655.73*积分!W14</f>
        <v>0</v>
      </c>
      <c r="AH14" s="4">
        <f>-655.73*积分!X14</f>
        <v>0</v>
      </c>
      <c r="AI14" s="4">
        <f>IFERROR(INDEX([4]Sheet1!$AD:$AD, MATCH(A14, [4]Sheet1!$A:$A, 0)) * 积分!AA14, "--")</f>
        <v>240</v>
      </c>
      <c r="AJ14" s="4">
        <f>IFERROR(INDEX([4]Sheet1!$AC:$AC, MATCH(A14, [4]Sheet1!$A:$A, 0)) * 积分!AB14, "--")</f>
        <v>0</v>
      </c>
      <c r="AK14" s="4">
        <f>IFERROR(INDEX([4]Sheet1!$AE:$AE, MATCH(A14, [4]Sheet1!$A:$A, 0)) * 积分!AC14, "--")</f>
        <v>3565.38</v>
      </c>
      <c r="AL14" s="4">
        <f>IFERROR(INDEX([4]Sheet1!$AF:$AF, MATCH(A14, [4]Sheet1!$A:$A, 0)) * 积分!AD14, "--")</f>
        <v>7539.5</v>
      </c>
      <c r="AM14" s="4">
        <f>IFERROR(INDEX([4]Sheet1!$AG:$AG, MATCH(A14, [4]Sheet1!$A:$A, 0)) * 积分!AE14, "--")</f>
        <v>0</v>
      </c>
      <c r="AN14" s="4">
        <f>IFERROR(INDEX([4]Sheet1!$AH:$AH, MATCH(A14, [4]Sheet1!$A:$A, 0)) * 积分!AF14, "--")</f>
        <v>0</v>
      </c>
      <c r="AO14" s="4">
        <f>IFERROR(INDEX([4]Sheet1!$AI:$AI, MATCH(A14, [4]Sheet1!$A:$A, 0)) * 积分!AG14, "--")</f>
        <v>0</v>
      </c>
      <c r="AP14" s="4">
        <f>IFERROR(INDEX([4]Sheet1!$AJ:$AJ, MATCH(A14, [4]Sheet1!$A:$A, 0)) * 积分!AH14, "--")</f>
        <v>0</v>
      </c>
      <c r="AQ14" s="4">
        <v>0</v>
      </c>
      <c r="AR14" s="4">
        <v>0</v>
      </c>
      <c r="AS14" s="7" t="s">
        <v>117</v>
      </c>
      <c r="AT14" s="7" t="s">
        <v>117</v>
      </c>
      <c r="AU14" s="7" t="s">
        <v>117</v>
      </c>
      <c r="AV14" s="7" t="s">
        <v>117</v>
      </c>
      <c r="AW14" s="7" t="s">
        <v>117</v>
      </c>
      <c r="AX14" s="7" t="s">
        <v>117</v>
      </c>
      <c r="AY14" s="7" t="s">
        <v>117</v>
      </c>
      <c r="AZ14" s="7" t="s">
        <v>117</v>
      </c>
      <c r="BA14" s="7" t="s">
        <v>117</v>
      </c>
      <c r="BB14" s="7" t="s">
        <v>117</v>
      </c>
      <c r="BC14" s="7" t="s">
        <v>117</v>
      </c>
    </row>
    <row r="15" spans="1:55" ht="25.65" customHeight="1" x14ac:dyDescent="0.25">
      <c r="A15" s="1" t="s">
        <v>48</v>
      </c>
      <c r="B15" s="1">
        <f t="shared" si="0"/>
        <v>55330.78</v>
      </c>
      <c r="C15" s="2">
        <f t="shared" si="1"/>
        <v>6779.12</v>
      </c>
      <c r="D15" s="2">
        <f t="shared" si="2"/>
        <v>48551.66</v>
      </c>
      <c r="E15" s="2">
        <f t="shared" si="3"/>
        <v>0</v>
      </c>
      <c r="F15" s="2" cm="1">
        <f t="array" ref="F15">IFERROR(
病区折扣比例(
(
INDEX([3]Sheet1!$I:$I, MATCH(A15, [3]Sheet1!$B:$B, 0))
/
次均费用!C15
)
)
*INDEX([4]Sheet1!$AL:$AL, MATCH(A15, [4]Sheet1!$A:$A, 0))
* 积分!B15, "--")</f>
        <v>21947.52</v>
      </c>
      <c r="G15" s="2">
        <f>IFERROR(INDEX([4]Sheet1!$AK:$AK, MATCH(A15, [4]Sheet1!$A:$A, 0)) * 积分!C15, "--")</f>
        <v>580</v>
      </c>
      <c r="H15" s="2">
        <f>IFERROR(INDEX([4]Sheet1!$AB:$AB, MATCH(A15, [4]Sheet1!$A:$A, 0)) * 积分!D15, "--")</f>
        <v>180</v>
      </c>
      <c r="I15" s="2">
        <f>IFERROR(INDEX([4]Sheet1!$AA:$AA, MATCH(A15, [4]Sheet1!$A:$A, 0)) * 积分!E15, "--")</f>
        <v>1680</v>
      </c>
      <c r="J15" s="2">
        <f>IFERROR(INDEX([4]Sheet1!$Z:$Z, MATCH(A15, [4]Sheet1!$A:$A, 0)) * 积分!F15, "--")</f>
        <v>4480</v>
      </c>
      <c r="K15" s="2">
        <f>IFERROR(INDEX([4]Sheet1!$Y:$Y, MATCH(A15, [4]Sheet1!$A:$A, 0)) * 积分!G15, "--")</f>
        <v>12250</v>
      </c>
      <c r="L15" s="2" cm="1">
        <f t="array" ref="L15">IFERROR(
门诊折扣比例(
(
INDEX([5]Sheet1!$D:$D, MATCH(A15, [5]Sheet1!$B:$B, 0))
/
次均费用!B15
)
)
*INDEX([5]Sheet1!$C:$C, MATCH(A15, [5]Sheet1!$B:$B, 0))
* 积分!H15, "--")</f>
        <v>6779.1200000000008</v>
      </c>
      <c r="M15" s="2">
        <f>IFERROR(INDEX([3]Sheet1!$C:$C, MATCH(A15, [3]Sheet1!$B:$B, 0)) * 积分!I15, "--")</f>
        <v>0</v>
      </c>
      <c r="N15" s="2">
        <f>IFERROR(INDEX([3]Sheet1!$D:$D, MATCH(A15, [3]Sheet1!$B:$B, 0)) * 积分!J15, "--")</f>
        <v>41.400000000000006</v>
      </c>
      <c r="O15" s="2">
        <f>IFERROR(INDEX([3]Sheet1!$E:$E, MATCH(A15, [3]Sheet1!$B:$B, 0)) * 积分!K15, "--")</f>
        <v>27.599999999999998</v>
      </c>
      <c r="P15" s="2">
        <f>IFERROR(INDEX([3]Sheet1!$F:$F, MATCH(A15, [3]Sheet1!$B:$B, 0)) * 积分!L15, "--")</f>
        <v>0</v>
      </c>
      <c r="Q15" s="2">
        <f>IFERROR(INDEX([3]Sheet1!$G:$G, MATCH(A15, [3]Sheet1!$B:$B, 0)) * 积分!M15, "--")</f>
        <v>1264.5</v>
      </c>
      <c r="R15" s="2" t="str" cm="1">
        <f t="array" ref="R15">IFERROR(INDEX([6]Sheet1!$D:$D, MATCH(1, ([6]Sheet1!$B:$B=A15) * ([6]Sheet1!$C:$C="特级护理（临床）"), 0)) * 积分!AI15, "--")</f>
        <v>--</v>
      </c>
      <c r="S15" s="2" t="str" cm="1">
        <f t="array" ref="S15">IFERROR(INDEX([6]Sheet1!$D:$D, MATCH(1, ([6]Sheet1!$B:$B=A15) * ([6]Sheet1!$C:$C="重症监护（临床）"), 0)) * 积分!AJ15, "--")</f>
        <v>--</v>
      </c>
      <c r="T15" s="2" t="str" cm="1">
        <f t="array" ref="T15">IFERROR(INDEX([6]Sheet1!$D:$D, MATCH(1, ([6]Sheet1!$B:$B=A15) * ([6]Sheet1!$C:$C="Ⅰ级护理（临床）"), 0)) * 积分!AK15, "--")</f>
        <v>--</v>
      </c>
      <c r="U15" s="2" t="str" cm="1">
        <f t="array" ref="U15">IFERROR(INDEX([6]Sheet1!$D:$D, MATCH(1, ([6]Sheet1!$B:$B=A15) * ([6]Sheet1!$C:$C="Ⅱ级护理（临床）"), 0)) * 积分!AL15, "--")</f>
        <v>--</v>
      </c>
      <c r="V15" s="2" t="str" cm="1">
        <f t="array" ref="V15">IFERROR(INDEX([6]Sheet1!$D:$D, MATCH(1, ([6]Sheet1!$B:$B=A15) * ([6]Sheet1!$C:$C="护士中医适宜技术（临床）"), 0)) * 积分!AM15, "--")</f>
        <v>--</v>
      </c>
      <c r="W15" s="2">
        <f>IFERROR(INDEX([3]Sheet1!$H:$H, MATCH(A15, [3]Sheet1!$B:$B, 0)) * 积分!N15, "--")</f>
        <v>0</v>
      </c>
      <c r="X15" s="2">
        <f>IFERROR(INDEX([3]Sheet1!$J:$J, MATCH(A15, [3]Sheet1!$B:$B, 0)) * 积分!O15, "--")</f>
        <v>0</v>
      </c>
      <c r="Y15" s="2" t="str" cm="1">
        <f t="array" ref="Y15">IFERROR(INDEX([7]Sheet1!$D:$D, MATCH(1, ([7]Sheet1!$B:$B=A15) * ([7]Sheet1!$C:$C="单位系数"), 0)) * 积分!P15, "--")</f>
        <v>--</v>
      </c>
      <c r="Z15" s="2" cm="1">
        <f t="array" ref="Z15">IFERROR(INDEX([7]Sheet1!$D:$D, MATCH(1, ([7]Sheet1!$B:$B=A15) * ([7]Sheet1!$C:$C="多学科联合(MDT)门诊"), 0)) * 积分!Q15, "--")</f>
        <v>0</v>
      </c>
      <c r="AA15" s="2" t="str" cm="1">
        <f t="array" ref="AA15">IFERROR(INDEX([7]Sheet1!$D:$D, MATCH(1, ([7]Sheet1!$B:$B=A15) * ([7]Sheet1!$C:$C="核算金额"), 0)) * 积分!R15, "--")</f>
        <v>--</v>
      </c>
      <c r="AB15" s="2" t="str" cm="1">
        <f t="array" ref="AB15">IFERROR(INDEX([7]Sheet1!$D:$D, MATCH(1, ([7]Sheet1!$B:$B=A15) * ([7]Sheet1!$C:$C="单据"), 0)), "--")</f>
        <v>--</v>
      </c>
      <c r="AC15" s="2" cm="1">
        <f t="array" ref="AC15">IFERROR(INDEX([7]Sheet1!$D:$D, MATCH(1, ([7]Sheet1!$B:$B=A15) * ([7]Sheet1!$C:$C="特需门诊"), 0)) * 积分!S15, "--")</f>
        <v>0</v>
      </c>
      <c r="AD15" s="2" cm="1">
        <f t="array" ref="AD15">IFERROR(INDEX([7]Sheet1!$D:$D, MATCH(1, ([7]Sheet1!$B:$B=A15) * ([7]Sheet1!$C:$C="中医会诊"), 0)) * 积分!T15, "--")</f>
        <v>0</v>
      </c>
      <c r="AE15" s="2">
        <f>积分!U15*0</f>
        <v>0</v>
      </c>
      <c r="AF15" s="2">
        <f>-347.72*积分!V15</f>
        <v>-347.72</v>
      </c>
      <c r="AG15" s="2">
        <f>-347.72*积分!W15</f>
        <v>0</v>
      </c>
      <c r="AH15" s="2">
        <f>-347.72*积分!X15</f>
        <v>0</v>
      </c>
      <c r="AI15" s="2">
        <f>IFERROR(INDEX([4]Sheet1!$AD:$AD, MATCH(A15, [4]Sheet1!$A:$A, 0)) * 积分!AA15, "--")</f>
        <v>240</v>
      </c>
      <c r="AJ15" s="2">
        <f>IFERROR(INDEX([4]Sheet1!$AC:$AC, MATCH(A15, [4]Sheet1!$A:$A, 0)) * 积分!AB15, "--")</f>
        <v>4375</v>
      </c>
      <c r="AK15" s="2">
        <f>IFERROR(INDEX([4]Sheet1!$AE:$AE, MATCH(A15, [4]Sheet1!$A:$A, 0)) * 积分!AC15, "--")</f>
        <v>1033.08</v>
      </c>
      <c r="AL15" s="2">
        <f>IFERROR(INDEX([4]Sheet1!$AF:$AF, MATCH(A15, [4]Sheet1!$A:$A, 0)) * 积分!AD15, "--")</f>
        <v>800.28</v>
      </c>
      <c r="AM15" s="2">
        <f>IFERROR(INDEX([4]Sheet1!$AG:$AG, MATCH(A15, [4]Sheet1!$A:$A, 0)) * 积分!AE15, "--")</f>
        <v>0</v>
      </c>
      <c r="AN15" s="2">
        <f>IFERROR(INDEX([4]Sheet1!$AH:$AH, MATCH(A15, [4]Sheet1!$A:$A, 0)) * 积分!AF15, "--")</f>
        <v>0</v>
      </c>
      <c r="AO15" s="2">
        <f>IFERROR(INDEX([4]Sheet1!$AI:$AI, MATCH(A15, [4]Sheet1!$A:$A, 0)) * 积分!AG15, "--")</f>
        <v>0</v>
      </c>
      <c r="AP15" s="2">
        <f>IFERROR(INDEX([4]Sheet1!$AJ:$AJ, MATCH(A15, [4]Sheet1!$A:$A, 0)) * 积分!AH15, "--")</f>
        <v>0</v>
      </c>
      <c r="AQ15" s="2">
        <v>0</v>
      </c>
      <c r="AR15" s="2">
        <v>0</v>
      </c>
      <c r="AS15" s="12" t="s">
        <v>117</v>
      </c>
      <c r="AT15" s="12" t="s">
        <v>117</v>
      </c>
      <c r="AU15" s="12" t="s">
        <v>117</v>
      </c>
      <c r="AV15" s="12" t="s">
        <v>117</v>
      </c>
      <c r="AW15" s="12" t="s">
        <v>117</v>
      </c>
      <c r="AX15" s="12" t="s">
        <v>117</v>
      </c>
      <c r="AY15" s="12" t="s">
        <v>117</v>
      </c>
      <c r="AZ15" s="12" t="s">
        <v>117</v>
      </c>
      <c r="BA15" s="12" t="s">
        <v>117</v>
      </c>
      <c r="BB15" s="12" t="s">
        <v>117</v>
      </c>
      <c r="BC15" s="12" t="s">
        <v>117</v>
      </c>
    </row>
    <row r="16" spans="1:55" ht="25.65" customHeight="1" x14ac:dyDescent="0.25">
      <c r="A16" s="3" t="s">
        <v>49</v>
      </c>
      <c r="B16" s="4">
        <f t="shared" si="0"/>
        <v>103723.94</v>
      </c>
      <c r="C16" s="4">
        <f t="shared" si="1"/>
        <v>7110</v>
      </c>
      <c r="D16" s="4">
        <f t="shared" si="2"/>
        <v>96613.94</v>
      </c>
      <c r="E16" s="4">
        <f t="shared" si="3"/>
        <v>0</v>
      </c>
      <c r="F16" s="4" cm="1">
        <f t="array" ref="F16">IFERROR(
病区折扣比例(
(
INDEX([3]Sheet1!$I:$I, MATCH(A16, [3]Sheet1!$B:$B, 0))
/
次均费用!C16
)
)
*INDEX([4]Sheet1!$AL:$AL, MATCH(A16, [4]Sheet1!$A:$A, 0))
* 积分!B16, "--")</f>
        <v>24318.584499999997</v>
      </c>
      <c r="G16" s="4">
        <f>IFERROR(INDEX([4]Sheet1!$AK:$AK, MATCH(A16, [4]Sheet1!$A:$A, 0)) * 积分!C16, "--")</f>
        <v>880</v>
      </c>
      <c r="H16" s="4">
        <f>IFERROR(INDEX([4]Sheet1!$AB:$AB, MATCH(A16, [4]Sheet1!$A:$A, 0)) * 积分!D16, "--")</f>
        <v>570</v>
      </c>
      <c r="I16" s="4">
        <f>IFERROR(INDEX([4]Sheet1!$AA:$AA, MATCH(A16, [4]Sheet1!$A:$A, 0)) * 积分!E16, "--")</f>
        <v>4000</v>
      </c>
      <c r="J16" s="4">
        <f>IFERROR(INDEX([4]Sheet1!$Z:$Z, MATCH(A16, [4]Sheet1!$A:$A, 0)) * 积分!F16, "--")</f>
        <v>5440</v>
      </c>
      <c r="K16" s="4">
        <f>IFERROR(INDEX([4]Sheet1!$Y:$Y, MATCH(A16, [4]Sheet1!$A:$A, 0)) * 积分!G16, "--")</f>
        <v>42000</v>
      </c>
      <c r="L16" s="4" cm="1">
        <f t="array" ref="L16">IFERROR(
门诊折扣比例(
(
INDEX([5]Sheet1!$D:$D, MATCH(A16, [5]Sheet1!$B:$B, 0))
/
次均费用!B16
)
)
*INDEX([5]Sheet1!$C:$C, MATCH(A16, [5]Sheet1!$B:$B, 0))
* 积分!H16, "--")</f>
        <v>7110</v>
      </c>
      <c r="M16" s="4">
        <f>IFERROR(INDEX([3]Sheet1!$C:$C, MATCH(A16, [3]Sheet1!$B:$B, 0)) * 积分!I16, "--")</f>
        <v>0</v>
      </c>
      <c r="N16" s="4">
        <f>IFERROR(INDEX([3]Sheet1!$D:$D, MATCH(A16, [3]Sheet1!$B:$B, 0)) * 积分!J16, "--")</f>
        <v>13.8</v>
      </c>
      <c r="O16" s="4">
        <f>IFERROR(INDEX([3]Sheet1!$E:$E, MATCH(A16, [3]Sheet1!$B:$B, 0)) * 积分!K16, "--")</f>
        <v>46</v>
      </c>
      <c r="P16" s="4">
        <f>IFERROR(INDEX([3]Sheet1!$F:$F, MATCH(A16, [3]Sheet1!$B:$B, 0)) * 积分!L16, "--")</f>
        <v>0</v>
      </c>
      <c r="Q16" s="4">
        <f>IFERROR(INDEX([3]Sheet1!$G:$G, MATCH(A16, [3]Sheet1!$B:$B, 0)) * 积分!M16, "--")</f>
        <v>225</v>
      </c>
      <c r="R16" s="4" t="str" cm="1">
        <f t="array" ref="R16">IFERROR(INDEX([6]Sheet1!$D:$D, MATCH(1, ([6]Sheet1!$B:$B=A16) * ([6]Sheet1!$C:$C="特级护理（临床）"), 0)) * 积分!AI16, "--")</f>
        <v>--</v>
      </c>
      <c r="S16" s="4" t="str" cm="1">
        <f t="array" ref="S16">IFERROR(INDEX([6]Sheet1!$D:$D, MATCH(1, ([6]Sheet1!$B:$B=A16) * ([6]Sheet1!$C:$C="重症监护（临床）"), 0)) * 积分!AJ16, "--")</f>
        <v>--</v>
      </c>
      <c r="T16" s="4" t="str" cm="1">
        <f t="array" ref="T16">IFERROR(INDEX([6]Sheet1!$D:$D, MATCH(1, ([6]Sheet1!$B:$B=A16) * ([6]Sheet1!$C:$C="Ⅰ级护理（临床）"), 0)) * 积分!AK16, "--")</f>
        <v>--</v>
      </c>
      <c r="U16" s="4" t="str" cm="1">
        <f t="array" ref="U16">IFERROR(INDEX([6]Sheet1!$D:$D, MATCH(1, ([6]Sheet1!$B:$B=A16) * ([6]Sheet1!$C:$C="Ⅱ级护理（临床）"), 0)) * 积分!AL16, "--")</f>
        <v>--</v>
      </c>
      <c r="V16" s="4" t="str" cm="1">
        <f t="array" ref="V16">IFERROR(INDEX([6]Sheet1!$D:$D, MATCH(1, ([6]Sheet1!$B:$B=A16) * ([6]Sheet1!$C:$C="护士中医适宜技术（临床）"), 0)) * 积分!AM16, "--")</f>
        <v>--</v>
      </c>
      <c r="W16" s="4">
        <f>IFERROR(INDEX([3]Sheet1!$H:$H, MATCH(A16, [3]Sheet1!$B:$B, 0)) * 积分!N16, "--")</f>
        <v>0</v>
      </c>
      <c r="X16" s="4">
        <f>IFERROR(INDEX([3]Sheet1!$J:$J, MATCH(A16, [3]Sheet1!$B:$B, 0)) * 积分!O16, "--")</f>
        <v>0</v>
      </c>
      <c r="Y16" s="4" t="str" cm="1">
        <f t="array" ref="Y16">IFERROR(INDEX([7]Sheet1!$D:$D, MATCH(1, ([7]Sheet1!$B:$B=A16) * ([7]Sheet1!$C:$C="单位系数"), 0)) * 积分!P16, "--")</f>
        <v>--</v>
      </c>
      <c r="Z16" s="4" t="str" cm="1">
        <f t="array" ref="Z16">IFERROR(INDEX([7]Sheet1!$D:$D, MATCH(1, ([7]Sheet1!$B:$B=A16) * ([7]Sheet1!$C:$C="多学科联合(MDT)门诊"), 0)) * 积分!Q16, "--")</f>
        <v>--</v>
      </c>
      <c r="AA16" s="4" t="str" cm="1">
        <f t="array" ref="AA16">IFERROR(INDEX([7]Sheet1!$D:$D, MATCH(1, ([7]Sheet1!$B:$B=A16) * ([7]Sheet1!$C:$C="核算金额"), 0)) * 积分!R16, "--")</f>
        <v>--</v>
      </c>
      <c r="AB16" s="4" t="str" cm="1">
        <f t="array" ref="AB16">IFERROR(INDEX([7]Sheet1!$D:$D, MATCH(1, ([7]Sheet1!$B:$B=A16) * ([7]Sheet1!$C:$C="单据"), 0)), "--")</f>
        <v>--</v>
      </c>
      <c r="AC16" s="4" t="str" cm="1">
        <f t="array" ref="AC16">IFERROR(INDEX([7]Sheet1!$D:$D, MATCH(1, ([7]Sheet1!$B:$B=A16) * ([7]Sheet1!$C:$C="特需门诊"), 0)) * 积分!S16, "--")</f>
        <v>--</v>
      </c>
      <c r="AD16" s="4" t="str" cm="1">
        <f t="array" ref="AD16">IFERROR(INDEX([7]Sheet1!$D:$D, MATCH(1, ([7]Sheet1!$B:$B=A16) * ([7]Sheet1!$C:$C="中医会诊"), 0)) * 积分!T16, "--")</f>
        <v>--</v>
      </c>
      <c r="AE16" s="4">
        <f>积分!U16*0</f>
        <v>0</v>
      </c>
      <c r="AF16" s="4">
        <f>-435.66*积分!V16</f>
        <v>-435.66</v>
      </c>
      <c r="AG16" s="4">
        <f>-435.66*积分!W16</f>
        <v>0</v>
      </c>
      <c r="AH16" s="4">
        <f>-435.66*积分!X16</f>
        <v>0</v>
      </c>
      <c r="AI16" s="4">
        <f>IFERROR(INDEX([4]Sheet1!$AD:$AD, MATCH(A16, [4]Sheet1!$A:$A, 0)) * 积分!AA16, "--")</f>
        <v>400</v>
      </c>
      <c r="AJ16" s="4">
        <f>IFERROR(INDEX([4]Sheet1!$AC:$AC, MATCH(A16, [4]Sheet1!$A:$A, 0)) * 积分!AB16, "--")</f>
        <v>10080</v>
      </c>
      <c r="AK16" s="4">
        <f>IFERROR(INDEX([4]Sheet1!$AE:$AE, MATCH(A16, [4]Sheet1!$A:$A, 0)) * 积分!AC16, "--")</f>
        <v>1237.6200000000001</v>
      </c>
      <c r="AL16" s="4">
        <f>IFERROR(INDEX([4]Sheet1!$AF:$AF, MATCH(A16, [4]Sheet1!$A:$A, 0)) * 积分!AD16, "--")</f>
        <v>7838.6</v>
      </c>
      <c r="AM16" s="4">
        <f>IFERROR(INDEX([4]Sheet1!$AG:$AG, MATCH(A16, [4]Sheet1!$A:$A, 0)) * 积分!AE16, "--")</f>
        <v>0</v>
      </c>
      <c r="AN16" s="4">
        <f>IFERROR(INDEX([4]Sheet1!$AH:$AH, MATCH(A16, [4]Sheet1!$A:$A, 0)) * 积分!AF16, "--")</f>
        <v>0</v>
      </c>
      <c r="AO16" s="4">
        <f>IFERROR(INDEX([4]Sheet1!$AI:$AI, MATCH(A16, [4]Sheet1!$A:$A, 0)) * 积分!AG16, "--")</f>
        <v>0</v>
      </c>
      <c r="AP16" s="4">
        <f>IFERROR(INDEX([4]Sheet1!$AJ:$AJ, MATCH(A16, [4]Sheet1!$A:$A, 0)) * 积分!AH16, "--")</f>
        <v>0</v>
      </c>
      <c r="AQ16" s="4">
        <v>0</v>
      </c>
      <c r="AR16" s="4">
        <v>0</v>
      </c>
      <c r="AS16" s="7" t="s">
        <v>117</v>
      </c>
      <c r="AT16" s="7" t="s">
        <v>117</v>
      </c>
      <c r="AU16" s="7" t="s">
        <v>117</v>
      </c>
      <c r="AV16" s="7" t="s">
        <v>117</v>
      </c>
      <c r="AW16" s="7" t="s">
        <v>117</v>
      </c>
      <c r="AX16" s="7" t="s">
        <v>117</v>
      </c>
      <c r="AY16" s="7" t="s">
        <v>117</v>
      </c>
      <c r="AZ16" s="7" t="s">
        <v>117</v>
      </c>
      <c r="BA16" s="7" t="s">
        <v>117</v>
      </c>
      <c r="BB16" s="7" t="s">
        <v>117</v>
      </c>
      <c r="BC16" s="7" t="s">
        <v>117</v>
      </c>
    </row>
    <row r="17" spans="1:55" ht="25.65" customHeight="1" x14ac:dyDescent="0.25">
      <c r="A17" s="1" t="s">
        <v>50</v>
      </c>
      <c r="B17" s="1">
        <f t="shared" si="0"/>
        <v>67905.13</v>
      </c>
      <c r="C17" s="2">
        <f t="shared" si="1"/>
        <v>13890</v>
      </c>
      <c r="D17" s="2">
        <f t="shared" si="2"/>
        <v>54015.13</v>
      </c>
      <c r="E17" s="2">
        <f t="shared" si="3"/>
        <v>0</v>
      </c>
      <c r="F17" s="2" cm="1">
        <f t="array" ref="F17">IFERROR(
病区折扣比例(
(
INDEX([3]Sheet1!$I:$I, MATCH(A17, [3]Sheet1!$B:$B, 0))
/
次均费用!C17
)
)
*INDEX([4]Sheet1!$AL:$AL, MATCH(A17, [4]Sheet1!$A:$A, 0))
* 积分!B17, "--")</f>
        <v>46633.125</v>
      </c>
      <c r="G17" s="2">
        <f>IFERROR(INDEX([4]Sheet1!$AK:$AK, MATCH(A17, [4]Sheet1!$A:$A, 0)) * 积分!C17, "--")</f>
        <v>760</v>
      </c>
      <c r="H17" s="2">
        <f>IFERROR(INDEX([4]Sheet1!$AB:$AB, MATCH(A17, [4]Sheet1!$A:$A, 0)) * 积分!D17, "--")</f>
        <v>0</v>
      </c>
      <c r="I17" s="2">
        <f>IFERROR(INDEX([4]Sheet1!$AA:$AA, MATCH(A17, [4]Sheet1!$A:$A, 0)) * 积分!E17, "--")</f>
        <v>0</v>
      </c>
      <c r="J17" s="2">
        <f>IFERROR(INDEX([4]Sheet1!$Z:$Z, MATCH(A17, [4]Sheet1!$A:$A, 0)) * 积分!F17, "--")</f>
        <v>0</v>
      </c>
      <c r="K17" s="2">
        <f>IFERROR(INDEX([4]Sheet1!$Y:$Y, MATCH(A17, [4]Sheet1!$A:$A, 0)) * 积分!G17, "--")</f>
        <v>0</v>
      </c>
      <c r="L17" s="2" cm="1">
        <f t="array" ref="L17">IFERROR(
门诊折扣比例(
(
INDEX([5]Sheet1!$D:$D, MATCH(A17, [5]Sheet1!$B:$B, 0))
/
次均费用!B17
)
)
*INDEX([5]Sheet1!$C:$C, MATCH(A17, [5]Sheet1!$B:$B, 0))
* 积分!H17, "--")</f>
        <v>13890</v>
      </c>
      <c r="M17" s="2">
        <f>IFERROR(INDEX([3]Sheet1!$C:$C, MATCH(A17, [3]Sheet1!$B:$B, 0)) * 积分!I17, "--")</f>
        <v>0</v>
      </c>
      <c r="N17" s="2">
        <f>IFERROR(INDEX([3]Sheet1!$D:$D, MATCH(A17, [3]Sheet1!$B:$B, 0)) * 积分!J17, "--")</f>
        <v>13.8</v>
      </c>
      <c r="O17" s="2">
        <f>IFERROR(INDEX([3]Sheet1!$E:$E, MATCH(A17, [3]Sheet1!$B:$B, 0)) * 积分!K17, "--")</f>
        <v>0</v>
      </c>
      <c r="P17" s="2">
        <f>IFERROR(INDEX([3]Sheet1!$F:$F, MATCH(A17, [3]Sheet1!$B:$B, 0)) * 积分!L17, "--")</f>
        <v>0</v>
      </c>
      <c r="Q17" s="2">
        <f>IFERROR(INDEX([3]Sheet1!$G:$G, MATCH(A17, [3]Sheet1!$B:$B, 0)) * 积分!M17, "--")</f>
        <v>2377.7999999999997</v>
      </c>
      <c r="R17" s="2" t="str" cm="1">
        <f t="array" ref="R17">IFERROR(INDEX([6]Sheet1!$D:$D, MATCH(1, ([6]Sheet1!$B:$B=A17) * ([6]Sheet1!$C:$C="特级护理（临床）"), 0)) * 积分!AI17, "--")</f>
        <v>--</v>
      </c>
      <c r="S17" s="2" t="str" cm="1">
        <f t="array" ref="S17">IFERROR(INDEX([6]Sheet1!$D:$D, MATCH(1, ([6]Sheet1!$B:$B=A17) * ([6]Sheet1!$C:$C="重症监护（临床）"), 0)) * 积分!AJ17, "--")</f>
        <v>--</v>
      </c>
      <c r="T17" s="2" t="str" cm="1">
        <f t="array" ref="T17">IFERROR(INDEX([6]Sheet1!$D:$D, MATCH(1, ([6]Sheet1!$B:$B=A17) * ([6]Sheet1!$C:$C="Ⅰ级护理（临床）"), 0)) * 积分!AK17, "--")</f>
        <v>--</v>
      </c>
      <c r="U17" s="2" t="str" cm="1">
        <f t="array" ref="U17">IFERROR(INDEX([6]Sheet1!$D:$D, MATCH(1, ([6]Sheet1!$B:$B=A17) * ([6]Sheet1!$C:$C="Ⅱ级护理（临床）"), 0)) * 积分!AL17, "--")</f>
        <v>--</v>
      </c>
      <c r="V17" s="2" t="str" cm="1">
        <f t="array" ref="V17">IFERROR(INDEX([6]Sheet1!$D:$D, MATCH(1, ([6]Sheet1!$B:$B=A17) * ([6]Sheet1!$C:$C="护士中医适宜技术（临床）"), 0)) * 积分!AM17, "--")</f>
        <v>--</v>
      </c>
      <c r="W17" s="2">
        <f>IFERROR(INDEX([3]Sheet1!$H:$H, MATCH(A17, [3]Sheet1!$B:$B, 0)) * 积分!N17, "--")</f>
        <v>0</v>
      </c>
      <c r="X17" s="2">
        <f>IFERROR(INDEX([3]Sheet1!$J:$J, MATCH(A17, [3]Sheet1!$B:$B, 0)) * 积分!O17, "--")</f>
        <v>0</v>
      </c>
      <c r="Y17" s="2" t="str" cm="1">
        <f t="array" ref="Y17">IFERROR(INDEX([7]Sheet1!$D:$D, MATCH(1, ([7]Sheet1!$B:$B=A17) * ([7]Sheet1!$C:$C="单位系数"), 0)) * 积分!P17, "--")</f>
        <v>--</v>
      </c>
      <c r="Z17" s="2" t="str" cm="1">
        <f t="array" ref="Z17">IFERROR(INDEX([7]Sheet1!$D:$D, MATCH(1, ([7]Sheet1!$B:$B=A17) * ([7]Sheet1!$C:$C="多学科联合(MDT)门诊"), 0)) * 积分!Q17, "--")</f>
        <v>--</v>
      </c>
      <c r="AA17" s="2" t="str" cm="1">
        <f t="array" ref="AA17">IFERROR(INDEX([7]Sheet1!$D:$D, MATCH(1, ([7]Sheet1!$B:$B=A17) * ([7]Sheet1!$C:$C="核算金额"), 0)) * 积分!R17, "--")</f>
        <v>--</v>
      </c>
      <c r="AB17" s="2" t="str" cm="1">
        <f t="array" ref="AB17">IFERROR(INDEX([7]Sheet1!$D:$D, MATCH(1, ([7]Sheet1!$B:$B=A17) * ([7]Sheet1!$C:$C="单据"), 0)), "--")</f>
        <v>--</v>
      </c>
      <c r="AC17" s="2" t="str" cm="1">
        <f t="array" ref="AC17">IFERROR(INDEX([7]Sheet1!$D:$D, MATCH(1, ([7]Sheet1!$B:$B=A17) * ([7]Sheet1!$C:$C="特需门诊"), 0)) * 积分!S17, "--")</f>
        <v>--</v>
      </c>
      <c r="AD17" s="2" t="str" cm="1">
        <f t="array" ref="AD17">IFERROR(INDEX([7]Sheet1!$D:$D, MATCH(1, ([7]Sheet1!$B:$B=A17) * ([7]Sheet1!$C:$C="中医会诊"), 0)) * 积分!T17, "--")</f>
        <v>--</v>
      </c>
      <c r="AE17" s="2">
        <f>积分!U17*0</f>
        <v>0</v>
      </c>
      <c r="AF17" s="2">
        <f>-528.16*积分!V17</f>
        <v>-528.16</v>
      </c>
      <c r="AG17" s="2">
        <f>-528.16*积分!W17</f>
        <v>0</v>
      </c>
      <c r="AH17" s="2">
        <f>-528.16*积分!X17</f>
        <v>0</v>
      </c>
      <c r="AI17" s="2">
        <f>IFERROR(INDEX([4]Sheet1!$AD:$AD, MATCH(A17, [4]Sheet1!$A:$A, 0)) * 积分!AA17, "--")</f>
        <v>0</v>
      </c>
      <c r="AJ17" s="2">
        <f>IFERROR(INDEX([4]Sheet1!$AC:$AC, MATCH(A17, [4]Sheet1!$A:$A, 0)) * 积分!AB17, "--")</f>
        <v>0</v>
      </c>
      <c r="AK17" s="2">
        <f>IFERROR(INDEX([4]Sheet1!$AE:$AE, MATCH(A17, [4]Sheet1!$A:$A, 0)) * 积分!AC17, "--")</f>
        <v>78.5</v>
      </c>
      <c r="AL17" s="2">
        <f>IFERROR(INDEX([4]Sheet1!$AF:$AF, MATCH(A17, [4]Sheet1!$A:$A, 0)) * 积分!AD17, "--")</f>
        <v>4680.0600000000004</v>
      </c>
      <c r="AM17" s="2">
        <f>IFERROR(INDEX([4]Sheet1!$AG:$AG, MATCH(A17, [4]Sheet1!$A:$A, 0)) * 积分!AE17, "--")</f>
        <v>0</v>
      </c>
      <c r="AN17" s="2">
        <f>IFERROR(INDEX([4]Sheet1!$AH:$AH, MATCH(A17, [4]Sheet1!$A:$A, 0)) * 积分!AF17, "--")</f>
        <v>0</v>
      </c>
      <c r="AO17" s="2">
        <f>IFERROR(INDEX([4]Sheet1!$AI:$AI, MATCH(A17, [4]Sheet1!$A:$A, 0)) * 积分!AG17, "--")</f>
        <v>0</v>
      </c>
      <c r="AP17" s="2">
        <f>IFERROR(INDEX([4]Sheet1!$AJ:$AJ, MATCH(A17, [4]Sheet1!$A:$A, 0)) * 积分!AH17, "--")</f>
        <v>0</v>
      </c>
      <c r="AQ17" s="2">
        <v>0</v>
      </c>
      <c r="AR17" s="2">
        <v>0</v>
      </c>
      <c r="AS17" s="12" t="s">
        <v>117</v>
      </c>
      <c r="AT17" s="12" t="s">
        <v>117</v>
      </c>
      <c r="AU17" s="12" t="s">
        <v>117</v>
      </c>
      <c r="AV17" s="12" t="s">
        <v>117</v>
      </c>
      <c r="AW17" s="12" t="s">
        <v>117</v>
      </c>
      <c r="AX17" s="12" t="s">
        <v>117</v>
      </c>
      <c r="AY17" s="12" t="s">
        <v>117</v>
      </c>
      <c r="AZ17" s="12" t="s">
        <v>117</v>
      </c>
      <c r="BA17" s="12" t="s">
        <v>117</v>
      </c>
      <c r="BB17" s="12" t="s">
        <v>117</v>
      </c>
      <c r="BC17" s="12" t="s">
        <v>117</v>
      </c>
    </row>
    <row r="18" spans="1:55" ht="25.65" customHeight="1" x14ac:dyDescent="0.25">
      <c r="A18" s="3" t="s">
        <v>260</v>
      </c>
      <c r="B18" s="4">
        <f t="shared" si="0"/>
        <v>-16598.95</v>
      </c>
      <c r="C18" s="4">
        <f t="shared" si="1"/>
        <v>0</v>
      </c>
      <c r="D18" s="4">
        <f t="shared" si="2"/>
        <v>-16598.95</v>
      </c>
      <c r="E18" s="4">
        <f t="shared" si="3"/>
        <v>0</v>
      </c>
      <c r="F18" s="4" t="str" cm="1">
        <f t="array" ref="F18">IFERROR(
病区折扣比例(
(
INDEX([3]Sheet1!$I:$I, MATCH(A18, [3]Sheet1!$B:$B, 0))
/
次均费用!C18
)
)
*INDEX([4]Sheet1!$AL:$AL, MATCH(A18, [4]Sheet1!$A:$A, 0))
* 积分!B18, "--")</f>
        <v>--</v>
      </c>
      <c r="G18" s="4" t="str">
        <f>IFERROR(INDEX([4]Sheet1!$AK:$AK, MATCH(A18, [4]Sheet1!$A:$A, 0)) * 积分!C18, "--")</f>
        <v>--</v>
      </c>
      <c r="H18" s="4" t="str">
        <f>IFERROR(INDEX([4]Sheet1!$AB:$AB, MATCH(A18, [4]Sheet1!$A:$A, 0)) * 积分!D18, "--")</f>
        <v>--</v>
      </c>
      <c r="I18" s="4" t="str">
        <f>IFERROR(INDEX([4]Sheet1!$AA:$AA, MATCH(A18, [4]Sheet1!$A:$A, 0)) * 积分!E18, "--")</f>
        <v>--</v>
      </c>
      <c r="J18" s="4" t="str">
        <f>IFERROR(INDEX([4]Sheet1!$Z:$Z, MATCH(A18, [4]Sheet1!$A:$A, 0)) * 积分!F18, "--")</f>
        <v>--</v>
      </c>
      <c r="K18" s="4" t="str">
        <f>IFERROR(INDEX([4]Sheet1!$Y:$Y, MATCH(A18, [4]Sheet1!$A:$A, 0)) * 积分!G18, "--")</f>
        <v>--</v>
      </c>
      <c r="L18" s="4" t="str" cm="1">
        <f t="array" ref="L18">IFERROR(
门诊折扣比例(
(
INDEX([5]Sheet1!$D:$D, MATCH(A18, [5]Sheet1!$B:$B, 0))
/
次均费用!B18
)
)
*INDEX([5]Sheet1!$C:$C, MATCH(A18, [5]Sheet1!$B:$B, 0))
* 积分!H18, "--")</f>
        <v>--</v>
      </c>
      <c r="M18" s="4" t="str">
        <f>IFERROR(INDEX([3]Sheet1!$C:$C, MATCH(A18, [3]Sheet1!$B:$B, 0)) * 积分!I18, "--")</f>
        <v>--</v>
      </c>
      <c r="N18" s="4" t="str">
        <f>IFERROR(INDEX([3]Sheet1!$D:$D, MATCH(A18, [3]Sheet1!$B:$B, 0)) * 积分!J18, "--")</f>
        <v>--</v>
      </c>
      <c r="O18" s="4" t="str">
        <f>IFERROR(INDEX([3]Sheet1!$E:$E, MATCH(A18, [3]Sheet1!$B:$B, 0)) * 积分!K18, "--")</f>
        <v>--</v>
      </c>
      <c r="P18" s="4" t="str">
        <f>IFERROR(INDEX([3]Sheet1!$F:$F, MATCH(A18, [3]Sheet1!$B:$B, 0)) * 积分!L18, "--")</f>
        <v>--</v>
      </c>
      <c r="Q18" s="4" t="str">
        <f>IFERROR(INDEX([3]Sheet1!$G:$G, MATCH(A18, [3]Sheet1!$B:$B, 0)) * 积分!M18, "--")</f>
        <v>--</v>
      </c>
      <c r="R18" s="4" t="str" cm="1">
        <f t="array" ref="R18">IFERROR(INDEX([6]Sheet1!$D:$D, MATCH(1, ([6]Sheet1!$B:$B=A18) * ([6]Sheet1!$C:$C="特级护理（临床）"), 0)) * 积分!AI18, "--")</f>
        <v>--</v>
      </c>
      <c r="S18" s="4" t="str" cm="1">
        <f t="array" ref="S18">IFERROR(INDEX([6]Sheet1!$D:$D, MATCH(1, ([6]Sheet1!$B:$B=A18) * ([6]Sheet1!$C:$C="重症监护（临床）"), 0)) * 积分!AJ18, "--")</f>
        <v>--</v>
      </c>
      <c r="T18" s="4" t="str" cm="1">
        <f t="array" ref="T18">IFERROR(INDEX([6]Sheet1!$D:$D, MATCH(1, ([6]Sheet1!$B:$B=A18) * ([6]Sheet1!$C:$C="Ⅰ级护理（临床）"), 0)) * 积分!AK18, "--")</f>
        <v>--</v>
      </c>
      <c r="U18" s="4" t="str" cm="1">
        <f t="array" ref="U18">IFERROR(INDEX([6]Sheet1!$D:$D, MATCH(1, ([6]Sheet1!$B:$B=A18) * ([6]Sheet1!$C:$C="Ⅱ级护理（临床）"), 0)) * 积分!AL18, "--")</f>
        <v>--</v>
      </c>
      <c r="V18" s="4" t="str" cm="1">
        <f t="array" ref="V18">IFERROR(INDEX([6]Sheet1!$D:$D, MATCH(1, ([6]Sheet1!$B:$B=A18) * ([6]Sheet1!$C:$C="护士中医适宜技术（临床）"), 0)) * 积分!AM18, "--")</f>
        <v>--</v>
      </c>
      <c r="W18" s="4" t="str">
        <f>IFERROR(INDEX([3]Sheet1!$H:$H, MATCH(A18, [3]Sheet1!$B:$B, 0)) * 积分!N18, "--")</f>
        <v>--</v>
      </c>
      <c r="X18" s="4" t="str">
        <f>IFERROR(INDEX([3]Sheet1!$J:$J, MATCH(A18, [3]Sheet1!$B:$B, 0)) * 积分!O18, "--")</f>
        <v>--</v>
      </c>
      <c r="Y18" s="4" t="str" cm="1">
        <f t="array" ref="Y18">IFERROR(INDEX([7]Sheet1!$D:$D, MATCH(1, ([7]Sheet1!$B:$B=A18) * ([7]Sheet1!$C:$C="单位系数"), 0)) * 积分!P18, "--")</f>
        <v>--</v>
      </c>
      <c r="Z18" s="4" t="str" cm="1">
        <f t="array" ref="Z18">IFERROR(INDEX([7]Sheet1!$D:$D, MATCH(1, ([7]Sheet1!$B:$B=A18) * ([7]Sheet1!$C:$C="多学科联合(MDT)门诊"), 0)) * 积分!Q18, "--")</f>
        <v>--</v>
      </c>
      <c r="AA18" s="4" t="str" cm="1">
        <f t="array" ref="AA18">IFERROR(INDEX([7]Sheet1!$D:$D, MATCH(1, ([7]Sheet1!$B:$B=A18) * ([7]Sheet1!$C:$C="核算金额"), 0)) * 积分!R18, "--")</f>
        <v>--</v>
      </c>
      <c r="AB18" s="4" t="str" cm="1">
        <f t="array" ref="AB18">IFERROR(INDEX([7]Sheet1!$D:$D, MATCH(1, ([7]Sheet1!$B:$B=A18) * ([7]Sheet1!$C:$C="单据"), 0)), "--")</f>
        <v>--</v>
      </c>
      <c r="AC18" s="4" t="str" cm="1">
        <f t="array" ref="AC18">IFERROR(INDEX([7]Sheet1!$D:$D, MATCH(1, ([7]Sheet1!$B:$B=A18) * ([7]Sheet1!$C:$C="特需门诊"), 0)) * 积分!S18, "--")</f>
        <v>--</v>
      </c>
      <c r="AD18" s="4" t="str" cm="1">
        <f t="array" ref="AD18">IFERROR(INDEX([7]Sheet1!$D:$D, MATCH(1, ([7]Sheet1!$B:$B=A18) * ([7]Sheet1!$C:$C="中医会诊"), 0)) * 积分!T18, "--")</f>
        <v>--</v>
      </c>
      <c r="AE18" s="4">
        <f>积分!U18*0</f>
        <v>0</v>
      </c>
      <c r="AF18" s="4">
        <f>-16598.95*积分!V18</f>
        <v>-16598.95</v>
      </c>
      <c r="AG18" s="4">
        <f>-16598.95*积分!W18</f>
        <v>0</v>
      </c>
      <c r="AH18" s="4">
        <f>-16598.95*积分!X18</f>
        <v>0</v>
      </c>
      <c r="AI18" s="4" t="str">
        <f>IFERROR(INDEX([4]Sheet1!$AD:$AD, MATCH(A18, [4]Sheet1!$A:$A, 0)) * 积分!AA18, "--")</f>
        <v>--</v>
      </c>
      <c r="AJ18" s="4" t="str">
        <f>IFERROR(INDEX([4]Sheet1!$AC:$AC, MATCH(A18, [4]Sheet1!$A:$A, 0)) * 积分!AB18, "--")</f>
        <v>--</v>
      </c>
      <c r="AK18" s="4" t="str">
        <f>IFERROR(INDEX([4]Sheet1!$AE:$AE, MATCH(A18, [4]Sheet1!$A:$A, 0)) * 积分!AC18, "--")</f>
        <v>--</v>
      </c>
      <c r="AL18" s="4" t="str">
        <f>IFERROR(INDEX([4]Sheet1!$AF:$AF, MATCH(A18, [4]Sheet1!$A:$A, 0)) * 积分!AD18, "--")</f>
        <v>--</v>
      </c>
      <c r="AM18" s="4" t="str">
        <f>IFERROR(INDEX([4]Sheet1!$AG:$AG, MATCH(A18, [4]Sheet1!$A:$A, 0)) * 积分!AE18, "--")</f>
        <v>--</v>
      </c>
      <c r="AN18" s="4" t="str">
        <f>IFERROR(INDEX([4]Sheet1!$AH:$AH, MATCH(A18, [4]Sheet1!$A:$A, 0)) * 积分!AF18, "--")</f>
        <v>--</v>
      </c>
      <c r="AO18" s="4" t="str">
        <f>IFERROR(INDEX([4]Sheet1!$AI:$AI, MATCH(A18, [4]Sheet1!$A:$A, 0)) * 积分!AG18, "--")</f>
        <v>--</v>
      </c>
      <c r="AP18" s="4" t="str">
        <f>IFERROR(INDEX([4]Sheet1!$AJ:$AJ, MATCH(A18, [4]Sheet1!$A:$A, 0)) * 积分!AH18, "--")</f>
        <v>--</v>
      </c>
      <c r="AQ18" s="4">
        <v>0</v>
      </c>
      <c r="AR18" s="4">
        <v>0</v>
      </c>
      <c r="AS18" s="7" t="s">
        <v>117</v>
      </c>
      <c r="AT18" s="7" t="s">
        <v>117</v>
      </c>
      <c r="AU18" s="7" t="s">
        <v>117</v>
      </c>
      <c r="AV18" s="7" t="s">
        <v>117</v>
      </c>
      <c r="AW18" s="7" t="s">
        <v>117</v>
      </c>
      <c r="AX18" s="7" t="s">
        <v>117</v>
      </c>
      <c r="AY18" s="7" t="s">
        <v>117</v>
      </c>
      <c r="AZ18" s="7" t="s">
        <v>117</v>
      </c>
      <c r="BA18" s="7" t="s">
        <v>117</v>
      </c>
      <c r="BB18" s="7" t="s">
        <v>117</v>
      </c>
      <c r="BC18" s="7" t="s">
        <v>117</v>
      </c>
    </row>
    <row r="19" spans="1:55" ht="25.65" customHeight="1" x14ac:dyDescent="0.25">
      <c r="A19" s="3" t="s">
        <v>252</v>
      </c>
      <c r="B19" s="4">
        <f t="shared" ref="B19:B20" si="4">ROUND(IF(C19&lt;&gt;"--",C19,0)+IF(D19&lt;&gt;"--",D19,0)+IF(E19&lt;&gt;"--",E19,0),2)</f>
        <v>-16598.95</v>
      </c>
      <c r="C19" s="4">
        <f t="shared" ref="C19:C20" si="5">ROUND(IFERROR(L19+AG19+IF(AA19&lt;&gt;"--",AA19,0),"0"),2)</f>
        <v>0</v>
      </c>
      <c r="D19" s="4">
        <f t="shared" ref="D19:D20" si="6">ROUND(IF(F19&lt;&gt;"--",F19,0) + IF(G19&lt;&gt;"--",G19,0) + IF(H19&lt;&gt;"--",H19,0) + IF(I19&lt;&gt;"--",I19,0) + IF(J19&lt;&gt;"--",J19,0) + IF(K19&lt;&gt;"--",K19,0) +
IF(M19&lt;&gt;"--",M19,0) + IF(N19&lt;&gt;"--",N19,0) + IF(O19&lt;&gt;"--",O19,0) + IF(P19&lt;&gt;"--",P19,0) + IF(Q19&lt;&gt;"--",Q19,0) + IF(R19&lt;&gt;"--",R19,0) +
IF(S19&lt;&gt;"--",S19,0) + IF(T19&lt;&gt;"--",T19,0) + IF(U19&lt;&gt;"--",U19,0) + IF(V19&lt;&gt;"--",V19,0) + IF(W19&lt;&gt;"--",W19,0) + IF(X19&lt;&gt;"--",X19,0) +
IF(Z19&lt;&gt;"--",Z19,0) + IF(AA19&lt;&gt;"--",AA19,0) + IF(AB19&lt;&gt;"--",AB19,0) + IF(AC19&lt;&gt;"--",AC19,0) + IF(AF19&lt;&gt;"--",AF19,0) +
IF(AI19&lt;&gt;"--",AI19,0) + IF(AJ19&lt;&gt;"--",AJ19,0) + IF(AK19&lt;&gt;"--",AK19,0) + IF(AL19&lt;&gt;"--",AL19,0) + IF(AM19&lt;&gt;"--",AM19,0) +
IF(AN19&lt;&gt;"--",AN19,0) + IF(AO19&lt;&gt;"--",AO19,0) + IF(AP19&lt;&gt;"--",AP19,0),2)</f>
        <v>-16598.95</v>
      </c>
      <c r="E19" s="4">
        <f t="shared" ref="E19:E20" si="7">ROUND(IF(Y19&lt;&gt;"--",Y19,0)+IF(AD19&lt;&gt;"--",AD19,0)+IF(AH19&lt;&gt;"--",AH19,0),2)</f>
        <v>0</v>
      </c>
      <c r="F19" s="4" t="str" cm="1">
        <f t="array" ref="F19">IFERROR(
病区折扣比例(
(
INDEX([3]Sheet1!$I:$I, MATCH(A19, [3]Sheet1!$B:$B, 0))
/
次均费用!C19
)
)
*INDEX([4]Sheet1!$AL:$AL, MATCH(A19, [4]Sheet1!$A:$A, 0))
* 积分!B19, "--")</f>
        <v>--</v>
      </c>
      <c r="G19" s="4" t="str">
        <f>IFERROR(INDEX([4]Sheet1!$AK:$AK, MATCH(A19, [4]Sheet1!$A:$A, 0)) * 积分!C19, "--")</f>
        <v>--</v>
      </c>
      <c r="H19" s="4" t="str">
        <f>IFERROR(INDEX([4]Sheet1!$AB:$AB, MATCH(A19, [4]Sheet1!$A:$A, 0)) * 积分!D19, "--")</f>
        <v>--</v>
      </c>
      <c r="I19" s="4" t="str">
        <f>IFERROR(INDEX([4]Sheet1!$AA:$AA, MATCH(A19, [4]Sheet1!$A:$A, 0)) * 积分!E19, "--")</f>
        <v>--</v>
      </c>
      <c r="J19" s="4" t="str">
        <f>IFERROR(INDEX([4]Sheet1!$Z:$Z, MATCH(A19, [4]Sheet1!$A:$A, 0)) * 积分!F19, "--")</f>
        <v>--</v>
      </c>
      <c r="K19" s="4" t="str">
        <f>IFERROR(INDEX([4]Sheet1!$Y:$Y, MATCH(A19, [4]Sheet1!$A:$A, 0)) * 积分!G19, "--")</f>
        <v>--</v>
      </c>
      <c r="L19" s="4" t="str" cm="1">
        <f t="array" ref="L19">IFERROR(
门诊折扣比例(
(
INDEX([5]Sheet1!$D:$D, MATCH(A19, [5]Sheet1!$B:$B, 0))
/
次均费用!B19
)
)
*INDEX([5]Sheet1!$C:$C, MATCH(A19, [5]Sheet1!$B:$B, 0))
* 积分!H19, "--")</f>
        <v>--</v>
      </c>
      <c r="M19" s="4" t="str">
        <f>IFERROR(INDEX([3]Sheet1!$C:$C, MATCH(A19, [3]Sheet1!$B:$B, 0)) * 积分!I19, "--")</f>
        <v>--</v>
      </c>
      <c r="N19" s="4" t="str">
        <f>IFERROR(INDEX([3]Sheet1!$D:$D, MATCH(A19, [3]Sheet1!$B:$B, 0)) * 积分!J19, "--")</f>
        <v>--</v>
      </c>
      <c r="O19" s="4" t="str">
        <f>IFERROR(INDEX([3]Sheet1!$E:$E, MATCH(A19, [3]Sheet1!$B:$B, 0)) * 积分!K19, "--")</f>
        <v>--</v>
      </c>
      <c r="P19" s="4" t="str">
        <f>IFERROR(INDEX([3]Sheet1!$F:$F, MATCH(A19, [3]Sheet1!$B:$B, 0)) * 积分!L19, "--")</f>
        <v>--</v>
      </c>
      <c r="Q19" s="4" t="str">
        <f>IFERROR(INDEX([3]Sheet1!$G:$G, MATCH(A19, [3]Sheet1!$B:$B, 0)) * 积分!M19, "--")</f>
        <v>--</v>
      </c>
      <c r="R19" s="4" t="str" cm="1">
        <f t="array" ref="R19">IFERROR(INDEX([6]Sheet1!$D:$D, MATCH(1, ([6]Sheet1!$B:$B=A19) * ([6]Sheet1!$C:$C="特级护理（临床）"), 0)) * 积分!AI19, "--")</f>
        <v>--</v>
      </c>
      <c r="S19" s="4" t="str" cm="1">
        <f t="array" ref="S19">IFERROR(INDEX([6]Sheet1!$D:$D, MATCH(1, ([6]Sheet1!$B:$B=A19) * ([6]Sheet1!$C:$C="重症监护（临床）"), 0)) * 积分!AJ19, "--")</f>
        <v>--</v>
      </c>
      <c r="T19" s="4" t="str" cm="1">
        <f t="array" ref="T19">IFERROR(INDEX([6]Sheet1!$D:$D, MATCH(1, ([6]Sheet1!$B:$B=A19) * ([6]Sheet1!$C:$C="Ⅰ级护理（临床）"), 0)) * 积分!AK19, "--")</f>
        <v>--</v>
      </c>
      <c r="U19" s="4" t="str" cm="1">
        <f t="array" ref="U19">IFERROR(INDEX([6]Sheet1!$D:$D, MATCH(1, ([6]Sheet1!$B:$B=A19) * ([6]Sheet1!$C:$C="Ⅱ级护理（临床）"), 0)) * 积分!AL19, "--")</f>
        <v>--</v>
      </c>
      <c r="V19" s="4" t="str" cm="1">
        <f t="array" ref="V19">IFERROR(INDEX([6]Sheet1!$D:$D, MATCH(1, ([6]Sheet1!$B:$B=A19) * ([6]Sheet1!$C:$C="护士中医适宜技术（临床）"), 0)) * 积分!AM19, "--")</f>
        <v>--</v>
      </c>
      <c r="W19" s="4" t="str">
        <f>IFERROR(INDEX([3]Sheet1!$H:$H, MATCH(A19, [3]Sheet1!$B:$B, 0)) * 积分!N19, "--")</f>
        <v>--</v>
      </c>
      <c r="X19" s="4" t="str">
        <f>IFERROR(INDEX([3]Sheet1!$J:$J, MATCH(A19, [3]Sheet1!$B:$B, 0)) * 积分!O19, "--")</f>
        <v>--</v>
      </c>
      <c r="Y19" s="4" t="str" cm="1">
        <f t="array" ref="Y19">IFERROR(INDEX([7]Sheet1!$D:$D, MATCH(1, ([7]Sheet1!$B:$B=A19) * ([7]Sheet1!$C:$C="单位系数"), 0)) * 积分!P19, "--")</f>
        <v>--</v>
      </c>
      <c r="Z19" s="4" t="str" cm="1">
        <f t="array" ref="Z19">IFERROR(INDEX([7]Sheet1!$D:$D, MATCH(1, ([7]Sheet1!$B:$B=A19) * ([7]Sheet1!$C:$C="多学科联合(MDT)门诊"), 0)) * 积分!Q19, "--")</f>
        <v>--</v>
      </c>
      <c r="AA19" s="4" t="str" cm="1">
        <f t="array" ref="AA19">IFERROR(INDEX([7]Sheet1!$D:$D, MATCH(1, ([7]Sheet1!$B:$B=A19) * ([7]Sheet1!$C:$C="核算金额"), 0)) * 积分!R19, "--")</f>
        <v>--</v>
      </c>
      <c r="AB19" s="4" t="str" cm="1">
        <f t="array" ref="AB19">IFERROR(INDEX([7]Sheet1!$D:$D, MATCH(1, ([7]Sheet1!$B:$B=A19) * ([7]Sheet1!$C:$C="单据"), 0)), "--")</f>
        <v>--</v>
      </c>
      <c r="AC19" s="4" t="str" cm="1">
        <f t="array" ref="AC19">IFERROR(INDEX([7]Sheet1!$D:$D, MATCH(1, ([7]Sheet1!$B:$B=A19) * ([7]Sheet1!$C:$C="特需门诊"), 0)) * 积分!S19, "--")</f>
        <v>--</v>
      </c>
      <c r="AD19" s="4" t="str" cm="1">
        <f t="array" ref="AD19">IFERROR(INDEX([7]Sheet1!$D:$D, MATCH(1, ([7]Sheet1!$B:$B=A19) * ([7]Sheet1!$C:$C="中医会诊"), 0)) * 积分!T19, "--")</f>
        <v>--</v>
      </c>
      <c r="AE19" s="4">
        <f>积分!U19*0</f>
        <v>0</v>
      </c>
      <c r="AF19" s="4">
        <f>-16598.95*积分!V19</f>
        <v>-16598.95</v>
      </c>
      <c r="AG19" s="4">
        <f>-16598.95*积分!W19</f>
        <v>0</v>
      </c>
      <c r="AH19" s="4">
        <f>-16598.95*积分!X19</f>
        <v>0</v>
      </c>
      <c r="AI19" s="4" t="str">
        <f>IFERROR(INDEX([4]Sheet1!$AD:$AD, MATCH(A19, [4]Sheet1!$A:$A, 0)) * 积分!AA19, "--")</f>
        <v>--</v>
      </c>
      <c r="AJ19" s="4" t="str">
        <f>IFERROR(INDEX([4]Sheet1!$AC:$AC, MATCH(A19, [4]Sheet1!$A:$A, 0)) * 积分!AB19, "--")</f>
        <v>--</v>
      </c>
      <c r="AK19" s="4" t="str">
        <f>IFERROR(INDEX([4]Sheet1!$AE:$AE, MATCH(A19, [4]Sheet1!$A:$A, 0)) * 积分!AC19, "--")</f>
        <v>--</v>
      </c>
      <c r="AL19" s="4" t="str">
        <f>IFERROR(INDEX([4]Sheet1!$AF:$AF, MATCH(A19, [4]Sheet1!$A:$A, 0)) * 积分!AD19, "--")</f>
        <v>--</v>
      </c>
      <c r="AM19" s="4" t="str">
        <f>IFERROR(INDEX([4]Sheet1!$AG:$AG, MATCH(A19, [4]Sheet1!$A:$A, 0)) * 积分!AE19, "--")</f>
        <v>--</v>
      </c>
      <c r="AN19" s="4" t="str">
        <f>IFERROR(INDEX([4]Sheet1!$AH:$AH, MATCH(A19, [4]Sheet1!$A:$A, 0)) * 积分!AF19, "--")</f>
        <v>--</v>
      </c>
      <c r="AO19" s="4" t="str">
        <f>IFERROR(INDEX([4]Sheet1!$AI:$AI, MATCH(A19, [4]Sheet1!$A:$A, 0)) * 积分!AG19, "--")</f>
        <v>--</v>
      </c>
      <c r="AP19" s="4" t="str">
        <f>IFERROR(INDEX([4]Sheet1!$AJ:$AJ, MATCH(A19, [4]Sheet1!$A:$A, 0)) * 积分!AH19, "--")</f>
        <v>--</v>
      </c>
      <c r="AQ19" s="4">
        <v>0</v>
      </c>
      <c r="AR19" s="4">
        <v>0</v>
      </c>
      <c r="AS19" s="7" t="s">
        <v>117</v>
      </c>
      <c r="AT19" s="7" t="s">
        <v>117</v>
      </c>
      <c r="AU19" s="7" t="s">
        <v>117</v>
      </c>
      <c r="AV19" s="7" t="s">
        <v>117</v>
      </c>
      <c r="AW19" s="7" t="s">
        <v>117</v>
      </c>
      <c r="AX19" s="7" t="s">
        <v>117</v>
      </c>
      <c r="AY19" s="7" t="s">
        <v>117</v>
      </c>
      <c r="AZ19" s="7" t="s">
        <v>117</v>
      </c>
      <c r="BA19" s="7" t="s">
        <v>117</v>
      </c>
      <c r="BB19" s="7" t="s">
        <v>117</v>
      </c>
      <c r="BC19" s="7" t="s">
        <v>117</v>
      </c>
    </row>
    <row r="20" spans="1:55" ht="25.65" customHeight="1" x14ac:dyDescent="0.25">
      <c r="A20" s="3" t="s">
        <v>253</v>
      </c>
      <c r="B20" s="4">
        <f t="shared" si="4"/>
        <v>-16598.95</v>
      </c>
      <c r="C20" s="4">
        <f t="shared" si="5"/>
        <v>0</v>
      </c>
      <c r="D20" s="4">
        <f t="shared" si="6"/>
        <v>-16598.95</v>
      </c>
      <c r="E20" s="4">
        <f t="shared" si="7"/>
        <v>0</v>
      </c>
      <c r="F20" s="4" t="str" cm="1">
        <f t="array" ref="F20">IFERROR(
病区折扣比例(
(
INDEX([3]Sheet1!$I:$I, MATCH(A20, [3]Sheet1!$B:$B, 0))
/
次均费用!C20
)
)
*INDEX([4]Sheet1!$AL:$AL, MATCH(A20, [4]Sheet1!$A:$A, 0))
* 积分!B20, "--")</f>
        <v>--</v>
      </c>
      <c r="G20" s="4" t="str">
        <f>IFERROR(INDEX([4]Sheet1!$AK:$AK, MATCH(A20, [4]Sheet1!$A:$A, 0)) * 积分!C20, "--")</f>
        <v>--</v>
      </c>
      <c r="H20" s="4" t="str">
        <f>IFERROR(INDEX([4]Sheet1!$AB:$AB, MATCH(A20, [4]Sheet1!$A:$A, 0)) * 积分!D20, "--")</f>
        <v>--</v>
      </c>
      <c r="I20" s="4" t="str">
        <f>IFERROR(INDEX([4]Sheet1!$AA:$AA, MATCH(A20, [4]Sheet1!$A:$A, 0)) * 积分!E20, "--")</f>
        <v>--</v>
      </c>
      <c r="J20" s="4" t="str">
        <f>IFERROR(INDEX([4]Sheet1!$Z:$Z, MATCH(A20, [4]Sheet1!$A:$A, 0)) * 积分!F20, "--")</f>
        <v>--</v>
      </c>
      <c r="K20" s="4" t="str">
        <f>IFERROR(INDEX([4]Sheet1!$Y:$Y, MATCH(A20, [4]Sheet1!$A:$A, 0)) * 积分!G20, "--")</f>
        <v>--</v>
      </c>
      <c r="L20" s="4" t="str" cm="1">
        <f t="array" ref="L20">IFERROR(
门诊折扣比例(
(
INDEX([5]Sheet1!$D:$D, MATCH(A20, [5]Sheet1!$B:$B, 0))
/
次均费用!B20
)
)
*INDEX([5]Sheet1!$C:$C, MATCH(A20, [5]Sheet1!$B:$B, 0))
* 积分!H20, "--")</f>
        <v>--</v>
      </c>
      <c r="M20" s="4" t="str">
        <f>IFERROR(INDEX([3]Sheet1!$C:$C, MATCH(A20, [3]Sheet1!$B:$B, 0)) * 积分!I20, "--")</f>
        <v>--</v>
      </c>
      <c r="N20" s="4" t="str">
        <f>IFERROR(INDEX([3]Sheet1!$D:$D, MATCH(A20, [3]Sheet1!$B:$B, 0)) * 积分!J20, "--")</f>
        <v>--</v>
      </c>
      <c r="O20" s="4" t="str">
        <f>IFERROR(INDEX([3]Sheet1!$E:$E, MATCH(A20, [3]Sheet1!$B:$B, 0)) * 积分!K20, "--")</f>
        <v>--</v>
      </c>
      <c r="P20" s="4" t="str">
        <f>IFERROR(INDEX([3]Sheet1!$F:$F, MATCH(A20, [3]Sheet1!$B:$B, 0)) * 积分!L20, "--")</f>
        <v>--</v>
      </c>
      <c r="Q20" s="4" t="str">
        <f>IFERROR(INDEX([3]Sheet1!$G:$G, MATCH(A20, [3]Sheet1!$B:$B, 0)) * 积分!M20, "--")</f>
        <v>--</v>
      </c>
      <c r="R20" s="4" t="str" cm="1">
        <f t="array" ref="R20">IFERROR(INDEX([6]Sheet1!$D:$D, MATCH(1, ([6]Sheet1!$B:$B=A20) * ([6]Sheet1!$C:$C="特级护理（临床）"), 0)) * 积分!AI20, "--")</f>
        <v>--</v>
      </c>
      <c r="S20" s="4" t="str" cm="1">
        <f t="array" ref="S20">IFERROR(INDEX([6]Sheet1!$D:$D, MATCH(1, ([6]Sheet1!$B:$B=A20) * ([6]Sheet1!$C:$C="重症监护（临床）"), 0)) * 积分!AJ20, "--")</f>
        <v>--</v>
      </c>
      <c r="T20" s="4" t="str" cm="1">
        <f t="array" ref="T20">IFERROR(INDEX([6]Sheet1!$D:$D, MATCH(1, ([6]Sheet1!$B:$B=A20) * ([6]Sheet1!$C:$C="Ⅰ级护理（临床）"), 0)) * 积分!AK20, "--")</f>
        <v>--</v>
      </c>
      <c r="U20" s="4" t="str" cm="1">
        <f t="array" ref="U20">IFERROR(INDEX([6]Sheet1!$D:$D, MATCH(1, ([6]Sheet1!$B:$B=A20) * ([6]Sheet1!$C:$C="Ⅱ级护理（临床）"), 0)) * 积分!AL20, "--")</f>
        <v>--</v>
      </c>
      <c r="V20" s="4" t="str" cm="1">
        <f t="array" ref="V20">IFERROR(INDEX([6]Sheet1!$D:$D, MATCH(1, ([6]Sheet1!$B:$B=A20) * ([6]Sheet1!$C:$C="护士中医适宜技术（临床）"), 0)) * 积分!AM20, "--")</f>
        <v>--</v>
      </c>
      <c r="W20" s="4" t="str">
        <f>IFERROR(INDEX([3]Sheet1!$H:$H, MATCH(A20, [3]Sheet1!$B:$B, 0)) * 积分!N20, "--")</f>
        <v>--</v>
      </c>
      <c r="X20" s="4" t="str">
        <f>IFERROR(INDEX([3]Sheet1!$J:$J, MATCH(A20, [3]Sheet1!$B:$B, 0)) * 积分!O20, "--")</f>
        <v>--</v>
      </c>
      <c r="Y20" s="4" t="str" cm="1">
        <f t="array" ref="Y20">IFERROR(INDEX([7]Sheet1!$D:$D, MATCH(1, ([7]Sheet1!$B:$B=A20) * ([7]Sheet1!$C:$C="单位系数"), 0)) * 积分!P20, "--")</f>
        <v>--</v>
      </c>
      <c r="Z20" s="4" t="str" cm="1">
        <f t="array" ref="Z20">IFERROR(INDEX([7]Sheet1!$D:$D, MATCH(1, ([7]Sheet1!$B:$B=A20) * ([7]Sheet1!$C:$C="多学科联合(MDT)门诊"), 0)) * 积分!Q20, "--")</f>
        <v>--</v>
      </c>
      <c r="AA20" s="4" t="str" cm="1">
        <f t="array" ref="AA20">IFERROR(INDEX([7]Sheet1!$D:$D, MATCH(1, ([7]Sheet1!$B:$B=A20) * ([7]Sheet1!$C:$C="核算金额"), 0)) * 积分!R20, "--")</f>
        <v>--</v>
      </c>
      <c r="AB20" s="4" t="str" cm="1">
        <f t="array" ref="AB20">IFERROR(INDEX([7]Sheet1!$D:$D, MATCH(1, ([7]Sheet1!$B:$B=A20) * ([7]Sheet1!$C:$C="单据"), 0)), "--")</f>
        <v>--</v>
      </c>
      <c r="AC20" s="4" t="str" cm="1">
        <f t="array" ref="AC20">IFERROR(INDEX([7]Sheet1!$D:$D, MATCH(1, ([7]Sheet1!$B:$B=A20) * ([7]Sheet1!$C:$C="特需门诊"), 0)) * 积分!S20, "--")</f>
        <v>--</v>
      </c>
      <c r="AD20" s="4" t="str" cm="1">
        <f t="array" ref="AD20">IFERROR(INDEX([7]Sheet1!$D:$D, MATCH(1, ([7]Sheet1!$B:$B=A20) * ([7]Sheet1!$C:$C="中医会诊"), 0)) * 积分!T20, "--")</f>
        <v>--</v>
      </c>
      <c r="AE20" s="4">
        <f>积分!U20*0</f>
        <v>0</v>
      </c>
      <c r="AF20" s="4">
        <f>-16598.95*积分!V20</f>
        <v>-16598.95</v>
      </c>
      <c r="AG20" s="4">
        <f>-16598.95*积分!W20</f>
        <v>0</v>
      </c>
      <c r="AH20" s="4">
        <f>-16598.95*积分!X20</f>
        <v>0</v>
      </c>
      <c r="AI20" s="4" t="str">
        <f>IFERROR(INDEX([4]Sheet1!$AD:$AD, MATCH(A20, [4]Sheet1!$A:$A, 0)) * 积分!AA20, "--")</f>
        <v>--</v>
      </c>
      <c r="AJ20" s="4" t="str">
        <f>IFERROR(INDEX([4]Sheet1!$AC:$AC, MATCH(A20, [4]Sheet1!$A:$A, 0)) * 积分!AB20, "--")</f>
        <v>--</v>
      </c>
      <c r="AK20" s="4" t="str">
        <f>IFERROR(INDEX([4]Sheet1!$AE:$AE, MATCH(A20, [4]Sheet1!$A:$A, 0)) * 积分!AC20, "--")</f>
        <v>--</v>
      </c>
      <c r="AL20" s="4" t="str">
        <f>IFERROR(INDEX([4]Sheet1!$AF:$AF, MATCH(A20, [4]Sheet1!$A:$A, 0)) * 积分!AD20, "--")</f>
        <v>--</v>
      </c>
      <c r="AM20" s="4" t="str">
        <f>IFERROR(INDEX([4]Sheet1!$AG:$AG, MATCH(A20, [4]Sheet1!$A:$A, 0)) * 积分!AE20, "--")</f>
        <v>--</v>
      </c>
      <c r="AN20" s="4" t="str">
        <f>IFERROR(INDEX([4]Sheet1!$AH:$AH, MATCH(A20, [4]Sheet1!$A:$A, 0)) * 积分!AF20, "--")</f>
        <v>--</v>
      </c>
      <c r="AO20" s="4" t="str">
        <f>IFERROR(INDEX([4]Sheet1!$AI:$AI, MATCH(A20, [4]Sheet1!$A:$A, 0)) * 积分!AG20, "--")</f>
        <v>--</v>
      </c>
      <c r="AP20" s="4" t="str">
        <f>IFERROR(INDEX([4]Sheet1!$AJ:$AJ, MATCH(A20, [4]Sheet1!$A:$A, 0)) * 积分!AH20, "--")</f>
        <v>--</v>
      </c>
      <c r="AQ20" s="4">
        <v>0</v>
      </c>
      <c r="AR20" s="4">
        <v>0</v>
      </c>
      <c r="AS20" s="7" t="s">
        <v>117</v>
      </c>
      <c r="AT20" s="7" t="s">
        <v>117</v>
      </c>
      <c r="AU20" s="7" t="s">
        <v>117</v>
      </c>
      <c r="AV20" s="7" t="s">
        <v>117</v>
      </c>
      <c r="AW20" s="7" t="s">
        <v>117</v>
      </c>
      <c r="AX20" s="7" t="s">
        <v>117</v>
      </c>
      <c r="AY20" s="7" t="s">
        <v>117</v>
      </c>
      <c r="AZ20" s="7" t="s">
        <v>117</v>
      </c>
      <c r="BA20" s="7" t="s">
        <v>117</v>
      </c>
      <c r="BB20" s="7" t="s">
        <v>117</v>
      </c>
      <c r="BC20" s="7" t="s">
        <v>117</v>
      </c>
    </row>
    <row r="21" spans="1:55" ht="25.65" customHeight="1" x14ac:dyDescent="0.25">
      <c r="A21" s="1" t="s">
        <v>51</v>
      </c>
      <c r="B21" s="1">
        <f t="shared" si="0"/>
        <v>51224.23</v>
      </c>
      <c r="C21" s="2">
        <f t="shared" si="1"/>
        <v>7090</v>
      </c>
      <c r="D21" s="2">
        <f t="shared" si="2"/>
        <v>43166.23</v>
      </c>
      <c r="E21" s="2">
        <f t="shared" si="3"/>
        <v>968</v>
      </c>
      <c r="F21" s="2" cm="1">
        <f t="array" ref="F21">IFERROR(
病区折扣比例(
(
INDEX([3]Sheet1!$I:$I, MATCH(A21, [3]Sheet1!$B:$B, 0))
/
次均费用!C21
)
)
*INDEX([4]Sheet1!$AL:$AL, MATCH(A21, [4]Sheet1!$A:$A, 0))
* 积分!B21, "--")</f>
        <v>47022.119999999995</v>
      </c>
      <c r="G21" s="2">
        <f>IFERROR(INDEX([4]Sheet1!$AK:$AK, MATCH(A21, [4]Sheet1!$A:$A, 0)) * 积分!C21, "--")</f>
        <v>640</v>
      </c>
      <c r="H21" s="2">
        <f>IFERROR(INDEX([4]Sheet1!$AB:$AB, MATCH(A21, [4]Sheet1!$A:$A, 0)) * 积分!D21, "--")</f>
        <v>0</v>
      </c>
      <c r="I21" s="2">
        <f>IFERROR(INDEX([4]Sheet1!$AA:$AA, MATCH(A21, [4]Sheet1!$A:$A, 0)) * 积分!E21, "--")</f>
        <v>0</v>
      </c>
      <c r="J21" s="2">
        <f>IFERROR(INDEX([4]Sheet1!$Z:$Z, MATCH(A21, [4]Sheet1!$A:$A, 0)) * 积分!F21, "--")</f>
        <v>0</v>
      </c>
      <c r="K21" s="2">
        <f>IFERROR(INDEX([4]Sheet1!$Y:$Y, MATCH(A21, [4]Sheet1!$A:$A, 0)) * 积分!G21, "--")</f>
        <v>0</v>
      </c>
      <c r="L21" s="2" cm="1">
        <f t="array" ref="L21">IFERROR(
门诊折扣比例(
(
INDEX([5]Sheet1!$D:$D, MATCH(A21, [5]Sheet1!$B:$B, 0))
/
次均费用!B21
)
)
*INDEX([5]Sheet1!$C:$C, MATCH(A21, [5]Sheet1!$B:$B, 0))
* 积分!H21, "--")</f>
        <v>7090</v>
      </c>
      <c r="M21" s="2">
        <f>IFERROR(INDEX([3]Sheet1!$C:$C, MATCH(A21, [3]Sheet1!$B:$B, 0)) * 积分!I21, "--")</f>
        <v>0</v>
      </c>
      <c r="N21" s="2">
        <f>IFERROR(INDEX([3]Sheet1!$D:$D, MATCH(A21, [3]Sheet1!$B:$B, 0)) * 积分!J21, "--")</f>
        <v>248.4</v>
      </c>
      <c r="O21" s="2">
        <f>IFERROR(INDEX([3]Sheet1!$E:$E, MATCH(A21, [3]Sheet1!$B:$B, 0)) * 积分!K21, "--")</f>
        <v>239.2</v>
      </c>
      <c r="P21" s="2">
        <f>IFERROR(INDEX([3]Sheet1!$F:$F, MATCH(A21, [3]Sheet1!$B:$B, 0)) * 积分!L21, "--")</f>
        <v>0</v>
      </c>
      <c r="Q21" s="2">
        <f>IFERROR(INDEX([3]Sheet1!$G:$G, MATCH(A21, [3]Sheet1!$B:$B, 0)) * 积分!M21, "--")</f>
        <v>2900.0699999999997</v>
      </c>
      <c r="R21" s="2" t="str" cm="1">
        <f t="array" ref="R21">IFERROR(INDEX([6]Sheet1!$D:$D, MATCH(1, ([6]Sheet1!$B:$B=A21) * ([6]Sheet1!$C:$C="特级护理（临床）"), 0)) * 积分!AI21, "--")</f>
        <v>--</v>
      </c>
      <c r="S21" s="2" t="str" cm="1">
        <f t="array" ref="S21">IFERROR(INDEX([6]Sheet1!$D:$D, MATCH(1, ([6]Sheet1!$B:$B=A21) * ([6]Sheet1!$C:$C="重症监护（临床）"), 0)) * 积分!AJ21, "--")</f>
        <v>--</v>
      </c>
      <c r="T21" s="2" t="str" cm="1">
        <f t="array" ref="T21">IFERROR(INDEX([6]Sheet1!$D:$D, MATCH(1, ([6]Sheet1!$B:$B=A21) * ([6]Sheet1!$C:$C="Ⅰ级护理（临床）"), 0)) * 积分!AK21, "--")</f>
        <v>--</v>
      </c>
      <c r="U21" s="2" t="str" cm="1">
        <f t="array" ref="U21">IFERROR(INDEX([6]Sheet1!$D:$D, MATCH(1, ([6]Sheet1!$B:$B=A21) * ([6]Sheet1!$C:$C="Ⅱ级护理（临床）"), 0)) * 积分!AL21, "--")</f>
        <v>--</v>
      </c>
      <c r="V21" s="2" t="str" cm="1">
        <f t="array" ref="V21">IFERROR(INDEX([6]Sheet1!$D:$D, MATCH(1, ([6]Sheet1!$B:$B=A21) * ([6]Sheet1!$C:$C="护士中医适宜技术（临床）"), 0)) * 积分!AM21, "--")</f>
        <v>--</v>
      </c>
      <c r="W21" s="2">
        <f>IFERROR(INDEX([3]Sheet1!$H:$H, MATCH(A21, [3]Sheet1!$B:$B, 0)) * 积分!N21, "--")</f>
        <v>0</v>
      </c>
      <c r="X21" s="2">
        <f>IFERROR(INDEX([3]Sheet1!$J:$J, MATCH(A21, [3]Sheet1!$B:$B, 0)) * 积分!O21, "--")</f>
        <v>0</v>
      </c>
      <c r="Y21" s="2" t="str" cm="1">
        <f t="array" ref="Y21">IFERROR(INDEX([7]Sheet1!$D:$D, MATCH(1, ([7]Sheet1!$B:$B=A21) * ([7]Sheet1!$C:$C="单位系数"), 0)) * 积分!P21, "--")</f>
        <v>--</v>
      </c>
      <c r="Z21" s="2" cm="1">
        <f t="array" ref="Z21">IFERROR(INDEX([7]Sheet1!$D:$D, MATCH(1, ([7]Sheet1!$B:$B=A21) * ([7]Sheet1!$C:$C="多学科联合(MDT)门诊"), 0)) * 积分!Q21, "--")</f>
        <v>0</v>
      </c>
      <c r="AA21" s="2" t="str" cm="1">
        <f t="array" ref="AA21">IFERROR(INDEX([7]Sheet1!$D:$D, MATCH(1, ([7]Sheet1!$B:$B=A21) * ([7]Sheet1!$C:$C="核算金额"), 0)) * 积分!R21, "--")</f>
        <v>--</v>
      </c>
      <c r="AB21" s="2" t="str" cm="1">
        <f t="array" ref="AB21">IFERROR(INDEX([7]Sheet1!$D:$D, MATCH(1, ([7]Sheet1!$B:$B=A21) * ([7]Sheet1!$C:$C="单据"), 0)), "--")</f>
        <v>--</v>
      </c>
      <c r="AC21" s="2" cm="1">
        <f t="array" ref="AC21">IFERROR(INDEX([7]Sheet1!$D:$D, MATCH(1, ([7]Sheet1!$B:$B=A21) * ([7]Sheet1!$C:$C="特需门诊"), 0)) * 积分!S21, "--")</f>
        <v>0</v>
      </c>
      <c r="AD21" s="2" cm="1">
        <f t="array" ref="AD21">IFERROR(INDEX([7]Sheet1!$D:$D, MATCH(1, ([7]Sheet1!$B:$B=A21) * ([7]Sheet1!$C:$C="中医会诊"), 0)) * 积分!T21, "--")</f>
        <v>968</v>
      </c>
      <c r="AE21" s="2">
        <f>积分!U21*0</f>
        <v>0</v>
      </c>
      <c r="AF21" s="2">
        <f>-10177*积分!V21</f>
        <v>-10177</v>
      </c>
      <c r="AG21" s="2">
        <f>-10177*积分!W21</f>
        <v>0</v>
      </c>
      <c r="AH21" s="2">
        <f>-10177*积分!X21</f>
        <v>0</v>
      </c>
      <c r="AI21" s="2">
        <f>IFERROR(INDEX([4]Sheet1!$AD:$AD, MATCH(A21, [4]Sheet1!$A:$A, 0)) * 积分!AA21, "--")</f>
        <v>0</v>
      </c>
      <c r="AJ21" s="2">
        <f>IFERROR(INDEX([4]Sheet1!$AC:$AC, MATCH(A21, [4]Sheet1!$A:$A, 0)) * 积分!AB21, "--")</f>
        <v>0</v>
      </c>
      <c r="AK21" s="2">
        <f>IFERROR(INDEX([4]Sheet1!$AE:$AE, MATCH(A21, [4]Sheet1!$A:$A, 0)) * 积分!AC21, "--")</f>
        <v>1554.8</v>
      </c>
      <c r="AL21" s="2">
        <f>IFERROR(INDEX([4]Sheet1!$AF:$AF, MATCH(A21, [4]Sheet1!$A:$A, 0)) * 积分!AD21, "--")</f>
        <v>738.64</v>
      </c>
      <c r="AM21" s="2">
        <f>IFERROR(INDEX([4]Sheet1!$AG:$AG, MATCH(A21, [4]Sheet1!$A:$A, 0)) * 积分!AE21, "--")</f>
        <v>0</v>
      </c>
      <c r="AN21" s="2">
        <f>IFERROR(INDEX([4]Sheet1!$AH:$AH, MATCH(A21, [4]Sheet1!$A:$A, 0)) * 积分!AF21, "--")</f>
        <v>0</v>
      </c>
      <c r="AO21" s="2">
        <f>IFERROR(INDEX([4]Sheet1!$AI:$AI, MATCH(A21, [4]Sheet1!$A:$A, 0)) * 积分!AG21, "--")</f>
        <v>0</v>
      </c>
      <c r="AP21" s="2">
        <f>IFERROR(INDEX([4]Sheet1!$AJ:$AJ, MATCH(A21, [4]Sheet1!$A:$A, 0)) * 积分!AH21, "--")</f>
        <v>0</v>
      </c>
      <c r="AQ21" s="2">
        <v>0</v>
      </c>
      <c r="AR21" s="2">
        <v>0</v>
      </c>
      <c r="AS21" s="12" t="s">
        <v>117</v>
      </c>
      <c r="AT21" s="12" t="s">
        <v>117</v>
      </c>
      <c r="AU21" s="12" t="s">
        <v>117</v>
      </c>
      <c r="AV21" s="12" t="s">
        <v>117</v>
      </c>
      <c r="AW21" s="12" t="s">
        <v>117</v>
      </c>
      <c r="AX21" s="12" t="s">
        <v>117</v>
      </c>
      <c r="AY21" s="12" t="s">
        <v>117</v>
      </c>
      <c r="AZ21" s="12" t="s">
        <v>117</v>
      </c>
      <c r="BA21" s="12" t="s">
        <v>117</v>
      </c>
      <c r="BB21" s="12" t="s">
        <v>117</v>
      </c>
      <c r="BC21" s="12" t="s">
        <v>117</v>
      </c>
    </row>
    <row r="22" spans="1:55" ht="25.65" customHeight="1" x14ac:dyDescent="0.25">
      <c r="A22" s="3" t="s">
        <v>52</v>
      </c>
      <c r="B22" s="4">
        <f t="shared" si="0"/>
        <v>73127.070000000007</v>
      </c>
      <c r="C22" s="4">
        <f t="shared" si="1"/>
        <v>9187.64</v>
      </c>
      <c r="D22" s="4">
        <f t="shared" si="2"/>
        <v>63939.43</v>
      </c>
      <c r="E22" s="4">
        <f t="shared" si="3"/>
        <v>0</v>
      </c>
      <c r="F22" s="4" cm="1">
        <f t="array" ref="F22">IFERROR(
病区折扣比例(
(
INDEX([3]Sheet1!$I:$I, MATCH(A22, [3]Sheet1!$B:$B, 0))
/
次均费用!C22
)
)
*INDEX([4]Sheet1!$AL:$AL, MATCH(A22, [4]Sheet1!$A:$A, 0))
* 积分!B22, "--")</f>
        <v>59166.45</v>
      </c>
      <c r="G22" s="4">
        <f>IFERROR(INDEX([4]Sheet1!$AK:$AK, MATCH(A22, [4]Sheet1!$A:$A, 0)) * 积分!C22, "--")</f>
        <v>900</v>
      </c>
      <c r="H22" s="4">
        <f>IFERROR(INDEX([4]Sheet1!$AB:$AB, MATCH(A22, [4]Sheet1!$A:$A, 0)) * 积分!D22, "--")</f>
        <v>0</v>
      </c>
      <c r="I22" s="4">
        <f>IFERROR(INDEX([4]Sheet1!$AA:$AA, MATCH(A22, [4]Sheet1!$A:$A, 0)) * 积分!E22, "--")</f>
        <v>0</v>
      </c>
      <c r="J22" s="4">
        <f>IFERROR(INDEX([4]Sheet1!$Z:$Z, MATCH(A22, [4]Sheet1!$A:$A, 0)) * 积分!F22, "--")</f>
        <v>0</v>
      </c>
      <c r="K22" s="4">
        <f>IFERROR(INDEX([4]Sheet1!$Y:$Y, MATCH(A22, [4]Sheet1!$A:$A, 0)) * 积分!G22, "--")</f>
        <v>0</v>
      </c>
      <c r="L22" s="4" cm="1">
        <f t="array" ref="L22">IFERROR(
门诊折扣比例(
(
INDEX([5]Sheet1!$D:$D, MATCH(A22, [5]Sheet1!$B:$B, 0))
/
次均费用!B22
)
)
*INDEX([5]Sheet1!$C:$C, MATCH(A22, [5]Sheet1!$B:$B, 0))
* 积分!H22, "--")</f>
        <v>9187.64</v>
      </c>
      <c r="M22" s="4">
        <f>IFERROR(INDEX([3]Sheet1!$C:$C, MATCH(A22, [3]Sheet1!$B:$B, 0)) * 积分!I22, "--")</f>
        <v>0</v>
      </c>
      <c r="N22" s="4">
        <f>IFERROR(INDEX([3]Sheet1!$D:$D, MATCH(A22, [3]Sheet1!$B:$B, 0)) * 积分!J22, "--")</f>
        <v>55.2</v>
      </c>
      <c r="O22" s="4">
        <f>IFERROR(INDEX([3]Sheet1!$E:$E, MATCH(A22, [3]Sheet1!$B:$B, 0)) * 积分!K22, "--")</f>
        <v>46</v>
      </c>
      <c r="P22" s="4">
        <f>IFERROR(INDEX([3]Sheet1!$F:$F, MATCH(A22, [3]Sheet1!$B:$B, 0)) * 积分!L22, "--")</f>
        <v>0</v>
      </c>
      <c r="Q22" s="4">
        <f>IFERROR(INDEX([3]Sheet1!$G:$G, MATCH(A22, [3]Sheet1!$B:$B, 0)) * 积分!M22, "--")</f>
        <v>413.09999999999997</v>
      </c>
      <c r="R22" s="4" t="str" cm="1">
        <f t="array" ref="R22">IFERROR(INDEX([6]Sheet1!$D:$D, MATCH(1, ([6]Sheet1!$B:$B=A22) * ([6]Sheet1!$C:$C="特级护理（临床）"), 0)) * 积分!AI22, "--")</f>
        <v>--</v>
      </c>
      <c r="S22" s="4" t="str" cm="1">
        <f t="array" ref="S22">IFERROR(INDEX([6]Sheet1!$D:$D, MATCH(1, ([6]Sheet1!$B:$B=A22) * ([6]Sheet1!$C:$C="重症监护（临床）"), 0)) * 积分!AJ22, "--")</f>
        <v>--</v>
      </c>
      <c r="T22" s="4" t="str" cm="1">
        <f t="array" ref="T22">IFERROR(INDEX([6]Sheet1!$D:$D, MATCH(1, ([6]Sheet1!$B:$B=A22) * ([6]Sheet1!$C:$C="Ⅰ级护理（临床）"), 0)) * 积分!AK22, "--")</f>
        <v>--</v>
      </c>
      <c r="U22" s="4" t="str" cm="1">
        <f t="array" ref="U22">IFERROR(INDEX([6]Sheet1!$D:$D, MATCH(1, ([6]Sheet1!$B:$B=A22) * ([6]Sheet1!$C:$C="Ⅱ级护理（临床）"), 0)) * 积分!AL22, "--")</f>
        <v>--</v>
      </c>
      <c r="V22" s="4" t="str" cm="1">
        <f t="array" ref="V22">IFERROR(INDEX([6]Sheet1!$D:$D, MATCH(1, ([6]Sheet1!$B:$B=A22) * ([6]Sheet1!$C:$C="护士中医适宜技术（临床）"), 0)) * 积分!AM22, "--")</f>
        <v>--</v>
      </c>
      <c r="W22" s="4">
        <f>IFERROR(INDEX([3]Sheet1!$H:$H, MATCH(A22, [3]Sheet1!$B:$B, 0)) * 积分!N22, "--")</f>
        <v>0</v>
      </c>
      <c r="X22" s="4">
        <f>IFERROR(INDEX([3]Sheet1!$J:$J, MATCH(A22, [3]Sheet1!$B:$B, 0)) * 积分!O22, "--")</f>
        <v>0</v>
      </c>
      <c r="Y22" s="4" t="str" cm="1">
        <f t="array" ref="Y22">IFERROR(INDEX([7]Sheet1!$D:$D, MATCH(1, ([7]Sheet1!$B:$B=A22) * ([7]Sheet1!$C:$C="单位系数"), 0)) * 积分!P22, "--")</f>
        <v>--</v>
      </c>
      <c r="Z22" s="4" cm="1">
        <f t="array" ref="Z22">IFERROR(INDEX([7]Sheet1!$D:$D, MATCH(1, ([7]Sheet1!$B:$B=A22) * ([7]Sheet1!$C:$C="多学科联合(MDT)门诊"), 0)) * 积分!Q22, "--")</f>
        <v>0</v>
      </c>
      <c r="AA22" s="4" t="str" cm="1">
        <f t="array" ref="AA22">IFERROR(INDEX([7]Sheet1!$D:$D, MATCH(1, ([7]Sheet1!$B:$B=A22) * ([7]Sheet1!$C:$C="核算金额"), 0)) * 积分!R22, "--")</f>
        <v>--</v>
      </c>
      <c r="AB22" s="4" t="str" cm="1">
        <f t="array" ref="AB22">IFERROR(INDEX([7]Sheet1!$D:$D, MATCH(1, ([7]Sheet1!$B:$B=A22) * ([7]Sheet1!$C:$C="单据"), 0)), "--")</f>
        <v>--</v>
      </c>
      <c r="AC22" s="4" cm="1">
        <f t="array" ref="AC22">IFERROR(INDEX([7]Sheet1!$D:$D, MATCH(1, ([7]Sheet1!$B:$B=A22) * ([7]Sheet1!$C:$C="特需门诊"), 0)) * 积分!S22, "--")</f>
        <v>0</v>
      </c>
      <c r="AD22" s="4" cm="1">
        <f t="array" ref="AD22">IFERROR(INDEX([7]Sheet1!$D:$D, MATCH(1, ([7]Sheet1!$B:$B=A22) * ([7]Sheet1!$C:$C="中医会诊"), 0)) * 积分!T22, "--")</f>
        <v>0</v>
      </c>
      <c r="AE22" s="4">
        <f>积分!U22*0</f>
        <v>0</v>
      </c>
      <c r="AF22" s="4">
        <f>-1228.41*积分!V22</f>
        <v>-1228.4100000000001</v>
      </c>
      <c r="AG22" s="4">
        <f>-1228.41*积分!W22</f>
        <v>0</v>
      </c>
      <c r="AH22" s="4">
        <f>-1228.41*积分!X22</f>
        <v>0</v>
      </c>
      <c r="AI22" s="4">
        <f>IFERROR(INDEX([4]Sheet1!$AD:$AD, MATCH(A22, [4]Sheet1!$A:$A, 0)) * 积分!AA22, "--")</f>
        <v>0</v>
      </c>
      <c r="AJ22" s="4">
        <f>IFERROR(INDEX([4]Sheet1!$AC:$AC, MATCH(A22, [4]Sheet1!$A:$A, 0)) * 积分!AB22, "--")</f>
        <v>0</v>
      </c>
      <c r="AK22" s="4">
        <f>IFERROR(INDEX([4]Sheet1!$AE:$AE, MATCH(A22, [4]Sheet1!$A:$A, 0)) * 积分!AC22, "--")</f>
        <v>3191.25</v>
      </c>
      <c r="AL22" s="4">
        <f>IFERROR(INDEX([4]Sheet1!$AF:$AF, MATCH(A22, [4]Sheet1!$A:$A, 0)) * 积分!AD22, "--")</f>
        <v>1395.84</v>
      </c>
      <c r="AM22" s="4">
        <f>IFERROR(INDEX([4]Sheet1!$AG:$AG, MATCH(A22, [4]Sheet1!$A:$A, 0)) * 积分!AE22, "--")</f>
        <v>0</v>
      </c>
      <c r="AN22" s="4">
        <f>IFERROR(INDEX([4]Sheet1!$AH:$AH, MATCH(A22, [4]Sheet1!$A:$A, 0)) * 积分!AF22, "--")</f>
        <v>0</v>
      </c>
      <c r="AO22" s="4">
        <f>IFERROR(INDEX([4]Sheet1!$AI:$AI, MATCH(A22, [4]Sheet1!$A:$A, 0)) * 积分!AG22, "--")</f>
        <v>0</v>
      </c>
      <c r="AP22" s="4">
        <f>IFERROR(INDEX([4]Sheet1!$AJ:$AJ, MATCH(A22, [4]Sheet1!$A:$A, 0)) * 积分!AH22, "--")</f>
        <v>0</v>
      </c>
      <c r="AQ22" s="4">
        <v>0</v>
      </c>
      <c r="AR22" s="4">
        <v>0</v>
      </c>
      <c r="AS22" s="7" t="s">
        <v>117</v>
      </c>
      <c r="AT22" s="7" t="s">
        <v>117</v>
      </c>
      <c r="AU22" s="7" t="s">
        <v>117</v>
      </c>
      <c r="AV22" s="7" t="s">
        <v>117</v>
      </c>
      <c r="AW22" s="7" t="s">
        <v>117</v>
      </c>
      <c r="AX22" s="7" t="s">
        <v>117</v>
      </c>
      <c r="AY22" s="7" t="s">
        <v>117</v>
      </c>
      <c r="AZ22" s="7" t="s">
        <v>117</v>
      </c>
      <c r="BA22" s="7" t="s">
        <v>117</v>
      </c>
      <c r="BB22" s="7" t="s">
        <v>117</v>
      </c>
      <c r="BC22" s="7" t="s">
        <v>117</v>
      </c>
    </row>
    <row r="23" spans="1:55" ht="25.65" customHeight="1" x14ac:dyDescent="0.25">
      <c r="A23" s="1" t="s">
        <v>53</v>
      </c>
      <c r="B23" s="1">
        <f t="shared" si="0"/>
        <v>82729.62</v>
      </c>
      <c r="C23" s="2">
        <f t="shared" si="1"/>
        <v>8513.23</v>
      </c>
      <c r="D23" s="2">
        <f t="shared" si="2"/>
        <v>74216.39</v>
      </c>
      <c r="E23" s="2">
        <f t="shared" si="3"/>
        <v>0</v>
      </c>
      <c r="F23" s="2" cm="1">
        <f t="array" ref="F23">IFERROR(
病区折扣比例(
(
INDEX([3]Sheet1!$I:$I, MATCH(A23, [3]Sheet1!$B:$B, 0))
/
次均费用!C23
)
)
*INDEX([4]Sheet1!$AL:$AL, MATCH(A23, [4]Sheet1!$A:$A, 0))
* 积分!B23, "--")</f>
        <v>37728.18</v>
      </c>
      <c r="G23" s="2">
        <f>IFERROR(INDEX([4]Sheet1!$AK:$AK, MATCH(A23, [4]Sheet1!$A:$A, 0)) * 积分!C23, "--")</f>
        <v>1100</v>
      </c>
      <c r="H23" s="2">
        <f>IFERROR(INDEX([4]Sheet1!$AB:$AB, MATCH(A23, [4]Sheet1!$A:$A, 0)) * 积分!D23, "--")</f>
        <v>0</v>
      </c>
      <c r="I23" s="2">
        <f>IFERROR(INDEX([4]Sheet1!$AA:$AA, MATCH(A23, [4]Sheet1!$A:$A, 0)) * 积分!E23, "--")</f>
        <v>0</v>
      </c>
      <c r="J23" s="2">
        <f>IFERROR(INDEX([4]Sheet1!$Z:$Z, MATCH(A23, [4]Sheet1!$A:$A, 0)) * 积分!F23, "--")</f>
        <v>0</v>
      </c>
      <c r="K23" s="2">
        <f>IFERROR(INDEX([4]Sheet1!$Y:$Y, MATCH(A23, [4]Sheet1!$A:$A, 0)) * 积分!G23, "--")</f>
        <v>0</v>
      </c>
      <c r="L23" s="2" cm="1">
        <f t="array" ref="L23">IFERROR(
门诊折扣比例(
(
INDEX([5]Sheet1!$D:$D, MATCH(A23, [5]Sheet1!$B:$B, 0))
/
次均费用!B23
)
)
*INDEX([5]Sheet1!$C:$C, MATCH(A23, [5]Sheet1!$B:$B, 0))
* 积分!H23, "--")</f>
        <v>8513.23</v>
      </c>
      <c r="M23" s="2">
        <f>IFERROR(INDEX([3]Sheet1!$C:$C, MATCH(A23, [3]Sheet1!$B:$B, 0)) * 积分!I23, "--")</f>
        <v>0</v>
      </c>
      <c r="N23" s="2">
        <f>IFERROR(INDEX([3]Sheet1!$D:$D, MATCH(A23, [3]Sheet1!$B:$B, 0)) * 积分!J23, "--")</f>
        <v>41.400000000000006</v>
      </c>
      <c r="O23" s="2">
        <f>IFERROR(INDEX([3]Sheet1!$E:$E, MATCH(A23, [3]Sheet1!$B:$B, 0)) * 积分!K23, "--")</f>
        <v>9.1999999999999993</v>
      </c>
      <c r="P23" s="2">
        <f>IFERROR(INDEX([3]Sheet1!$F:$F, MATCH(A23, [3]Sheet1!$B:$B, 0)) * 积分!L23, "--")</f>
        <v>0</v>
      </c>
      <c r="Q23" s="2">
        <f>IFERROR(INDEX([3]Sheet1!$G:$G, MATCH(A23, [3]Sheet1!$B:$B, 0)) * 积分!M23, "--")</f>
        <v>6457.5</v>
      </c>
      <c r="R23" s="2" t="str" cm="1">
        <f t="array" ref="R23">IFERROR(INDEX([6]Sheet1!$D:$D, MATCH(1, ([6]Sheet1!$B:$B=A23) * ([6]Sheet1!$C:$C="特级护理（临床）"), 0)) * 积分!AI23, "--")</f>
        <v>--</v>
      </c>
      <c r="S23" s="2" t="str" cm="1">
        <f t="array" ref="S23">IFERROR(INDEX([6]Sheet1!$D:$D, MATCH(1, ([6]Sheet1!$B:$B=A23) * ([6]Sheet1!$C:$C="重症监护（临床）"), 0)) * 积分!AJ23, "--")</f>
        <v>--</v>
      </c>
      <c r="T23" s="2" t="str" cm="1">
        <f t="array" ref="T23">IFERROR(INDEX([6]Sheet1!$D:$D, MATCH(1, ([6]Sheet1!$B:$B=A23) * ([6]Sheet1!$C:$C="Ⅰ级护理（临床）"), 0)) * 积分!AK23, "--")</f>
        <v>--</v>
      </c>
      <c r="U23" s="2" t="str" cm="1">
        <f t="array" ref="U23">IFERROR(INDEX([6]Sheet1!$D:$D, MATCH(1, ([6]Sheet1!$B:$B=A23) * ([6]Sheet1!$C:$C="Ⅱ级护理（临床）"), 0)) * 积分!AL23, "--")</f>
        <v>--</v>
      </c>
      <c r="V23" s="2" t="str" cm="1">
        <f t="array" ref="V23">IFERROR(INDEX([6]Sheet1!$D:$D, MATCH(1, ([6]Sheet1!$B:$B=A23) * ([6]Sheet1!$C:$C="护士中医适宜技术（临床）"), 0)) * 积分!AM23, "--")</f>
        <v>--</v>
      </c>
      <c r="W23" s="2">
        <f>IFERROR(INDEX([3]Sheet1!$H:$H, MATCH(A23, [3]Sheet1!$B:$B, 0)) * 积分!N23, "--")</f>
        <v>0</v>
      </c>
      <c r="X23" s="2">
        <f>IFERROR(INDEX([3]Sheet1!$J:$J, MATCH(A23, [3]Sheet1!$B:$B, 0)) * 积分!O23, "--")</f>
        <v>0</v>
      </c>
      <c r="Y23" s="2" t="str" cm="1">
        <f t="array" ref="Y23">IFERROR(INDEX([7]Sheet1!$D:$D, MATCH(1, ([7]Sheet1!$B:$B=A23) * ([7]Sheet1!$C:$C="单位系数"), 0)) * 积分!P23, "--")</f>
        <v>--</v>
      </c>
      <c r="Z23" s="2" cm="1">
        <f t="array" ref="Z23">IFERROR(INDEX([7]Sheet1!$D:$D, MATCH(1, ([7]Sheet1!$B:$B=A23) * ([7]Sheet1!$C:$C="多学科联合(MDT)门诊"), 0)) * 积分!Q23, "--")</f>
        <v>0</v>
      </c>
      <c r="AA23" s="2" t="str" cm="1">
        <f t="array" ref="AA23">IFERROR(INDEX([7]Sheet1!$D:$D, MATCH(1, ([7]Sheet1!$B:$B=A23) * ([7]Sheet1!$C:$C="核算金额"), 0)) * 积分!R23, "--")</f>
        <v>--</v>
      </c>
      <c r="AB23" s="2" t="str" cm="1">
        <f t="array" ref="AB23">IFERROR(INDEX([7]Sheet1!$D:$D, MATCH(1, ([7]Sheet1!$B:$B=A23) * ([7]Sheet1!$C:$C="单据"), 0)), "--")</f>
        <v>--</v>
      </c>
      <c r="AC23" s="2" cm="1">
        <f t="array" ref="AC23">IFERROR(INDEX([7]Sheet1!$D:$D, MATCH(1, ([7]Sheet1!$B:$B=A23) * ([7]Sheet1!$C:$C="特需门诊"), 0)) * 积分!S23, "--")</f>
        <v>0</v>
      </c>
      <c r="AD23" s="2" cm="1">
        <f t="array" ref="AD23">IFERROR(INDEX([7]Sheet1!$D:$D, MATCH(1, ([7]Sheet1!$B:$B=A23) * ([7]Sheet1!$C:$C="中医会诊"), 0)) * 积分!T23, "--")</f>
        <v>0</v>
      </c>
      <c r="AE23" s="2">
        <f>积分!U23*0</f>
        <v>0</v>
      </c>
      <c r="AF23" s="2">
        <f>14231.85*积分!V23</f>
        <v>14231.85</v>
      </c>
      <c r="AG23" s="2">
        <f>14231.85*积分!W23</f>
        <v>0</v>
      </c>
      <c r="AH23" s="2">
        <f>14231.85*积分!X23</f>
        <v>0</v>
      </c>
      <c r="AI23" s="2">
        <f>IFERROR(INDEX([4]Sheet1!$AD:$AD, MATCH(A23, [4]Sheet1!$A:$A, 0)) * 积分!AA23, "--")</f>
        <v>0</v>
      </c>
      <c r="AJ23" s="2">
        <f>IFERROR(INDEX([4]Sheet1!$AC:$AC, MATCH(A23, [4]Sheet1!$A:$A, 0)) * 积分!AB23, "--")</f>
        <v>0</v>
      </c>
      <c r="AK23" s="2">
        <f>IFERROR(INDEX([4]Sheet1!$AE:$AE, MATCH(A23, [4]Sheet1!$A:$A, 0)) * 积分!AC23, "--")</f>
        <v>11967.12</v>
      </c>
      <c r="AL23" s="2">
        <f>IFERROR(INDEX([4]Sheet1!$AF:$AF, MATCH(A23, [4]Sheet1!$A:$A, 0)) * 积分!AD23, "--")</f>
        <v>2681.14</v>
      </c>
      <c r="AM23" s="2">
        <f>IFERROR(INDEX([4]Sheet1!$AG:$AG, MATCH(A23, [4]Sheet1!$A:$A, 0)) * 积分!AE23, "--")</f>
        <v>0</v>
      </c>
      <c r="AN23" s="2">
        <f>IFERROR(INDEX([4]Sheet1!$AH:$AH, MATCH(A23, [4]Sheet1!$A:$A, 0)) * 积分!AF23, "--")</f>
        <v>0</v>
      </c>
      <c r="AO23" s="2">
        <f>IFERROR(INDEX([4]Sheet1!$AI:$AI, MATCH(A23, [4]Sheet1!$A:$A, 0)) * 积分!AG23, "--")</f>
        <v>0</v>
      </c>
      <c r="AP23" s="2">
        <f>IFERROR(INDEX([4]Sheet1!$AJ:$AJ, MATCH(A23, [4]Sheet1!$A:$A, 0)) * 积分!AH23, "--")</f>
        <v>0</v>
      </c>
      <c r="AQ23" s="2">
        <v>0</v>
      </c>
      <c r="AR23" s="2">
        <v>0</v>
      </c>
      <c r="AS23" s="12" t="s">
        <v>117</v>
      </c>
      <c r="AT23" s="12" t="s">
        <v>117</v>
      </c>
      <c r="AU23" s="12" t="s">
        <v>117</v>
      </c>
      <c r="AV23" s="12" t="s">
        <v>117</v>
      </c>
      <c r="AW23" s="12" t="s">
        <v>117</v>
      </c>
      <c r="AX23" s="12" t="s">
        <v>117</v>
      </c>
      <c r="AY23" s="12" t="s">
        <v>117</v>
      </c>
      <c r="AZ23" s="12" t="s">
        <v>117</v>
      </c>
      <c r="BA23" s="12" t="s">
        <v>117</v>
      </c>
      <c r="BB23" s="12" t="s">
        <v>117</v>
      </c>
      <c r="BC23" s="12" t="s">
        <v>117</v>
      </c>
    </row>
    <row r="24" spans="1:55" ht="25.65" customHeight="1" x14ac:dyDescent="0.25">
      <c r="A24" s="3" t="s">
        <v>54</v>
      </c>
      <c r="B24" s="4">
        <f t="shared" si="0"/>
        <v>109073.27</v>
      </c>
      <c r="C24" s="4">
        <f t="shared" si="1"/>
        <v>7568.79</v>
      </c>
      <c r="D24" s="4">
        <f t="shared" si="2"/>
        <v>101504.48</v>
      </c>
      <c r="E24" s="4">
        <f t="shared" si="3"/>
        <v>0</v>
      </c>
      <c r="F24" s="4" cm="1">
        <f t="array" ref="F24">IFERROR(
病区折扣比例(
(
INDEX([3]Sheet1!$I:$I, MATCH(A24, [3]Sheet1!$B:$B, 0))
/
次均费用!C24
)
)
*INDEX([4]Sheet1!$AL:$AL, MATCH(A24, [4]Sheet1!$A:$A, 0))
* 积分!B24, "--")</f>
        <v>58827.964500000002</v>
      </c>
      <c r="G24" s="4">
        <f>IFERROR(INDEX([4]Sheet1!$AK:$AK, MATCH(A24, [4]Sheet1!$A:$A, 0)) * 积分!C24, "--")</f>
        <v>1980</v>
      </c>
      <c r="H24" s="4">
        <f>IFERROR(INDEX([4]Sheet1!$AB:$AB, MATCH(A24, [4]Sheet1!$A:$A, 0)) * 积分!D24, "--")</f>
        <v>0</v>
      </c>
      <c r="I24" s="4">
        <f>IFERROR(INDEX([4]Sheet1!$AA:$AA, MATCH(A24, [4]Sheet1!$A:$A, 0)) * 积分!E24, "--")</f>
        <v>0</v>
      </c>
      <c r="J24" s="4">
        <f>IFERROR(INDEX([4]Sheet1!$Z:$Z, MATCH(A24, [4]Sheet1!$A:$A, 0)) * 积分!F24, "--")</f>
        <v>0</v>
      </c>
      <c r="K24" s="4">
        <f>IFERROR(INDEX([4]Sheet1!$Y:$Y, MATCH(A24, [4]Sheet1!$A:$A, 0)) * 积分!G24, "--")</f>
        <v>0</v>
      </c>
      <c r="L24" s="4" cm="1">
        <f t="array" ref="L24">IFERROR(
门诊折扣比例(
(
INDEX([5]Sheet1!$D:$D, MATCH(A24, [5]Sheet1!$B:$B, 0))
/
次均费用!B24
)
)
*INDEX([5]Sheet1!$C:$C, MATCH(A24, [5]Sheet1!$B:$B, 0))
* 积分!H24, "--")</f>
        <v>7568.7930000000006</v>
      </c>
      <c r="M24" s="4">
        <f>IFERROR(INDEX([3]Sheet1!$C:$C, MATCH(A24, [3]Sheet1!$B:$B, 0)) * 积分!I24, "--")</f>
        <v>0</v>
      </c>
      <c r="N24" s="4">
        <f>IFERROR(INDEX([3]Sheet1!$D:$D, MATCH(A24, [3]Sheet1!$B:$B, 0)) * 积分!J24, "--")</f>
        <v>13.8</v>
      </c>
      <c r="O24" s="4">
        <f>IFERROR(INDEX([3]Sheet1!$E:$E, MATCH(A24, [3]Sheet1!$B:$B, 0)) * 积分!K24, "--")</f>
        <v>0</v>
      </c>
      <c r="P24" s="4">
        <f>IFERROR(INDEX([3]Sheet1!$F:$F, MATCH(A24, [3]Sheet1!$B:$B, 0)) * 积分!L24, "--")</f>
        <v>0</v>
      </c>
      <c r="Q24" s="4">
        <f>IFERROR(INDEX([3]Sheet1!$G:$G, MATCH(A24, [3]Sheet1!$B:$B, 0)) * 积分!M24, "--")</f>
        <v>4880.25</v>
      </c>
      <c r="R24" s="4" t="str" cm="1">
        <f t="array" ref="R24">IFERROR(INDEX([6]Sheet1!$D:$D, MATCH(1, ([6]Sheet1!$B:$B=A24) * ([6]Sheet1!$C:$C="特级护理（临床）"), 0)) * 积分!AI24, "--")</f>
        <v>--</v>
      </c>
      <c r="S24" s="4" t="str" cm="1">
        <f t="array" ref="S24">IFERROR(INDEX([6]Sheet1!$D:$D, MATCH(1, ([6]Sheet1!$B:$B=A24) * ([6]Sheet1!$C:$C="重症监护（临床）"), 0)) * 积分!AJ24, "--")</f>
        <v>--</v>
      </c>
      <c r="T24" s="4" t="str" cm="1">
        <f t="array" ref="T24">IFERROR(INDEX([6]Sheet1!$D:$D, MATCH(1, ([6]Sheet1!$B:$B=A24) * ([6]Sheet1!$C:$C="Ⅰ级护理（临床）"), 0)) * 积分!AK24, "--")</f>
        <v>--</v>
      </c>
      <c r="U24" s="4" t="str" cm="1">
        <f t="array" ref="U24">IFERROR(INDEX([6]Sheet1!$D:$D, MATCH(1, ([6]Sheet1!$B:$B=A24) * ([6]Sheet1!$C:$C="Ⅱ级护理（临床）"), 0)) * 积分!AL24, "--")</f>
        <v>--</v>
      </c>
      <c r="V24" s="4" t="str" cm="1">
        <f t="array" ref="V24">IFERROR(INDEX([6]Sheet1!$D:$D, MATCH(1, ([6]Sheet1!$B:$B=A24) * ([6]Sheet1!$C:$C="护士中医适宜技术（临床）"), 0)) * 积分!AM24, "--")</f>
        <v>--</v>
      </c>
      <c r="W24" s="4">
        <f>IFERROR(INDEX([3]Sheet1!$H:$H, MATCH(A24, [3]Sheet1!$B:$B, 0)) * 积分!N24, "--")</f>
        <v>0</v>
      </c>
      <c r="X24" s="4">
        <f>IFERROR(INDEX([3]Sheet1!$J:$J, MATCH(A24, [3]Sheet1!$B:$B, 0)) * 积分!O24, "--")</f>
        <v>0</v>
      </c>
      <c r="Y24" s="4" t="str" cm="1">
        <f t="array" ref="Y24">IFERROR(INDEX([7]Sheet1!$D:$D, MATCH(1, ([7]Sheet1!$B:$B=A24) * ([7]Sheet1!$C:$C="单位系数"), 0)) * 积分!P24, "--")</f>
        <v>--</v>
      </c>
      <c r="Z24" s="4" cm="1">
        <f t="array" ref="Z24">IFERROR(INDEX([7]Sheet1!$D:$D, MATCH(1, ([7]Sheet1!$B:$B=A24) * ([7]Sheet1!$C:$C="多学科联合(MDT)门诊"), 0)) * 积分!Q24, "--")</f>
        <v>0</v>
      </c>
      <c r="AA24" s="4" t="str" cm="1">
        <f t="array" ref="AA24">IFERROR(INDEX([7]Sheet1!$D:$D, MATCH(1, ([7]Sheet1!$B:$B=A24) * ([7]Sheet1!$C:$C="核算金额"), 0)) * 积分!R24, "--")</f>
        <v>--</v>
      </c>
      <c r="AB24" s="4" t="str" cm="1">
        <f t="array" ref="AB24">IFERROR(INDEX([7]Sheet1!$D:$D, MATCH(1, ([7]Sheet1!$B:$B=A24) * ([7]Sheet1!$C:$C="单据"), 0)), "--")</f>
        <v>--</v>
      </c>
      <c r="AC24" s="4" cm="1">
        <f t="array" ref="AC24">IFERROR(INDEX([7]Sheet1!$D:$D, MATCH(1, ([7]Sheet1!$B:$B=A24) * ([7]Sheet1!$C:$C="特需门诊"), 0)) * 积分!S24, "--")</f>
        <v>0</v>
      </c>
      <c r="AD24" s="4" cm="1">
        <f t="array" ref="AD24">IFERROR(INDEX([7]Sheet1!$D:$D, MATCH(1, ([7]Sheet1!$B:$B=A24) * ([7]Sheet1!$C:$C="中医会诊"), 0)) * 积分!T24, "--")</f>
        <v>0</v>
      </c>
      <c r="AE24" s="4">
        <f>积分!U24*0</f>
        <v>0</v>
      </c>
      <c r="AF24" s="4">
        <f>-13346.91*积分!V24</f>
        <v>-13346.91</v>
      </c>
      <c r="AG24" s="4">
        <f>-13346.91*积分!W24</f>
        <v>0</v>
      </c>
      <c r="AH24" s="4">
        <f>-13346.91*积分!X24</f>
        <v>0</v>
      </c>
      <c r="AI24" s="4">
        <f>IFERROR(INDEX([4]Sheet1!$AD:$AD, MATCH(A24, [4]Sheet1!$A:$A, 0)) * 积分!AA24, "--")</f>
        <v>0</v>
      </c>
      <c r="AJ24" s="4">
        <f>IFERROR(INDEX([4]Sheet1!$AC:$AC, MATCH(A24, [4]Sheet1!$A:$A, 0)) * 积分!AB24, "--")</f>
        <v>0</v>
      </c>
      <c r="AK24" s="4">
        <f>IFERROR(INDEX([4]Sheet1!$AE:$AE, MATCH(A24, [4]Sheet1!$A:$A, 0)) * 积分!AC24, "--")</f>
        <v>40428</v>
      </c>
      <c r="AL24" s="4">
        <f>IFERROR(INDEX([4]Sheet1!$AF:$AF, MATCH(A24, [4]Sheet1!$A:$A, 0)) * 积分!AD24, "--")</f>
        <v>8721.3799999999992</v>
      </c>
      <c r="AM24" s="4">
        <f>IFERROR(INDEX([4]Sheet1!$AG:$AG, MATCH(A24, [4]Sheet1!$A:$A, 0)) * 积分!AE24, "--")</f>
        <v>0</v>
      </c>
      <c r="AN24" s="4">
        <f>IFERROR(INDEX([4]Sheet1!$AH:$AH, MATCH(A24, [4]Sheet1!$A:$A, 0)) * 积分!AF24, "--")</f>
        <v>0</v>
      </c>
      <c r="AO24" s="4">
        <f>IFERROR(INDEX([4]Sheet1!$AI:$AI, MATCH(A24, [4]Sheet1!$A:$A, 0)) * 积分!AG24, "--")</f>
        <v>0</v>
      </c>
      <c r="AP24" s="4">
        <f>IFERROR(INDEX([4]Sheet1!$AJ:$AJ, MATCH(A24, [4]Sheet1!$A:$A, 0)) * 积分!AH24, "--")</f>
        <v>0</v>
      </c>
      <c r="AQ24" s="4">
        <v>0</v>
      </c>
      <c r="AR24" s="4">
        <v>0</v>
      </c>
      <c r="AS24" s="7" t="s">
        <v>117</v>
      </c>
      <c r="AT24" s="7" t="s">
        <v>117</v>
      </c>
      <c r="AU24" s="7" t="s">
        <v>117</v>
      </c>
      <c r="AV24" s="7" t="s">
        <v>117</v>
      </c>
      <c r="AW24" s="7" t="s">
        <v>117</v>
      </c>
      <c r="AX24" s="7" t="s">
        <v>117</v>
      </c>
      <c r="AY24" s="7" t="s">
        <v>117</v>
      </c>
      <c r="AZ24" s="7" t="s">
        <v>117</v>
      </c>
      <c r="BA24" s="7" t="s">
        <v>117</v>
      </c>
      <c r="BB24" s="7" t="s">
        <v>117</v>
      </c>
      <c r="BC24" s="7" t="s">
        <v>117</v>
      </c>
    </row>
    <row r="25" spans="1:55" ht="25.65" customHeight="1" x14ac:dyDescent="0.25">
      <c r="A25" s="1" t="s">
        <v>55</v>
      </c>
      <c r="B25" s="1">
        <f t="shared" si="0"/>
        <v>80378.320000000007</v>
      </c>
      <c r="C25" s="2">
        <f t="shared" si="1"/>
        <v>12814.2</v>
      </c>
      <c r="D25" s="2">
        <f t="shared" si="2"/>
        <v>67564.12</v>
      </c>
      <c r="E25" s="2">
        <f t="shared" si="3"/>
        <v>0</v>
      </c>
      <c r="F25" s="2" cm="1">
        <f t="array" ref="F25">IFERROR(
病区折扣比例(
(
INDEX([3]Sheet1!$I:$I, MATCH(A25, [3]Sheet1!$B:$B, 0))
/
次均费用!C25
)
)
*INDEX([4]Sheet1!$AL:$AL, MATCH(A25, [4]Sheet1!$A:$A, 0))
* 积分!B25, "--")</f>
        <v>46244.25</v>
      </c>
      <c r="G25" s="2">
        <f>IFERROR(INDEX([4]Sheet1!$AK:$AK, MATCH(A25, [4]Sheet1!$A:$A, 0)) * 积分!C25, "--")</f>
        <v>900</v>
      </c>
      <c r="H25" s="2">
        <f>IFERROR(INDEX([4]Sheet1!$AB:$AB, MATCH(A25, [4]Sheet1!$A:$A, 0)) * 积分!D25, "--")</f>
        <v>0</v>
      </c>
      <c r="I25" s="2">
        <f>IFERROR(INDEX([4]Sheet1!$AA:$AA, MATCH(A25, [4]Sheet1!$A:$A, 0)) * 积分!E25, "--")</f>
        <v>0</v>
      </c>
      <c r="J25" s="2">
        <f>IFERROR(INDEX([4]Sheet1!$Z:$Z, MATCH(A25, [4]Sheet1!$A:$A, 0)) * 积分!F25, "--")</f>
        <v>0</v>
      </c>
      <c r="K25" s="2">
        <f>IFERROR(INDEX([4]Sheet1!$Y:$Y, MATCH(A25, [4]Sheet1!$A:$A, 0)) * 积分!G25, "--")</f>
        <v>0</v>
      </c>
      <c r="L25" s="2" cm="1">
        <f t="array" ref="L25">IFERROR(
门诊折扣比例(
(
INDEX([5]Sheet1!$D:$D, MATCH(A25, [5]Sheet1!$B:$B, 0))
/
次均费用!B25
)
)
*INDEX([5]Sheet1!$C:$C, MATCH(A25, [5]Sheet1!$B:$B, 0))
* 积分!H25, "--")</f>
        <v>12814.2</v>
      </c>
      <c r="M25" s="2">
        <f>IFERROR(INDEX([3]Sheet1!$C:$C, MATCH(A25, [3]Sheet1!$B:$B, 0)) * 积分!I25, "--")</f>
        <v>0</v>
      </c>
      <c r="N25" s="2">
        <f>IFERROR(INDEX([3]Sheet1!$D:$D, MATCH(A25, [3]Sheet1!$B:$B, 0)) * 积分!J25, "--")</f>
        <v>110.4</v>
      </c>
      <c r="O25" s="2">
        <f>IFERROR(INDEX([3]Sheet1!$E:$E, MATCH(A25, [3]Sheet1!$B:$B, 0)) * 积分!K25, "--")</f>
        <v>27.599999999999998</v>
      </c>
      <c r="P25" s="2">
        <f>IFERROR(INDEX([3]Sheet1!$F:$F, MATCH(A25, [3]Sheet1!$B:$B, 0)) * 积分!L25, "--")</f>
        <v>0</v>
      </c>
      <c r="Q25" s="2">
        <f>IFERROR(INDEX([3]Sheet1!$G:$G, MATCH(A25, [3]Sheet1!$B:$B, 0)) * 积分!M25, "--")</f>
        <v>2106</v>
      </c>
      <c r="R25" s="2" t="str" cm="1">
        <f t="array" ref="R25">IFERROR(INDEX([6]Sheet1!$D:$D, MATCH(1, ([6]Sheet1!$B:$B=A25) * ([6]Sheet1!$C:$C="特级护理（临床）"), 0)) * 积分!AI25, "--")</f>
        <v>--</v>
      </c>
      <c r="S25" s="2" t="str" cm="1">
        <f t="array" ref="S25">IFERROR(INDEX([6]Sheet1!$D:$D, MATCH(1, ([6]Sheet1!$B:$B=A25) * ([6]Sheet1!$C:$C="重症监护（临床）"), 0)) * 积分!AJ25, "--")</f>
        <v>--</v>
      </c>
      <c r="T25" s="2" t="str" cm="1">
        <f t="array" ref="T25">IFERROR(INDEX([6]Sheet1!$D:$D, MATCH(1, ([6]Sheet1!$B:$B=A25) * ([6]Sheet1!$C:$C="Ⅰ级护理（临床）"), 0)) * 积分!AK25, "--")</f>
        <v>--</v>
      </c>
      <c r="U25" s="2" t="str" cm="1">
        <f t="array" ref="U25">IFERROR(INDEX([6]Sheet1!$D:$D, MATCH(1, ([6]Sheet1!$B:$B=A25) * ([6]Sheet1!$C:$C="Ⅱ级护理（临床）"), 0)) * 积分!AL25, "--")</f>
        <v>--</v>
      </c>
      <c r="V25" s="2" t="str" cm="1">
        <f t="array" ref="V25">IFERROR(INDEX([6]Sheet1!$D:$D, MATCH(1, ([6]Sheet1!$B:$B=A25) * ([6]Sheet1!$C:$C="护士中医适宜技术（临床）"), 0)) * 积分!AM25, "--")</f>
        <v>--</v>
      </c>
      <c r="W25" s="2">
        <f>IFERROR(INDEX([3]Sheet1!$H:$H, MATCH(A25, [3]Sheet1!$B:$B, 0)) * 积分!N25, "--")</f>
        <v>0</v>
      </c>
      <c r="X25" s="2">
        <f>IFERROR(INDEX([3]Sheet1!$J:$J, MATCH(A25, [3]Sheet1!$B:$B, 0)) * 积分!O25, "--")</f>
        <v>1957.6662999999999</v>
      </c>
      <c r="Y25" s="2" t="str" cm="1">
        <f t="array" ref="Y25">IFERROR(INDEX([7]Sheet1!$D:$D, MATCH(1, ([7]Sheet1!$B:$B=A25) * ([7]Sheet1!$C:$C="单位系数"), 0)) * 积分!P25, "--")</f>
        <v>--</v>
      </c>
      <c r="Z25" s="2" cm="1">
        <f t="array" ref="Z25">IFERROR(INDEX([7]Sheet1!$D:$D, MATCH(1, ([7]Sheet1!$B:$B=A25) * ([7]Sheet1!$C:$C="多学科联合(MDT)门诊"), 0)) * 积分!Q25, "--")</f>
        <v>0</v>
      </c>
      <c r="AA25" s="2" t="str" cm="1">
        <f t="array" ref="AA25">IFERROR(INDEX([7]Sheet1!$D:$D, MATCH(1, ([7]Sheet1!$B:$B=A25) * ([7]Sheet1!$C:$C="核算金额"), 0)) * 积分!R25, "--")</f>
        <v>--</v>
      </c>
      <c r="AB25" s="2" t="str" cm="1">
        <f t="array" ref="AB25">IFERROR(INDEX([7]Sheet1!$D:$D, MATCH(1, ([7]Sheet1!$B:$B=A25) * ([7]Sheet1!$C:$C="单据"), 0)), "--")</f>
        <v>--</v>
      </c>
      <c r="AC25" s="2" cm="1">
        <f t="array" ref="AC25">IFERROR(INDEX([7]Sheet1!$D:$D, MATCH(1, ([7]Sheet1!$B:$B=A25) * ([7]Sheet1!$C:$C="特需门诊"), 0)) * 积分!S25, "--")</f>
        <v>0</v>
      </c>
      <c r="AD25" s="2" cm="1">
        <f t="array" ref="AD25">IFERROR(INDEX([7]Sheet1!$D:$D, MATCH(1, ([7]Sheet1!$B:$B=A25) * ([7]Sheet1!$C:$C="中医会诊"), 0)) * 积分!T25, "--")</f>
        <v>0</v>
      </c>
      <c r="AE25" s="2">
        <f>积分!U25*0</f>
        <v>0</v>
      </c>
      <c r="AF25" s="2">
        <f>-1007.62*积分!V25</f>
        <v>-1007.62</v>
      </c>
      <c r="AG25" s="2">
        <f>-1007.62*积分!W25</f>
        <v>0</v>
      </c>
      <c r="AH25" s="2">
        <f>-1007.62*积分!X25</f>
        <v>0</v>
      </c>
      <c r="AI25" s="2">
        <f>IFERROR(INDEX([4]Sheet1!$AD:$AD, MATCH(A25, [4]Sheet1!$A:$A, 0)) * 积分!AA25, "--")</f>
        <v>0</v>
      </c>
      <c r="AJ25" s="2">
        <f>IFERROR(INDEX([4]Sheet1!$AC:$AC, MATCH(A25, [4]Sheet1!$A:$A, 0)) * 积分!AB25, "--")</f>
        <v>0</v>
      </c>
      <c r="AK25" s="2">
        <f>IFERROR(INDEX([4]Sheet1!$AE:$AE, MATCH(A25, [4]Sheet1!$A:$A, 0)) * 积分!AC25, "--")</f>
        <v>16557.580000000002</v>
      </c>
      <c r="AL25" s="2">
        <f>IFERROR(INDEX([4]Sheet1!$AF:$AF, MATCH(A25, [4]Sheet1!$A:$A, 0)) * 积分!AD25, "--")</f>
        <v>668.24</v>
      </c>
      <c r="AM25" s="2">
        <f>IFERROR(INDEX([4]Sheet1!$AG:$AG, MATCH(A25, [4]Sheet1!$A:$A, 0)) * 积分!AE25, "--")</f>
        <v>0</v>
      </c>
      <c r="AN25" s="2">
        <f>IFERROR(INDEX([4]Sheet1!$AH:$AH, MATCH(A25, [4]Sheet1!$A:$A, 0)) * 积分!AF25, "--")</f>
        <v>0</v>
      </c>
      <c r="AO25" s="2">
        <f>IFERROR(INDEX([4]Sheet1!$AI:$AI, MATCH(A25, [4]Sheet1!$A:$A, 0)) * 积分!AG25, "--")</f>
        <v>0</v>
      </c>
      <c r="AP25" s="2">
        <f>IFERROR(INDEX([4]Sheet1!$AJ:$AJ, MATCH(A25, [4]Sheet1!$A:$A, 0)) * 积分!AH25, "--")</f>
        <v>0</v>
      </c>
      <c r="AQ25" s="2">
        <v>0</v>
      </c>
      <c r="AR25" s="2">
        <v>0</v>
      </c>
      <c r="AS25" s="12" t="s">
        <v>117</v>
      </c>
      <c r="AT25" s="12" t="s">
        <v>117</v>
      </c>
      <c r="AU25" s="12" t="s">
        <v>117</v>
      </c>
      <c r="AV25" s="12" t="s">
        <v>117</v>
      </c>
      <c r="AW25" s="12" t="s">
        <v>117</v>
      </c>
      <c r="AX25" s="12" t="s">
        <v>117</v>
      </c>
      <c r="AY25" s="12" t="s">
        <v>117</v>
      </c>
      <c r="AZ25" s="12" t="s">
        <v>117</v>
      </c>
      <c r="BA25" s="12" t="s">
        <v>117</v>
      </c>
      <c r="BB25" s="12" t="s">
        <v>117</v>
      </c>
      <c r="BC25" s="12" t="s">
        <v>117</v>
      </c>
    </row>
    <row r="26" spans="1:55" ht="25.65" customHeight="1" x14ac:dyDescent="0.25">
      <c r="A26" s="3" t="s">
        <v>56</v>
      </c>
      <c r="B26" s="4">
        <f t="shared" si="0"/>
        <v>139332.64000000001</v>
      </c>
      <c r="C26" s="4">
        <f t="shared" si="1"/>
        <v>0</v>
      </c>
      <c r="D26" s="4">
        <f t="shared" si="2"/>
        <v>13545.2</v>
      </c>
      <c r="E26" s="4">
        <f t="shared" si="3"/>
        <v>125787.44</v>
      </c>
      <c r="F26" s="4" cm="1">
        <f t="array" ref="F26">IFERROR(
病区折扣比例(
(
INDEX([3]Sheet1!$I:$I, MATCH(A26, [3]Sheet1!$B:$B, 0))
/
次均费用!C26
)
)
*INDEX([4]Sheet1!$AL:$AL, MATCH(A26, [4]Sheet1!$A:$A, 0))
* 积分!B26, "--")</f>
        <v>0</v>
      </c>
      <c r="G26" s="4">
        <f>IFERROR(INDEX([4]Sheet1!$AK:$AK, MATCH(A26, [4]Sheet1!$A:$A, 0)) * 积分!C26, "--")</f>
        <v>60</v>
      </c>
      <c r="H26" s="4">
        <f>IFERROR(INDEX([4]Sheet1!$AB:$AB, MATCH(A26, [4]Sheet1!$A:$A, 0)) * 积分!D26, "--")</f>
        <v>0</v>
      </c>
      <c r="I26" s="4">
        <f>IFERROR(INDEX([4]Sheet1!$AA:$AA, MATCH(A26, [4]Sheet1!$A:$A, 0)) * 积分!E26, "--")</f>
        <v>0</v>
      </c>
      <c r="J26" s="4">
        <f>IFERROR(INDEX([4]Sheet1!$Z:$Z, MATCH(A26, [4]Sheet1!$A:$A, 0)) * 积分!F26, "--")</f>
        <v>0</v>
      </c>
      <c r="K26" s="4">
        <f>IFERROR(INDEX([4]Sheet1!$Y:$Y, MATCH(A26, [4]Sheet1!$A:$A, 0)) * 积分!G26, "--")</f>
        <v>0</v>
      </c>
      <c r="L26" s="4" t="str" cm="1">
        <f t="array" ref="L26">IFERROR(
门诊折扣比例(
(
INDEX([5]Sheet1!$D:$D, MATCH(A26, [5]Sheet1!$B:$B, 0))
/
次均费用!B26
)
)
*INDEX([5]Sheet1!$C:$C, MATCH(A26, [5]Sheet1!$B:$B, 0))
* 积分!H26, "--")</f>
        <v>--</v>
      </c>
      <c r="M26" s="4">
        <f>IFERROR(INDEX([3]Sheet1!$C:$C, MATCH(A26, [3]Sheet1!$B:$B, 0)) * 积分!I26, "--")</f>
        <v>0</v>
      </c>
      <c r="N26" s="4">
        <f>IFERROR(INDEX([3]Sheet1!$D:$D, MATCH(A26, [3]Sheet1!$B:$B, 0)) * 积分!J26, "--")</f>
        <v>82.800000000000011</v>
      </c>
      <c r="O26" s="4">
        <f>IFERROR(INDEX([3]Sheet1!$E:$E, MATCH(A26, [3]Sheet1!$B:$B, 0)) * 积分!K26, "--")</f>
        <v>36.799999999999997</v>
      </c>
      <c r="P26" s="4">
        <f>IFERROR(INDEX([3]Sheet1!$F:$F, MATCH(A26, [3]Sheet1!$B:$B, 0)) * 积分!L26, "--")</f>
        <v>0</v>
      </c>
      <c r="Q26" s="4">
        <f>IFERROR(INDEX([3]Sheet1!$G:$G, MATCH(A26, [3]Sheet1!$B:$B, 0)) * 积分!M26, "--")</f>
        <v>55.71</v>
      </c>
      <c r="R26" s="4" cm="1">
        <f t="array" ref="R26">IFERROR(INDEX([6]Sheet1!$D:$D, MATCH(1, ([6]Sheet1!$B:$B=A26) * ([6]Sheet1!$C:$C="特级护理（临床）"), 0)) * 积分!AI26, "--")</f>
        <v>0</v>
      </c>
      <c r="S26" s="4" cm="1">
        <f t="array" ref="S26">IFERROR(INDEX([6]Sheet1!$D:$D, MATCH(1, ([6]Sheet1!$B:$B=A26) * ([6]Sheet1!$C:$C="重症监护（临床）"), 0)) * 积分!AJ26, "--")</f>
        <v>18864</v>
      </c>
      <c r="T26" s="4" cm="1">
        <f t="array" ref="T26">IFERROR(INDEX([6]Sheet1!$D:$D, MATCH(1, ([6]Sheet1!$B:$B=A26) * ([6]Sheet1!$C:$C="Ⅰ级护理（临床）"), 0)) * 积分!AK26, "--")</f>
        <v>0</v>
      </c>
      <c r="U26" s="4" cm="1">
        <f t="array" ref="U26">IFERROR(INDEX([6]Sheet1!$D:$D, MATCH(1, ([6]Sheet1!$B:$B=A26) * ([6]Sheet1!$C:$C="Ⅱ级护理（临床）"), 0)) * 积分!AL26, "--")</f>
        <v>0</v>
      </c>
      <c r="V26" s="4" cm="1">
        <f t="array" ref="V26">IFERROR(INDEX([6]Sheet1!$D:$D, MATCH(1, ([6]Sheet1!$B:$B=A26) * ([6]Sheet1!$C:$C="护士中医适宜技术（临床）"), 0)) * 积分!AM26, "--")</f>
        <v>167.13000000000002</v>
      </c>
      <c r="W26" s="4">
        <f>IFERROR(INDEX([3]Sheet1!$H:$H, MATCH(A26, [3]Sheet1!$B:$B, 0)) * 积分!N26, "--")</f>
        <v>2250</v>
      </c>
      <c r="X26" s="4">
        <f>IFERROR(INDEX([3]Sheet1!$J:$J, MATCH(A26, [3]Sheet1!$B:$B, 0)) * 积分!O26, "--")</f>
        <v>0</v>
      </c>
      <c r="Y26" s="4" cm="1">
        <f t="array" ref="Y26">IFERROR(INDEX([7]Sheet1!$D:$D, MATCH(1, ([7]Sheet1!$B:$B=A26) * ([7]Sheet1!$C:$C="单位系数"), 0)) * 积分!P26, "--")</f>
        <v>125787.44</v>
      </c>
      <c r="Z26" s="4" cm="1">
        <f t="array" ref="Z26">IFERROR(INDEX([7]Sheet1!$D:$D, MATCH(1, ([7]Sheet1!$B:$B=A26) * ([7]Sheet1!$C:$C="多学科联合(MDT)门诊"), 0)) * 积分!Q26, "--")</f>
        <v>0</v>
      </c>
      <c r="AA26" s="4" t="str" cm="1">
        <f t="array" ref="AA26">IFERROR(INDEX([7]Sheet1!$D:$D, MATCH(1, ([7]Sheet1!$B:$B=A26) * ([7]Sheet1!$C:$C="核算金额"), 0)) * 积分!R26, "--")</f>
        <v>--</v>
      </c>
      <c r="AB26" s="4" t="str" cm="1">
        <f t="array" ref="AB26">IFERROR(INDEX([7]Sheet1!$D:$D, MATCH(1, ([7]Sheet1!$B:$B=A26) * ([7]Sheet1!$C:$C="单据"), 0)), "--")</f>
        <v>--</v>
      </c>
      <c r="AC26" s="4" t="str" cm="1">
        <f t="array" ref="AC26">IFERROR(INDEX([7]Sheet1!$D:$D, MATCH(1, ([7]Sheet1!$B:$B=A26) * ([7]Sheet1!$C:$C="特需门诊"), 0)) * 积分!S26, "--")</f>
        <v>--</v>
      </c>
      <c r="AD26" s="4" cm="1">
        <f t="array" ref="AD26">IFERROR(INDEX([7]Sheet1!$D:$D, MATCH(1, ([7]Sheet1!$B:$B=A26) * ([7]Sheet1!$C:$C="中医会诊"), 0)) * 积分!T26, "--")</f>
        <v>0</v>
      </c>
      <c r="AE26" s="4">
        <f>积分!U26*0</f>
        <v>0</v>
      </c>
      <c r="AF26" s="4">
        <f>-7971.24*积分!V26</f>
        <v>-7971.24</v>
      </c>
      <c r="AG26" s="4">
        <f>--积分!W26</f>
        <v>0</v>
      </c>
      <c r="AH26" s="4">
        <f>-7971.24*积分!X26</f>
        <v>0</v>
      </c>
      <c r="AI26" s="4">
        <f>IFERROR(INDEX([4]Sheet1!$AD:$AD, MATCH(A26, [4]Sheet1!$A:$A, 0)) * 积分!AA26, "--")</f>
        <v>0</v>
      </c>
      <c r="AJ26" s="4" t="str">
        <f>IFERROR(INDEX([4]Sheet1!$AC:$AC, MATCH(A26, [4]Sheet1!$A:$A, 0)) * 积分!AB26, "--")</f>
        <v>--</v>
      </c>
      <c r="AK26" s="4">
        <f>IFERROR(INDEX([4]Sheet1!$AE:$AE, MATCH(A26, [4]Sheet1!$A:$A, 0)) * 积分!AC26, "--")</f>
        <v>0</v>
      </c>
      <c r="AL26" s="4">
        <f>IFERROR(INDEX([4]Sheet1!$AF:$AF, MATCH(A26, [4]Sheet1!$A:$A, 0)) * 积分!AD26, "--")</f>
        <v>0</v>
      </c>
      <c r="AM26" s="4">
        <f>IFERROR(INDEX([4]Sheet1!$AG:$AG, MATCH(A26, [4]Sheet1!$A:$A, 0)) * 积分!AE26, "--")</f>
        <v>0</v>
      </c>
      <c r="AN26" s="4">
        <f>IFERROR(INDEX([4]Sheet1!$AH:$AH, MATCH(A26, [4]Sheet1!$A:$A, 0)) * 积分!AF26, "--")</f>
        <v>0</v>
      </c>
      <c r="AO26" s="4">
        <f>IFERROR(INDEX([4]Sheet1!$AI:$AI, MATCH(A26, [4]Sheet1!$A:$A, 0)) * 积分!AG26, "--")</f>
        <v>0</v>
      </c>
      <c r="AP26" s="4">
        <f>IFERROR(INDEX([4]Sheet1!$AJ:$AJ, MATCH(A26, [4]Sheet1!$A:$A, 0)) * 积分!AH26, "--")</f>
        <v>0</v>
      </c>
      <c r="AQ26" s="4">
        <v>0</v>
      </c>
      <c r="AR26" s="4">
        <v>0</v>
      </c>
      <c r="AS26" s="7" t="s">
        <v>117</v>
      </c>
      <c r="AT26" s="7" t="s">
        <v>117</v>
      </c>
      <c r="AU26" s="7" t="s">
        <v>117</v>
      </c>
      <c r="AV26" s="7" t="s">
        <v>117</v>
      </c>
      <c r="AW26" s="7" t="s">
        <v>117</v>
      </c>
      <c r="AX26" s="7" t="s">
        <v>117</v>
      </c>
      <c r="AY26" s="7" t="s">
        <v>117</v>
      </c>
      <c r="AZ26" s="7" t="s">
        <v>117</v>
      </c>
      <c r="BA26" s="7" t="s">
        <v>117</v>
      </c>
      <c r="BB26" s="7" t="s">
        <v>117</v>
      </c>
      <c r="BC26" s="7" t="s">
        <v>117</v>
      </c>
    </row>
    <row r="27" spans="1:55" ht="25.65" customHeight="1" x14ac:dyDescent="0.25">
      <c r="A27" s="1" t="s">
        <v>57</v>
      </c>
      <c r="B27" s="1">
        <f t="shared" si="0"/>
        <v>267182.15999999997</v>
      </c>
      <c r="C27" s="2">
        <f t="shared" si="1"/>
        <v>0</v>
      </c>
      <c r="D27" s="2">
        <f t="shared" si="2"/>
        <v>-2339.3200000000002</v>
      </c>
      <c r="E27" s="2">
        <f t="shared" si="3"/>
        <v>269521.48</v>
      </c>
      <c r="F27" s="2" cm="1">
        <f t="array" ref="F27">IFERROR(
病区折扣比例(
(
INDEX([3]Sheet1!$I:$I, MATCH(A27, [3]Sheet1!$B:$B, 0))
/
次均费用!C27
)
)
*INDEX([4]Sheet1!$AL:$AL, MATCH(A27, [4]Sheet1!$A:$A, 0))
* 积分!B27, "--")</f>
        <v>0</v>
      </c>
      <c r="G27" s="2">
        <f>IFERROR(INDEX([4]Sheet1!$AK:$AK, MATCH(A27, [4]Sheet1!$A:$A, 0)) * 积分!C27, "--")</f>
        <v>0</v>
      </c>
      <c r="H27" s="2">
        <f>IFERROR(INDEX([4]Sheet1!$AB:$AB, MATCH(A27, [4]Sheet1!$A:$A, 0)) * 积分!D27, "--")</f>
        <v>0</v>
      </c>
      <c r="I27" s="2">
        <f>IFERROR(INDEX([4]Sheet1!$AA:$AA, MATCH(A27, [4]Sheet1!$A:$A, 0)) * 积分!E27, "--")</f>
        <v>0</v>
      </c>
      <c r="J27" s="2">
        <f>IFERROR(INDEX([4]Sheet1!$Z:$Z, MATCH(A27, [4]Sheet1!$A:$A, 0)) * 积分!F27, "--")</f>
        <v>0</v>
      </c>
      <c r="K27" s="2">
        <f>IFERROR(INDEX([4]Sheet1!$Y:$Y, MATCH(A27, [4]Sheet1!$A:$A, 0)) * 积分!G27, "--")</f>
        <v>0</v>
      </c>
      <c r="L27" s="2" t="str" cm="1">
        <f t="array" ref="L27">IFERROR(
门诊折扣比例(
(
INDEX([5]Sheet1!$D:$D, MATCH(A27, [5]Sheet1!$B:$B, 0))
/
次均费用!B27
)
)
*INDEX([5]Sheet1!$C:$C, MATCH(A27, [5]Sheet1!$B:$B, 0))
* 积分!H27, "--")</f>
        <v>--</v>
      </c>
      <c r="M27" s="2">
        <f>IFERROR(INDEX([3]Sheet1!$C:$C, MATCH(A27, [3]Sheet1!$B:$B, 0)) * 积分!I27, "--")</f>
        <v>0</v>
      </c>
      <c r="N27" s="2">
        <f>IFERROR(INDEX([3]Sheet1!$D:$D, MATCH(A27, [3]Sheet1!$B:$B, 0)) * 积分!J27, "--")</f>
        <v>0</v>
      </c>
      <c r="O27" s="2">
        <f>IFERROR(INDEX([3]Sheet1!$E:$E, MATCH(A27, [3]Sheet1!$B:$B, 0)) * 积分!K27, "--")</f>
        <v>0</v>
      </c>
      <c r="P27" s="2">
        <f>IFERROR(INDEX([3]Sheet1!$F:$F, MATCH(A27, [3]Sheet1!$B:$B, 0)) * 积分!L27, "--")</f>
        <v>0</v>
      </c>
      <c r="Q27" s="2">
        <f>IFERROR(INDEX([3]Sheet1!$G:$G, MATCH(A27, [3]Sheet1!$B:$B, 0)) * 积分!M27, "--")</f>
        <v>0</v>
      </c>
      <c r="R27" s="2" t="str" cm="1">
        <f t="array" ref="R27">IFERROR(INDEX([6]Sheet1!$D:$D, MATCH(1, ([6]Sheet1!$B:$B=A27) * ([6]Sheet1!$C:$C="特级护理（临床）"), 0)) * 积分!AI27, "--")</f>
        <v>--</v>
      </c>
      <c r="S27" s="2" t="str" cm="1">
        <f t="array" ref="S27">IFERROR(INDEX([6]Sheet1!$D:$D, MATCH(1, ([6]Sheet1!$B:$B=A27) * ([6]Sheet1!$C:$C="重症监护（临床）"), 0)) * 积分!AJ27, "--")</f>
        <v>--</v>
      </c>
      <c r="T27" s="2" t="str" cm="1">
        <f t="array" ref="T27">IFERROR(INDEX([6]Sheet1!$D:$D, MATCH(1, ([6]Sheet1!$B:$B=A27) * ([6]Sheet1!$C:$C="Ⅰ级护理（临床）"), 0)) * 积分!AK27, "--")</f>
        <v>--</v>
      </c>
      <c r="U27" s="2" t="str" cm="1">
        <f t="array" ref="U27">IFERROR(INDEX([6]Sheet1!$D:$D, MATCH(1, ([6]Sheet1!$B:$B=A27) * ([6]Sheet1!$C:$C="Ⅱ级护理（临床）"), 0)) * 积分!AL27, "--")</f>
        <v>--</v>
      </c>
      <c r="V27" s="2" t="str" cm="1">
        <f t="array" ref="V27">IFERROR(INDEX([6]Sheet1!$D:$D, MATCH(1, ([6]Sheet1!$B:$B=A27) * ([6]Sheet1!$C:$C="护士中医适宜技术（临床）"), 0)) * 积分!AM27, "--")</f>
        <v>--</v>
      </c>
      <c r="W27" s="2">
        <f>IFERROR(INDEX([3]Sheet1!$H:$H, MATCH(A27, [3]Sheet1!$B:$B, 0)) * 积分!N27, "--")</f>
        <v>0</v>
      </c>
      <c r="X27" s="2">
        <f>IFERROR(INDEX([3]Sheet1!$J:$J, MATCH(A27, [3]Sheet1!$B:$B, 0)) * 积分!O27, "--")</f>
        <v>0</v>
      </c>
      <c r="Y27" s="2" cm="1">
        <f t="array" ref="Y27">IFERROR(INDEX([7]Sheet1!$D:$D, MATCH(1, ([7]Sheet1!$B:$B=A27) * ([7]Sheet1!$C:$C="单位系数"), 0)) * 积分!P27, "--")</f>
        <v>269521.47860000003</v>
      </c>
      <c r="Z27" s="2" cm="1">
        <f t="array" ref="Z27">IFERROR(INDEX([7]Sheet1!$D:$D, MATCH(1, ([7]Sheet1!$B:$B=A27) * ([7]Sheet1!$C:$C="多学科联合(MDT)门诊"), 0)) * 积分!Q27, "--")</f>
        <v>0</v>
      </c>
      <c r="AA27" s="2" t="str" cm="1">
        <f t="array" ref="AA27">IFERROR(INDEX([7]Sheet1!$D:$D, MATCH(1, ([7]Sheet1!$B:$B=A27) * ([7]Sheet1!$C:$C="核算金额"), 0)) * 积分!R27, "--")</f>
        <v>--</v>
      </c>
      <c r="AB27" s="2" t="str" cm="1">
        <f t="array" ref="AB27">IFERROR(INDEX([7]Sheet1!$D:$D, MATCH(1, ([7]Sheet1!$B:$B=A27) * ([7]Sheet1!$C:$C="单据"), 0)), "--")</f>
        <v>--</v>
      </c>
      <c r="AC27" s="2" t="str" cm="1">
        <f t="array" ref="AC27">IFERROR(INDEX([7]Sheet1!$D:$D, MATCH(1, ([7]Sheet1!$B:$B=A27) * ([7]Sheet1!$C:$C="特需门诊"), 0)) * 积分!S27, "--")</f>
        <v>--</v>
      </c>
      <c r="AD27" s="2" t="str" cm="1">
        <f t="array" ref="AD27">IFERROR(INDEX([7]Sheet1!$D:$D, MATCH(1, ([7]Sheet1!$B:$B=A27) * ([7]Sheet1!$C:$C="中医会诊"), 0)) * 积分!T27, "--")</f>
        <v>--</v>
      </c>
      <c r="AE27" s="2">
        <f>积分!U27*0</f>
        <v>0</v>
      </c>
      <c r="AF27" s="2">
        <f>-2339.32*积分!V27</f>
        <v>-2339.3200000000002</v>
      </c>
      <c r="AG27" s="2">
        <f>--积分!W27</f>
        <v>0</v>
      </c>
      <c r="AH27" s="2">
        <f>-2339.32*积分!X27</f>
        <v>0</v>
      </c>
      <c r="AI27" s="2">
        <f>IFERROR(INDEX([4]Sheet1!$AD:$AD, MATCH(A27, [4]Sheet1!$A:$A, 0)) * 积分!AA27, "--")</f>
        <v>0</v>
      </c>
      <c r="AJ27" s="2" t="str">
        <f>IFERROR(INDEX([4]Sheet1!$AC:$AC, MATCH(A27, [4]Sheet1!$A:$A, 0)) * 积分!AB27, "--")</f>
        <v>--</v>
      </c>
      <c r="AK27" s="2">
        <f>IFERROR(INDEX([4]Sheet1!$AE:$AE, MATCH(A27, [4]Sheet1!$A:$A, 0)) * 积分!AC27, "--")</f>
        <v>0</v>
      </c>
      <c r="AL27" s="2">
        <f>IFERROR(INDEX([4]Sheet1!$AF:$AF, MATCH(A27, [4]Sheet1!$A:$A, 0)) * 积分!AD27, "--")</f>
        <v>0</v>
      </c>
      <c r="AM27" s="2">
        <f>IFERROR(INDEX([4]Sheet1!$AG:$AG, MATCH(A27, [4]Sheet1!$A:$A, 0)) * 积分!AE27, "--")</f>
        <v>0</v>
      </c>
      <c r="AN27" s="2">
        <f>IFERROR(INDEX([4]Sheet1!$AH:$AH, MATCH(A27, [4]Sheet1!$A:$A, 0)) * 积分!AF27, "--")</f>
        <v>0</v>
      </c>
      <c r="AO27" s="2">
        <f>IFERROR(INDEX([4]Sheet1!$AI:$AI, MATCH(A27, [4]Sheet1!$A:$A, 0)) * 积分!AG27, "--")</f>
        <v>0</v>
      </c>
      <c r="AP27" s="2">
        <f>IFERROR(INDEX([4]Sheet1!$AJ:$AJ, MATCH(A27, [4]Sheet1!$A:$A, 0)) * 积分!AH27, "--")</f>
        <v>0</v>
      </c>
      <c r="AQ27" s="2">
        <v>0</v>
      </c>
      <c r="AR27" s="2">
        <v>0</v>
      </c>
      <c r="AS27" s="12" t="s">
        <v>117</v>
      </c>
      <c r="AT27" s="12" t="s">
        <v>117</v>
      </c>
      <c r="AU27" s="12" t="s">
        <v>117</v>
      </c>
      <c r="AV27" s="12" t="s">
        <v>117</v>
      </c>
      <c r="AW27" s="12" t="s">
        <v>117</v>
      </c>
      <c r="AX27" s="12" t="s">
        <v>117</v>
      </c>
      <c r="AY27" s="12" t="s">
        <v>117</v>
      </c>
      <c r="AZ27" s="12" t="s">
        <v>117</v>
      </c>
      <c r="BA27" s="12" t="s">
        <v>117</v>
      </c>
      <c r="BB27" s="12" t="s">
        <v>117</v>
      </c>
      <c r="BC27" s="12" t="s">
        <v>117</v>
      </c>
    </row>
    <row r="28" spans="1:55" ht="25.65" customHeight="1" x14ac:dyDescent="0.25">
      <c r="A28" s="3" t="s">
        <v>58</v>
      </c>
      <c r="B28" s="4">
        <f t="shared" si="0"/>
        <v>228503.82</v>
      </c>
      <c r="C28" s="4">
        <f t="shared" si="1"/>
        <v>0</v>
      </c>
      <c r="D28" s="4">
        <f t="shared" si="2"/>
        <v>0</v>
      </c>
      <c r="E28" s="4">
        <f t="shared" si="3"/>
        <v>228503.82</v>
      </c>
      <c r="F28" s="4" t="str" cm="1">
        <f t="array" ref="F28">IFERROR(
病区折扣比例(
(
INDEX([3]Sheet1!$I:$I, MATCH(A28, [3]Sheet1!$B:$B, 0))
/
次均费用!C28
)
)
*INDEX([4]Sheet1!$AL:$AL, MATCH(A28, [4]Sheet1!$A:$A, 0))
* 积分!B28, "--")</f>
        <v>--</v>
      </c>
      <c r="G28" s="4" t="str">
        <f>IFERROR(INDEX([4]Sheet1!$AK:$AK, MATCH(A28, [4]Sheet1!$A:$A, 0)) * 积分!C28, "--")</f>
        <v>--</v>
      </c>
      <c r="H28" s="4" t="str">
        <f>IFERROR(INDEX([4]Sheet1!$AB:$AB, MATCH(A28, [4]Sheet1!$A:$A, 0)) * 积分!D28, "--")</f>
        <v>--</v>
      </c>
      <c r="I28" s="4" t="str">
        <f>IFERROR(INDEX([4]Sheet1!$AA:$AA, MATCH(A28, [4]Sheet1!$A:$A, 0)) * 积分!E28, "--")</f>
        <v>--</v>
      </c>
      <c r="J28" s="4" t="str">
        <f>IFERROR(INDEX([4]Sheet1!$Z:$Z, MATCH(A28, [4]Sheet1!$A:$A, 0)) * 积分!F28, "--")</f>
        <v>--</v>
      </c>
      <c r="K28" s="4" t="str">
        <f>IFERROR(INDEX([4]Sheet1!$Y:$Y, MATCH(A28, [4]Sheet1!$A:$A, 0)) * 积分!G28, "--")</f>
        <v>--</v>
      </c>
      <c r="L28" s="4" t="str" cm="1">
        <f t="array" ref="L28">IFERROR(
门诊折扣比例(
(
INDEX([5]Sheet1!$D:$D, MATCH(A28, [5]Sheet1!$B:$B, 0))
/
次均费用!B28
)
)
*INDEX([5]Sheet1!$C:$C, MATCH(A28, [5]Sheet1!$B:$B, 0))
* 积分!H28, "--")</f>
        <v>--</v>
      </c>
      <c r="M28" s="4" t="str">
        <f>IFERROR(INDEX([3]Sheet1!$C:$C, MATCH(A28, [3]Sheet1!$B:$B, 0)) * 积分!I28, "--")</f>
        <v>--</v>
      </c>
      <c r="N28" s="4" t="str">
        <f>IFERROR(INDEX([3]Sheet1!$D:$D, MATCH(A28, [3]Sheet1!$B:$B, 0)) * 积分!J28, "--")</f>
        <v>--</v>
      </c>
      <c r="O28" s="4" t="str">
        <f>IFERROR(INDEX([3]Sheet1!$E:$E, MATCH(A28, [3]Sheet1!$B:$B, 0)) * 积分!K28, "--")</f>
        <v>--</v>
      </c>
      <c r="P28" s="4" t="str">
        <f>IFERROR(INDEX([3]Sheet1!$F:$F, MATCH(A28, [3]Sheet1!$B:$B, 0)) * 积分!L28, "--")</f>
        <v>--</v>
      </c>
      <c r="Q28" s="4" t="str">
        <f>IFERROR(INDEX([3]Sheet1!$G:$G, MATCH(A28, [3]Sheet1!$B:$B, 0)) * 积分!M28, "--")</f>
        <v>--</v>
      </c>
      <c r="R28" s="4" t="str" cm="1">
        <f t="array" ref="R28">IFERROR(INDEX([6]Sheet1!$D:$D, MATCH(1, ([6]Sheet1!$B:$B=A28) * ([6]Sheet1!$C:$C="特级护理（临床）"), 0)) * 积分!AI28, "--")</f>
        <v>--</v>
      </c>
      <c r="S28" s="4" t="str" cm="1">
        <f t="array" ref="S28">IFERROR(INDEX([6]Sheet1!$D:$D, MATCH(1, ([6]Sheet1!$B:$B=A28) * ([6]Sheet1!$C:$C="重症监护（临床）"), 0)) * 积分!AJ28, "--")</f>
        <v>--</v>
      </c>
      <c r="T28" s="4" t="str" cm="1">
        <f t="array" ref="T28">IFERROR(INDEX([6]Sheet1!$D:$D, MATCH(1, ([6]Sheet1!$B:$B=A28) * ([6]Sheet1!$C:$C="Ⅰ级护理（临床）"), 0)) * 积分!AK28, "--")</f>
        <v>--</v>
      </c>
      <c r="U28" s="4" t="str" cm="1">
        <f t="array" ref="U28">IFERROR(INDEX([6]Sheet1!$D:$D, MATCH(1, ([6]Sheet1!$B:$B=A28) * ([6]Sheet1!$C:$C="Ⅱ级护理（临床）"), 0)) * 积分!AL28, "--")</f>
        <v>--</v>
      </c>
      <c r="V28" s="4" t="str" cm="1">
        <f t="array" ref="V28">IFERROR(INDEX([6]Sheet1!$D:$D, MATCH(1, ([6]Sheet1!$B:$B=A28) * ([6]Sheet1!$C:$C="护士中医适宜技术（临床）"), 0)) * 积分!AM28, "--")</f>
        <v>--</v>
      </c>
      <c r="W28" s="4" t="str">
        <f>IFERROR(INDEX([3]Sheet1!$H:$H, MATCH(A28, [3]Sheet1!$B:$B, 0)) * 积分!N28, "--")</f>
        <v>--</v>
      </c>
      <c r="X28" s="4" t="str">
        <f>IFERROR(INDEX([3]Sheet1!$J:$J, MATCH(A28, [3]Sheet1!$B:$B, 0)) * 积分!O28, "--")</f>
        <v>--</v>
      </c>
      <c r="Y28" s="4" cm="1">
        <f t="array" ref="Y28">IFERROR(INDEX([7]Sheet1!$D:$D, MATCH(1, ([7]Sheet1!$B:$B=A28) * ([7]Sheet1!$C:$C="单位系数"), 0)) * 积分!P28, "--")</f>
        <v>233672.41599999994</v>
      </c>
      <c r="Z28" s="4" cm="1">
        <f t="array" ref="Z28">IFERROR(INDEX([7]Sheet1!$D:$D, MATCH(1, ([7]Sheet1!$B:$B=A28) * ([7]Sheet1!$C:$C="多学科联合(MDT)门诊"), 0)) * 积分!Q28, "--")</f>
        <v>0</v>
      </c>
      <c r="AA28" s="4" t="str" cm="1">
        <f t="array" ref="AA28">IFERROR(INDEX([7]Sheet1!$D:$D, MATCH(1, ([7]Sheet1!$B:$B=A28) * ([7]Sheet1!$C:$C="核算金额"), 0)) * 积分!R28, "--")</f>
        <v>--</v>
      </c>
      <c r="AB28" s="4" t="str" cm="1">
        <f t="array" ref="AB28">IFERROR(INDEX([7]Sheet1!$D:$D, MATCH(1, ([7]Sheet1!$B:$B=A28) * ([7]Sheet1!$C:$C="单据"), 0)), "--")</f>
        <v>--</v>
      </c>
      <c r="AC28" s="4" t="str" cm="1">
        <f t="array" ref="AC28">IFERROR(INDEX([7]Sheet1!$D:$D, MATCH(1, ([7]Sheet1!$B:$B=A28) * ([7]Sheet1!$C:$C="特需门诊"), 0)) * 积分!S28, "--")</f>
        <v>--</v>
      </c>
      <c r="AD28" s="4" t="str" cm="1">
        <f t="array" ref="AD28">IFERROR(INDEX([7]Sheet1!$D:$D, MATCH(1, ([7]Sheet1!$B:$B=A28) * ([7]Sheet1!$C:$C="中医会诊"), 0)) * 积分!T28, "--")</f>
        <v>--</v>
      </c>
      <c r="AE28" s="4">
        <f>积分!U28*0</f>
        <v>0</v>
      </c>
      <c r="AF28" s="4">
        <f>--积分!V28</f>
        <v>0</v>
      </c>
      <c r="AG28" s="4">
        <f>--积分!W28</f>
        <v>0</v>
      </c>
      <c r="AH28" s="4">
        <f>-5168.6*积分!X28</f>
        <v>-5168.6000000000004</v>
      </c>
      <c r="AI28" s="4" t="str">
        <f>IFERROR(INDEX([4]Sheet1!$AD:$AD, MATCH(A28, [4]Sheet1!$A:$A, 0)) * 积分!AA28, "--")</f>
        <v>--</v>
      </c>
      <c r="AJ28" s="4" t="str">
        <f>IFERROR(INDEX([4]Sheet1!$AC:$AC, MATCH(A28, [4]Sheet1!$A:$A, 0)) * 积分!AB28, "--")</f>
        <v>--</v>
      </c>
      <c r="AK28" s="4" t="str">
        <f>IFERROR(INDEX([4]Sheet1!$AE:$AE, MATCH(A28, [4]Sheet1!$A:$A, 0)) * 积分!AC28, "--")</f>
        <v>--</v>
      </c>
      <c r="AL28" s="4" t="str">
        <f>IFERROR(INDEX([4]Sheet1!$AF:$AF, MATCH(A28, [4]Sheet1!$A:$A, 0)) * 积分!AD28, "--")</f>
        <v>--</v>
      </c>
      <c r="AM28" s="4" t="str">
        <f>IFERROR(INDEX([4]Sheet1!$AG:$AG, MATCH(A28, [4]Sheet1!$A:$A, 0)) * 积分!AE28, "--")</f>
        <v>--</v>
      </c>
      <c r="AN28" s="4" t="str">
        <f>IFERROR(INDEX([4]Sheet1!$AH:$AH, MATCH(A28, [4]Sheet1!$A:$A, 0)) * 积分!AF28, "--")</f>
        <v>--</v>
      </c>
      <c r="AO28" s="4" t="str">
        <f>IFERROR(INDEX([4]Sheet1!$AI:$AI, MATCH(A28, [4]Sheet1!$A:$A, 0)) * 积分!AG28, "--")</f>
        <v>--</v>
      </c>
      <c r="AP28" s="4" t="str">
        <f>IFERROR(INDEX([4]Sheet1!$AJ:$AJ, MATCH(A28, [4]Sheet1!$A:$A, 0)) * 积分!AH28, "--")</f>
        <v>--</v>
      </c>
      <c r="AQ28" s="4">
        <v>0</v>
      </c>
      <c r="AR28" s="4">
        <v>0</v>
      </c>
      <c r="AS28" s="7" t="s">
        <v>117</v>
      </c>
      <c r="AT28" s="7" t="s">
        <v>117</v>
      </c>
      <c r="AU28" s="7" t="s">
        <v>117</v>
      </c>
      <c r="AV28" s="7" t="s">
        <v>117</v>
      </c>
      <c r="AW28" s="7" t="s">
        <v>117</v>
      </c>
      <c r="AX28" s="7" t="s">
        <v>117</v>
      </c>
      <c r="AY28" s="7" t="s">
        <v>117</v>
      </c>
      <c r="AZ28" s="7" t="s">
        <v>117</v>
      </c>
      <c r="BA28" s="7" t="s">
        <v>117</v>
      </c>
      <c r="BB28" s="7" t="s">
        <v>117</v>
      </c>
      <c r="BC28" s="7" t="s">
        <v>117</v>
      </c>
    </row>
    <row r="29" spans="1:55" ht="25.65" customHeight="1" x14ac:dyDescent="0.25">
      <c r="A29" s="1" t="s">
        <v>59</v>
      </c>
      <c r="B29" s="1">
        <f t="shared" si="0"/>
        <v>190473.66</v>
      </c>
      <c r="C29" s="2">
        <f t="shared" si="1"/>
        <v>0</v>
      </c>
      <c r="D29" s="2">
        <f t="shared" si="2"/>
        <v>0</v>
      </c>
      <c r="E29" s="2">
        <f t="shared" si="3"/>
        <v>190473.66</v>
      </c>
      <c r="F29" s="2" t="str" cm="1">
        <f t="array" ref="F29">IFERROR(
病区折扣比例(
(
INDEX([3]Sheet1!$I:$I, MATCH(A29, [3]Sheet1!$B:$B, 0))
/
次均费用!C29
)
)
*INDEX([4]Sheet1!$AL:$AL, MATCH(A29, [4]Sheet1!$A:$A, 0))
* 积分!B29, "--")</f>
        <v>--</v>
      </c>
      <c r="G29" s="2">
        <f>IFERROR(INDEX([4]Sheet1!$AK:$AK, MATCH(A29, [4]Sheet1!$A:$A, 0)) * 积分!C29, "--")</f>
        <v>0</v>
      </c>
      <c r="H29" s="2">
        <f>IFERROR(INDEX([4]Sheet1!$AB:$AB, MATCH(A29, [4]Sheet1!$A:$A, 0)) * 积分!D29, "--")</f>
        <v>0</v>
      </c>
      <c r="I29" s="2">
        <f>IFERROR(INDEX([4]Sheet1!$AA:$AA, MATCH(A29, [4]Sheet1!$A:$A, 0)) * 积分!E29, "--")</f>
        <v>0</v>
      </c>
      <c r="J29" s="2">
        <f>IFERROR(INDEX([4]Sheet1!$Z:$Z, MATCH(A29, [4]Sheet1!$A:$A, 0)) * 积分!F29, "--")</f>
        <v>0</v>
      </c>
      <c r="K29" s="2">
        <f>IFERROR(INDEX([4]Sheet1!$Y:$Y, MATCH(A29, [4]Sheet1!$A:$A, 0)) * 积分!G29, "--")</f>
        <v>0</v>
      </c>
      <c r="L29" s="2" t="str" cm="1">
        <f t="array" ref="L29">IFERROR(
门诊折扣比例(
(
INDEX([5]Sheet1!$D:$D, MATCH(A29, [5]Sheet1!$B:$B, 0))
/
次均费用!B29
)
)
*INDEX([5]Sheet1!$C:$C, MATCH(A29, [5]Sheet1!$B:$B, 0))
* 积分!H29, "--")</f>
        <v>--</v>
      </c>
      <c r="M29" s="2" t="str">
        <f>IFERROR(INDEX([3]Sheet1!$C:$C, MATCH(A29, [3]Sheet1!$B:$B, 0)) * 积分!I29, "--")</f>
        <v>--</v>
      </c>
      <c r="N29" s="2" t="str">
        <f>IFERROR(INDEX([3]Sheet1!$D:$D, MATCH(A29, [3]Sheet1!$B:$B, 0)) * 积分!J29, "--")</f>
        <v>--</v>
      </c>
      <c r="O29" s="2" t="str">
        <f>IFERROR(INDEX([3]Sheet1!$E:$E, MATCH(A29, [3]Sheet1!$B:$B, 0)) * 积分!K29, "--")</f>
        <v>--</v>
      </c>
      <c r="P29" s="2" t="str">
        <f>IFERROR(INDEX([3]Sheet1!$F:$F, MATCH(A29, [3]Sheet1!$B:$B, 0)) * 积分!L29, "--")</f>
        <v>--</v>
      </c>
      <c r="Q29" s="2" t="str">
        <f>IFERROR(INDEX([3]Sheet1!$G:$G, MATCH(A29, [3]Sheet1!$B:$B, 0)) * 积分!M29, "--")</f>
        <v>--</v>
      </c>
      <c r="R29" s="2" t="str" cm="1">
        <f t="array" ref="R29">IFERROR(INDEX([6]Sheet1!$D:$D, MATCH(1, ([6]Sheet1!$B:$B=A29) * ([6]Sheet1!$C:$C="特级护理（临床）"), 0)) * 积分!AI29, "--")</f>
        <v>--</v>
      </c>
      <c r="S29" s="2" t="str" cm="1">
        <f t="array" ref="S29">IFERROR(INDEX([6]Sheet1!$D:$D, MATCH(1, ([6]Sheet1!$B:$B=A29) * ([6]Sheet1!$C:$C="重症监护（临床）"), 0)) * 积分!AJ29, "--")</f>
        <v>--</v>
      </c>
      <c r="T29" s="2" t="str" cm="1">
        <f t="array" ref="T29">IFERROR(INDEX([6]Sheet1!$D:$D, MATCH(1, ([6]Sheet1!$B:$B=A29) * ([6]Sheet1!$C:$C="Ⅰ级护理（临床）"), 0)) * 积分!AK29, "--")</f>
        <v>--</v>
      </c>
      <c r="U29" s="2" t="str" cm="1">
        <f t="array" ref="U29">IFERROR(INDEX([6]Sheet1!$D:$D, MATCH(1, ([6]Sheet1!$B:$B=A29) * ([6]Sheet1!$C:$C="Ⅱ级护理（临床）"), 0)) * 积分!AL29, "--")</f>
        <v>--</v>
      </c>
      <c r="V29" s="2" t="str" cm="1">
        <f t="array" ref="V29">IFERROR(INDEX([6]Sheet1!$D:$D, MATCH(1, ([6]Sheet1!$B:$B=A29) * ([6]Sheet1!$C:$C="护士中医适宜技术（临床）"), 0)) * 积分!AM29, "--")</f>
        <v>--</v>
      </c>
      <c r="W29" s="2" t="str">
        <f>IFERROR(INDEX([3]Sheet1!$H:$H, MATCH(A29, [3]Sheet1!$B:$B, 0)) * 积分!N29, "--")</f>
        <v>--</v>
      </c>
      <c r="X29" s="2" t="str">
        <f>IFERROR(INDEX([3]Sheet1!$J:$J, MATCH(A29, [3]Sheet1!$B:$B, 0)) * 积分!O29, "--")</f>
        <v>--</v>
      </c>
      <c r="Y29" s="2" cm="1">
        <f t="array" ref="Y29">IFERROR(INDEX([7]Sheet1!$D:$D, MATCH(1, ([7]Sheet1!$B:$B=A29) * ([7]Sheet1!$C:$C="单位系数"), 0)) * 积分!P29, "--")</f>
        <v>205642.59</v>
      </c>
      <c r="Z29" s="2" cm="1">
        <f t="array" ref="Z29">IFERROR(INDEX([7]Sheet1!$D:$D, MATCH(1, ([7]Sheet1!$B:$B=A29) * ([7]Sheet1!$C:$C="多学科联合(MDT)门诊"), 0)) * 积分!Q29, "--")</f>
        <v>0</v>
      </c>
      <c r="AA29" s="2" t="str" cm="1">
        <f t="array" ref="AA29">IFERROR(INDEX([7]Sheet1!$D:$D, MATCH(1, ([7]Sheet1!$B:$B=A29) * ([7]Sheet1!$C:$C="核算金额"), 0)) * 积分!R29, "--")</f>
        <v>--</v>
      </c>
      <c r="AB29" s="2" t="str" cm="1">
        <f t="array" ref="AB29">IFERROR(INDEX([7]Sheet1!$D:$D, MATCH(1, ([7]Sheet1!$B:$B=A29) * ([7]Sheet1!$C:$C="单据"), 0)), "--")</f>
        <v>--</v>
      </c>
      <c r="AC29" s="2" t="str" cm="1">
        <f t="array" ref="AC29">IFERROR(INDEX([7]Sheet1!$D:$D, MATCH(1, ([7]Sheet1!$B:$B=A29) * ([7]Sheet1!$C:$C="特需门诊"), 0)) * 积分!S29, "--")</f>
        <v>--</v>
      </c>
      <c r="AD29" s="2" t="str" cm="1">
        <f t="array" ref="AD29">IFERROR(INDEX([7]Sheet1!$D:$D, MATCH(1, ([7]Sheet1!$B:$B=A29) * ([7]Sheet1!$C:$C="中医会诊"), 0)) * 积分!T29, "--")</f>
        <v>--</v>
      </c>
      <c r="AE29" s="2">
        <f>积分!U29*0</f>
        <v>0</v>
      </c>
      <c r="AF29" s="2">
        <f>--积分!V29</f>
        <v>0</v>
      </c>
      <c r="AG29" s="2">
        <f>--积分!W29</f>
        <v>0</v>
      </c>
      <c r="AH29" s="2">
        <f>-15168.93*积分!X29</f>
        <v>-15168.93</v>
      </c>
      <c r="AI29" s="2">
        <f>IFERROR(INDEX([4]Sheet1!$AD:$AD, MATCH(A29, [4]Sheet1!$A:$A, 0)) * 积分!AA29, "--")</f>
        <v>0</v>
      </c>
      <c r="AJ29" s="2">
        <f>IFERROR(INDEX([4]Sheet1!$AC:$AC, MATCH(A29, [4]Sheet1!$A:$A, 0)) * 积分!AB29, "--")</f>
        <v>0</v>
      </c>
      <c r="AK29" s="2">
        <f>IFERROR(INDEX([4]Sheet1!$AE:$AE, MATCH(A29, [4]Sheet1!$A:$A, 0)) * 积分!AC29, "--")</f>
        <v>0</v>
      </c>
      <c r="AL29" s="2">
        <f>IFERROR(INDEX([4]Sheet1!$AF:$AF, MATCH(A29, [4]Sheet1!$A:$A, 0)) * 积分!AD29, "--")</f>
        <v>0</v>
      </c>
      <c r="AM29" s="2">
        <f>IFERROR(INDEX([4]Sheet1!$AG:$AG, MATCH(A29, [4]Sheet1!$A:$A, 0)) * 积分!AE29, "--")</f>
        <v>0</v>
      </c>
      <c r="AN29" s="2">
        <f>IFERROR(INDEX([4]Sheet1!$AH:$AH, MATCH(A29, [4]Sheet1!$A:$A, 0)) * 积分!AF29, "--")</f>
        <v>0</v>
      </c>
      <c r="AO29" s="2">
        <f>IFERROR(INDEX([4]Sheet1!$AI:$AI, MATCH(A29, [4]Sheet1!$A:$A, 0)) * 积分!AG29, "--")</f>
        <v>0</v>
      </c>
      <c r="AP29" s="2">
        <f>IFERROR(INDEX([4]Sheet1!$AJ:$AJ, MATCH(A29, [4]Sheet1!$A:$A, 0)) * 积分!AH29, "--")</f>
        <v>0</v>
      </c>
      <c r="AQ29" s="2">
        <v>0</v>
      </c>
      <c r="AR29" s="2">
        <v>0</v>
      </c>
      <c r="AS29" s="12" t="s">
        <v>117</v>
      </c>
      <c r="AT29" s="12" t="s">
        <v>117</v>
      </c>
      <c r="AU29" s="12" t="s">
        <v>117</v>
      </c>
      <c r="AV29" s="12" t="s">
        <v>117</v>
      </c>
      <c r="AW29" s="12" t="s">
        <v>117</v>
      </c>
      <c r="AX29" s="12" t="s">
        <v>117</v>
      </c>
      <c r="AY29" s="12" t="s">
        <v>117</v>
      </c>
      <c r="AZ29" s="12" t="s">
        <v>117</v>
      </c>
      <c r="BA29" s="12" t="s">
        <v>117</v>
      </c>
      <c r="BB29" s="12" t="s">
        <v>117</v>
      </c>
      <c r="BC29" s="12" t="s">
        <v>117</v>
      </c>
    </row>
    <row r="30" spans="1:55" ht="25.2" customHeight="1" x14ac:dyDescent="0.25">
      <c r="A30" s="3" t="s">
        <v>60</v>
      </c>
      <c r="B30" s="4">
        <f t="shared" si="0"/>
        <v>51433.73</v>
      </c>
      <c r="C30" s="4">
        <f t="shared" si="1"/>
        <v>3537</v>
      </c>
      <c r="D30" s="4">
        <f t="shared" si="2"/>
        <v>31697.85</v>
      </c>
      <c r="E30" s="4">
        <f t="shared" si="3"/>
        <v>16198.88</v>
      </c>
      <c r="F30" s="4" cm="1">
        <f t="array" ref="F30">IFERROR(
病区折扣比例(
(
INDEX([3]Sheet1!$I:$I, MATCH(A30, [3]Sheet1!$B:$B, 0))
/
次均费用!C30
)
)
*INDEX([4]Sheet1!$AL:$AL, MATCH(A30, [4]Sheet1!$A:$A, 0))
* 积分!B30, "--")</f>
        <v>25889.64</v>
      </c>
      <c r="G30" s="4">
        <f>IFERROR(INDEX([4]Sheet1!$AK:$AK, MATCH(A30, [4]Sheet1!$A:$A, 0)) * 积分!C30, "--")</f>
        <v>400</v>
      </c>
      <c r="H30" s="4">
        <f>IFERROR(INDEX([4]Sheet1!$AB:$AB, MATCH(A30, [4]Sheet1!$A:$A, 0)) * 积分!D30, "--")</f>
        <v>300</v>
      </c>
      <c r="I30" s="4">
        <f>IFERROR(INDEX([4]Sheet1!$AA:$AA, MATCH(A30, [4]Sheet1!$A:$A, 0)) * 积分!E30, "--")</f>
        <v>1280</v>
      </c>
      <c r="J30" s="4">
        <f>IFERROR(INDEX([4]Sheet1!$Z:$Z, MATCH(A30, [4]Sheet1!$A:$A, 0)) * 积分!F30, "--")</f>
        <v>5280</v>
      </c>
      <c r="K30" s="4">
        <f>IFERROR(INDEX([4]Sheet1!$Y:$Y, MATCH(A30, [4]Sheet1!$A:$A, 0)) * 积分!G30, "--")</f>
        <v>0</v>
      </c>
      <c r="L30" s="4" cm="1">
        <f t="array" ref="L30">IFERROR(
门诊折扣比例(
(
INDEX([5]Sheet1!$D:$D, MATCH(A30, [5]Sheet1!$B:$B, 0))
/
次均费用!B30
)
)
*INDEX([5]Sheet1!$C:$C, MATCH(A30, [5]Sheet1!$B:$B, 0))
* 积分!H30, "--")</f>
        <v>3537</v>
      </c>
      <c r="M30" s="4">
        <f>IFERROR(INDEX([3]Sheet1!$C:$C, MATCH(A30, [3]Sheet1!$B:$B, 0)) * 积分!I30, "--")</f>
        <v>0</v>
      </c>
      <c r="N30" s="4">
        <f>IFERROR(INDEX([3]Sheet1!$D:$D, MATCH(A30, [3]Sheet1!$B:$B, 0)) * 积分!J30, "--")</f>
        <v>13.8</v>
      </c>
      <c r="O30" s="4">
        <f>IFERROR(INDEX([3]Sheet1!$E:$E, MATCH(A30, [3]Sheet1!$B:$B, 0)) * 积分!K30, "--")</f>
        <v>138</v>
      </c>
      <c r="P30" s="4">
        <f>IFERROR(INDEX([3]Sheet1!$F:$F, MATCH(A30, [3]Sheet1!$B:$B, 0)) * 积分!L30, "--")</f>
        <v>0</v>
      </c>
      <c r="Q30" s="4">
        <f>IFERROR(INDEX([3]Sheet1!$G:$G, MATCH(A30, [3]Sheet1!$B:$B, 0)) * 积分!M30, "--")</f>
        <v>183.15</v>
      </c>
      <c r="R30" s="4" t="str" cm="1">
        <f t="array" ref="R30">IFERROR(INDEX([6]Sheet1!$D:$D, MATCH(1, ([6]Sheet1!$B:$B=A30) * ([6]Sheet1!$C:$C="特级护理（临床）"), 0)) * 积分!AI30, "--")</f>
        <v>--</v>
      </c>
      <c r="S30" s="4" t="str" cm="1">
        <f t="array" ref="S30">IFERROR(INDEX([6]Sheet1!$D:$D, MATCH(1, ([6]Sheet1!$B:$B=A30) * ([6]Sheet1!$C:$C="重症监护（临床）"), 0)) * 积分!AJ30, "--")</f>
        <v>--</v>
      </c>
      <c r="T30" s="4" t="str" cm="1">
        <f t="array" ref="T30">IFERROR(INDEX([6]Sheet1!$D:$D, MATCH(1, ([6]Sheet1!$B:$B=A30) * ([6]Sheet1!$C:$C="Ⅰ级护理（临床）"), 0)) * 积分!AK30, "--")</f>
        <v>--</v>
      </c>
      <c r="U30" s="4" t="str" cm="1">
        <f t="array" ref="U30">IFERROR(INDEX([6]Sheet1!$D:$D, MATCH(1, ([6]Sheet1!$B:$B=A30) * ([6]Sheet1!$C:$C="Ⅱ级护理（临床）"), 0)) * 积分!AL30, "--")</f>
        <v>--</v>
      </c>
      <c r="V30" s="4" t="str" cm="1">
        <f t="array" ref="V30">IFERROR(INDEX([6]Sheet1!$D:$D, MATCH(1, ([6]Sheet1!$B:$B=A30) * ([6]Sheet1!$C:$C="护士中医适宜技术（临床）"), 0)) * 积分!AM30, "--")</f>
        <v>--</v>
      </c>
      <c r="W30" s="4">
        <f>IFERROR(INDEX([3]Sheet1!$H:$H, MATCH(A30, [3]Sheet1!$B:$B, 0)) * 积分!N30, "--")</f>
        <v>0</v>
      </c>
      <c r="X30" s="4">
        <f>IFERROR(INDEX([3]Sheet1!$J:$J, MATCH(A30, [3]Sheet1!$B:$B, 0)) * 积分!O30, "--")</f>
        <v>0</v>
      </c>
      <c r="Y30" s="4" cm="1">
        <f t="array" ref="Y30">IFERROR(INDEX([7]Sheet1!$D:$D, MATCH(1, ([7]Sheet1!$B:$B=A30) * ([7]Sheet1!$C:$C="单位系数"), 0)) * 积分!P30, "--")</f>
        <v>16198.874999999998</v>
      </c>
      <c r="Z30" s="4" cm="1">
        <f t="array" ref="Z30">IFERROR(INDEX([7]Sheet1!$D:$D, MATCH(1, ([7]Sheet1!$B:$B=A30) * ([7]Sheet1!$C:$C="多学科联合(MDT)门诊"), 0)) * 积分!Q30, "--")</f>
        <v>0</v>
      </c>
      <c r="AA30" s="4" t="str" cm="1">
        <f t="array" ref="AA30">IFERROR(INDEX([7]Sheet1!$D:$D, MATCH(1, ([7]Sheet1!$B:$B=A30) * ([7]Sheet1!$C:$C="核算金额"), 0)) * 积分!R30, "--")</f>
        <v>--</v>
      </c>
      <c r="AB30" s="4" t="str" cm="1">
        <f t="array" ref="AB30">IFERROR(INDEX([7]Sheet1!$D:$D, MATCH(1, ([7]Sheet1!$B:$B=A30) * ([7]Sheet1!$C:$C="单据"), 0)), "--")</f>
        <v>--</v>
      </c>
      <c r="AC30" s="4" cm="1">
        <f t="array" ref="AC30">IFERROR(INDEX([7]Sheet1!$D:$D, MATCH(1, ([7]Sheet1!$B:$B=A30) * ([7]Sheet1!$C:$C="特需门诊"), 0)) * 积分!S30, "--")</f>
        <v>0</v>
      </c>
      <c r="AD30" s="4" cm="1">
        <f t="array" ref="AD30">IFERROR(INDEX([7]Sheet1!$D:$D, MATCH(1, ([7]Sheet1!$B:$B=A30) * ([7]Sheet1!$C:$C="中医会诊"), 0)) * 积分!T30, "--")</f>
        <v>0</v>
      </c>
      <c r="AE30" s="4">
        <f>积分!U30*0</f>
        <v>0</v>
      </c>
      <c r="AF30" s="4">
        <f>-1786.74*积分!V30</f>
        <v>-1786.74</v>
      </c>
      <c r="AG30" s="4">
        <f>-1786.74*积分!W30</f>
        <v>0</v>
      </c>
      <c r="AH30" s="4">
        <f>-1786.74*积分!X30</f>
        <v>0</v>
      </c>
      <c r="AI30" s="4">
        <f>IFERROR(INDEX([4]Sheet1!$AD:$AD, MATCH(A30, [4]Sheet1!$A:$A, 0)) * 积分!AA30, "--")</f>
        <v>0</v>
      </c>
      <c r="AJ30" s="4">
        <f>IFERROR(INDEX([4]Sheet1!$AC:$AC, MATCH(A30, [4]Sheet1!$A:$A, 0)) * 积分!AB30, "--")</f>
        <v>0</v>
      </c>
      <c r="AK30" s="4">
        <f>IFERROR(INDEX([4]Sheet1!$AE:$AE, MATCH(A30, [4]Sheet1!$A:$A, 0)) * 积分!AC30, "--")</f>
        <v>0</v>
      </c>
      <c r="AL30" s="4">
        <f>IFERROR(INDEX([4]Sheet1!$AF:$AF, MATCH(A30, [4]Sheet1!$A:$A, 0)) * 积分!AD30, "--")</f>
        <v>0</v>
      </c>
      <c r="AM30" s="4">
        <f>IFERROR(INDEX([4]Sheet1!$AG:$AG, MATCH(A30, [4]Sheet1!$A:$A, 0)) * 积分!AE30, "--")</f>
        <v>0</v>
      </c>
      <c r="AN30" s="4">
        <f>IFERROR(INDEX([4]Sheet1!$AH:$AH, MATCH(A30, [4]Sheet1!$A:$A, 0)) * 积分!AF30, "--")</f>
        <v>0</v>
      </c>
      <c r="AO30" s="4">
        <f>IFERROR(INDEX([4]Sheet1!$AI:$AI, MATCH(A30, [4]Sheet1!$A:$A, 0)) * 积分!AG30, "--")</f>
        <v>0</v>
      </c>
      <c r="AP30" s="4">
        <f>IFERROR(INDEX([4]Sheet1!$AJ:$AJ, MATCH(A30, [4]Sheet1!$A:$A, 0)) * 积分!AH30, "--")</f>
        <v>0</v>
      </c>
      <c r="AQ30" s="4">
        <v>0</v>
      </c>
      <c r="AR30" s="4">
        <v>0</v>
      </c>
      <c r="AS30" s="7" t="s">
        <v>117</v>
      </c>
      <c r="AT30" s="7" t="s">
        <v>117</v>
      </c>
      <c r="AU30" s="7" t="s">
        <v>117</v>
      </c>
      <c r="AV30" s="7" t="s">
        <v>117</v>
      </c>
      <c r="AW30" s="7" t="s">
        <v>117</v>
      </c>
      <c r="AX30" s="7" t="s">
        <v>117</v>
      </c>
      <c r="AY30" s="7" t="s">
        <v>117</v>
      </c>
      <c r="AZ30" s="7" t="s">
        <v>117</v>
      </c>
      <c r="BA30" s="7" t="s">
        <v>117</v>
      </c>
      <c r="BB30" s="7" t="s">
        <v>117</v>
      </c>
      <c r="BC30" s="7" t="s">
        <v>117</v>
      </c>
    </row>
    <row r="31" spans="1:55" ht="25.65" customHeight="1" x14ac:dyDescent="0.25">
      <c r="A31" s="1" t="s">
        <v>61</v>
      </c>
      <c r="B31" s="1">
        <f t="shared" si="0"/>
        <v>139020.49</v>
      </c>
      <c r="C31" s="2">
        <f>ROUND(L31+AG31,2)</f>
        <v>50532.84</v>
      </c>
      <c r="D31" s="2">
        <f t="shared" si="2"/>
        <v>88487.65</v>
      </c>
      <c r="E31" s="2">
        <f t="shared" si="3"/>
        <v>0</v>
      </c>
      <c r="F31" s="2" cm="1">
        <f t="array" ref="F31">IFERROR(
病区折扣比例(
(
INDEX([3]Sheet1!$I:$I, MATCH(A31, [3]Sheet1!$B:$B, 0))
/
次均费用!C31
)
)
*INDEX([4]Sheet1!$AL:$AL, MATCH(A31, [4]Sheet1!$A:$A, 0))
* 积分!B31, "--")</f>
        <v>0</v>
      </c>
      <c r="G31" s="2">
        <f>IFERROR(INDEX([4]Sheet1!$AK:$AK, MATCH(A31, [4]Sheet1!$A:$A, 0)) * 积分!C31, "--")</f>
        <v>0</v>
      </c>
      <c r="H31" s="2">
        <f>IFERROR(INDEX([4]Sheet1!$AB:$AB, MATCH(A31, [4]Sheet1!$A:$A, 0)) * 积分!D31, "--")</f>
        <v>0</v>
      </c>
      <c r="I31" s="2">
        <f>IFERROR(INDEX([4]Sheet1!$AA:$AA, MATCH(A31, [4]Sheet1!$A:$A, 0)) * 积分!E31, "--")</f>
        <v>0</v>
      </c>
      <c r="J31" s="2">
        <f>IFERROR(INDEX([4]Sheet1!$Z:$Z, MATCH(A31, [4]Sheet1!$A:$A, 0)) * 积分!F31, "--")</f>
        <v>0</v>
      </c>
      <c r="K31" s="2">
        <f>IFERROR(INDEX([4]Sheet1!$Y:$Y, MATCH(A31, [4]Sheet1!$A:$A, 0)) * 积分!G31, "--")</f>
        <v>0</v>
      </c>
      <c r="L31" s="2" cm="1">
        <f t="array" ref="L31">IFERROR(
门诊折扣比例(
(
INDEX([5]Sheet1!$D:$D, MATCH(A31, [5]Sheet1!$B:$B, 0))
/
次均费用!B31
)
)
*INDEX([5]Sheet1!$C:$C, MATCH(A31, [5]Sheet1!$B:$B, 0))
* 积分!H31, "--")</f>
        <v>54578.79</v>
      </c>
      <c r="M31" s="2">
        <f>IFERROR(INDEX([3]Sheet1!$C:$C, MATCH(A31, [3]Sheet1!$B:$B, 0)) * 积分!I31, "--")</f>
        <v>0</v>
      </c>
      <c r="N31" s="2">
        <f>IFERROR(INDEX([3]Sheet1!$D:$D, MATCH(A31, [3]Sheet1!$B:$B, 0)) * 积分!J31, "--")</f>
        <v>0</v>
      </c>
      <c r="O31" s="2">
        <f>IFERROR(INDEX([3]Sheet1!$E:$E, MATCH(A31, [3]Sheet1!$B:$B, 0)) * 积分!K31, "--")</f>
        <v>0</v>
      </c>
      <c r="P31" s="2">
        <f>IFERROR(INDEX([3]Sheet1!$F:$F, MATCH(A31, [3]Sheet1!$B:$B, 0)) * 积分!L31, "--")</f>
        <v>0</v>
      </c>
      <c r="Q31" s="2">
        <f>IFERROR(INDEX([3]Sheet1!$G:$G, MATCH(A31, [3]Sheet1!$B:$B, 0)) * 积分!M31, "--")</f>
        <v>0</v>
      </c>
      <c r="R31" s="2" t="str" cm="1">
        <f t="array" ref="R31">IFERROR(INDEX([6]Sheet1!$D:$D, MATCH(1, ([6]Sheet1!$B:$B=A31) * ([6]Sheet1!$C:$C="特级护理（临床）"), 0)) * 积分!AI31, "--")</f>
        <v>--</v>
      </c>
      <c r="S31" s="2" t="str" cm="1">
        <f t="array" ref="S31">IFERROR(INDEX([6]Sheet1!$D:$D, MATCH(1, ([6]Sheet1!$B:$B=A31) * ([6]Sheet1!$C:$C="重症监护（临床）"), 0)) * 积分!AJ31, "--")</f>
        <v>--</v>
      </c>
      <c r="T31" s="2" t="str" cm="1">
        <f t="array" ref="T31">IFERROR(INDEX([6]Sheet1!$D:$D, MATCH(1, ([6]Sheet1!$B:$B=A31) * ([6]Sheet1!$C:$C="Ⅰ级护理（临床）"), 0)) * 积分!AK31, "--")</f>
        <v>--</v>
      </c>
      <c r="U31" s="2" t="str" cm="1">
        <f t="array" ref="U31">IFERROR(INDEX([6]Sheet1!$D:$D, MATCH(1, ([6]Sheet1!$B:$B=A31) * ([6]Sheet1!$C:$C="Ⅱ级护理（临床）"), 0)) * 积分!AL31, "--")</f>
        <v>--</v>
      </c>
      <c r="V31" s="2" t="str" cm="1">
        <f t="array" ref="V31">IFERROR(INDEX([6]Sheet1!$D:$D, MATCH(1, ([6]Sheet1!$B:$B=A31) * ([6]Sheet1!$C:$C="护士中医适宜技术（临床）"), 0)) * 积分!AM31, "--")</f>
        <v>--</v>
      </c>
      <c r="W31" s="2">
        <f>IFERROR(INDEX([3]Sheet1!$H:$H, MATCH(A31, [3]Sheet1!$B:$B, 0)) * 积分!N31, "--")</f>
        <v>0</v>
      </c>
      <c r="X31" s="2">
        <f>IFERROR(INDEX([3]Sheet1!$J:$J, MATCH(A31, [3]Sheet1!$B:$B, 0)) * 积分!O31, "--")</f>
        <v>0</v>
      </c>
      <c r="Y31" s="2" t="str" cm="1">
        <f t="array" ref="Y31">IFERROR(INDEX([7]Sheet1!$D:$D, MATCH(1, ([7]Sheet1!$B:$B=A31) * ([7]Sheet1!$C:$C="单位系数"), 0)) * 积分!P31, "--")</f>
        <v>--</v>
      </c>
      <c r="Z31" s="2" t="str" cm="1">
        <f t="array" ref="Z31">IFERROR(INDEX([7]Sheet1!$D:$D, MATCH(1, ([7]Sheet1!$B:$B=A31) * ([7]Sheet1!$C:$C="多学科联合(MDT)门诊"), 0)) * 积分!Q31, "--")</f>
        <v>--</v>
      </c>
      <c r="AA31" s="2" cm="1">
        <f t="array" ref="AA31">IFERROR(INDEX([7]Sheet1!$D:$D, MATCH(1, ([7]Sheet1!$B:$B=A31) * ([7]Sheet1!$C:$C="核算金额"), 0)) * 积分!R31, "--")</f>
        <v>88487.652000000002</v>
      </c>
      <c r="AB31" s="2" t="str" cm="1">
        <f t="array" ref="AB31">IFERROR(INDEX([7]Sheet1!$D:$D, MATCH(1, ([7]Sheet1!$B:$B=A31) * ([7]Sheet1!$C:$C="单据"), 0)), "--")</f>
        <v>--</v>
      </c>
      <c r="AC31" s="2" t="str" cm="1">
        <f t="array" ref="AC31">IFERROR(INDEX([7]Sheet1!$D:$D, MATCH(1, ([7]Sheet1!$B:$B=A31) * ([7]Sheet1!$C:$C="特需门诊"), 0)) * 积分!S31, "--")</f>
        <v>--</v>
      </c>
      <c r="AD31" s="2" t="str" cm="1">
        <f t="array" ref="AD31">IFERROR(INDEX([7]Sheet1!$D:$D, MATCH(1, ([7]Sheet1!$B:$B=A31) * ([7]Sheet1!$C:$C="中医会诊"), 0)) * 积分!T31, "--")</f>
        <v>--</v>
      </c>
      <c r="AE31" s="2">
        <f>积分!U31*0</f>
        <v>0</v>
      </c>
      <c r="AF31" s="2">
        <f>-4045.95*积分!V31</f>
        <v>0</v>
      </c>
      <c r="AG31" s="2">
        <f>-4045.95*积分!W31</f>
        <v>-4045.95</v>
      </c>
      <c r="AH31" s="2">
        <f>-4045.95*积分!X31</f>
        <v>0</v>
      </c>
      <c r="AI31" s="2">
        <f>IFERROR(INDEX([4]Sheet1!$AD:$AD, MATCH(A31, [4]Sheet1!$A:$A, 0)) * 积分!AA31, "--")</f>
        <v>0</v>
      </c>
      <c r="AJ31" s="2">
        <f>IFERROR(INDEX([4]Sheet1!$AC:$AC, MATCH(A31, [4]Sheet1!$A:$A, 0)) * 积分!AB31, "--")</f>
        <v>0</v>
      </c>
      <c r="AK31" s="2">
        <f>IFERROR(INDEX([4]Sheet1!$AE:$AE, MATCH(A31, [4]Sheet1!$A:$A, 0)) * 积分!AC31, "--")</f>
        <v>0</v>
      </c>
      <c r="AL31" s="2">
        <f>IFERROR(INDEX([4]Sheet1!$AF:$AF, MATCH(A31, [4]Sheet1!$A:$A, 0)) * 积分!AD31, "--")</f>
        <v>0</v>
      </c>
      <c r="AM31" s="2">
        <f>IFERROR(INDEX([4]Sheet1!$AG:$AG, MATCH(A31, [4]Sheet1!$A:$A, 0)) * 积分!AE31, "--")</f>
        <v>0</v>
      </c>
      <c r="AN31" s="2">
        <f>IFERROR(INDEX([4]Sheet1!$AH:$AH, MATCH(A31, [4]Sheet1!$A:$A, 0)) * 积分!AF31, "--")</f>
        <v>0</v>
      </c>
      <c r="AO31" s="2">
        <f>IFERROR(INDEX([4]Sheet1!$AI:$AI, MATCH(A31, [4]Sheet1!$A:$A, 0)) * 积分!AG31, "--")</f>
        <v>0</v>
      </c>
      <c r="AP31" s="2">
        <f>IFERROR(INDEX([4]Sheet1!$AJ:$AJ, MATCH(A31, [4]Sheet1!$A:$A, 0)) * 积分!AH31, "--")</f>
        <v>0</v>
      </c>
      <c r="AQ31" s="2">
        <v>0</v>
      </c>
      <c r="AR31" s="2">
        <v>0</v>
      </c>
      <c r="AS31" s="12" t="s">
        <v>117</v>
      </c>
      <c r="AT31" s="12" t="s">
        <v>117</v>
      </c>
      <c r="AU31" s="12" t="s">
        <v>117</v>
      </c>
      <c r="AV31" s="12" t="s">
        <v>117</v>
      </c>
      <c r="AW31" s="12" t="s">
        <v>117</v>
      </c>
      <c r="AX31" s="12" t="s">
        <v>117</v>
      </c>
      <c r="AY31" s="12" t="s">
        <v>117</v>
      </c>
      <c r="AZ31" s="12" t="s">
        <v>117</v>
      </c>
      <c r="BA31" s="12" t="s">
        <v>117</v>
      </c>
      <c r="BB31" s="12" t="s">
        <v>117</v>
      </c>
      <c r="BC31" s="12" t="s">
        <v>117</v>
      </c>
    </row>
    <row r="32" spans="1:55" ht="25.65" customHeight="1" x14ac:dyDescent="0.25">
      <c r="A32" s="3" t="s">
        <v>62</v>
      </c>
      <c r="B32" s="4">
        <f t="shared" si="0"/>
        <v>0</v>
      </c>
      <c r="C32" s="4">
        <f t="shared" si="1"/>
        <v>0</v>
      </c>
      <c r="D32" s="4">
        <f t="shared" si="2"/>
        <v>0</v>
      </c>
      <c r="E32" s="4">
        <f t="shared" si="3"/>
        <v>0</v>
      </c>
      <c r="F32" s="4" t="str" cm="1">
        <f t="array" ref="F32">IFERROR(
病区折扣比例(
(
INDEX([3]Sheet1!$I:$I, MATCH(A32, [3]Sheet1!$B:$B, 0))
/
次均费用!C32
)
)
*INDEX([4]Sheet1!$AL:$AL, MATCH(A32, [4]Sheet1!$A:$A, 0))
* 积分!B32, "--")</f>
        <v>--</v>
      </c>
      <c r="G32" s="4">
        <f>IFERROR(INDEX([4]Sheet1!$AK:$AK, MATCH(A32, [4]Sheet1!$A:$A, 0)) * 积分!C32, "--")</f>
        <v>0</v>
      </c>
      <c r="H32" s="4">
        <f>IFERROR(INDEX([4]Sheet1!$AB:$AB, MATCH(A32, [4]Sheet1!$A:$A, 0)) * 积分!D32, "--")</f>
        <v>0</v>
      </c>
      <c r="I32" s="4">
        <f>IFERROR(INDEX([4]Sheet1!$AA:$AA, MATCH(A32, [4]Sheet1!$A:$A, 0)) * 积分!E32, "--")</f>
        <v>0</v>
      </c>
      <c r="J32" s="4">
        <f>IFERROR(INDEX([4]Sheet1!$Z:$Z, MATCH(A32, [4]Sheet1!$A:$A, 0)) * 积分!F32, "--")</f>
        <v>0</v>
      </c>
      <c r="K32" s="4">
        <f>IFERROR(INDEX([4]Sheet1!$Y:$Y, MATCH(A32, [4]Sheet1!$A:$A, 0)) * 积分!G32, "--")</f>
        <v>0</v>
      </c>
      <c r="L32" s="4" cm="1">
        <f t="array" ref="L32">IFERROR(
门诊折扣比例(
(
INDEX([5]Sheet1!$D:$D, MATCH(A32, [5]Sheet1!$B:$B, 0))
/
次均费用!B32
)
)
*INDEX([5]Sheet1!$C:$C, MATCH(A32, [5]Sheet1!$B:$B, 0))
* 积分!H32, "--")</f>
        <v>0</v>
      </c>
      <c r="M32" s="4" t="str">
        <f>IFERROR(INDEX([3]Sheet1!$C:$C, MATCH(A32, [3]Sheet1!$B:$B, 0)) * 积分!I32, "--")</f>
        <v>--</v>
      </c>
      <c r="N32" s="4" t="str">
        <f>IFERROR(INDEX([3]Sheet1!$D:$D, MATCH(A32, [3]Sheet1!$B:$B, 0)) * 积分!J32, "--")</f>
        <v>--</v>
      </c>
      <c r="O32" s="4" t="str">
        <f>IFERROR(INDEX([3]Sheet1!$E:$E, MATCH(A32, [3]Sheet1!$B:$B, 0)) * 积分!K32, "--")</f>
        <v>--</v>
      </c>
      <c r="P32" s="4" t="str">
        <f>IFERROR(INDEX([3]Sheet1!$F:$F, MATCH(A32, [3]Sheet1!$B:$B, 0)) * 积分!L32, "--")</f>
        <v>--</v>
      </c>
      <c r="Q32" s="4" t="str">
        <f>IFERROR(INDEX([3]Sheet1!$G:$G, MATCH(A32, [3]Sheet1!$B:$B, 0)) * 积分!M32, "--")</f>
        <v>--</v>
      </c>
      <c r="R32" s="4" t="str" cm="1">
        <f t="array" ref="R32">IFERROR(INDEX([6]Sheet1!$D:$D, MATCH(1, ([6]Sheet1!$B:$B=A32) * ([6]Sheet1!$C:$C="特级护理（临床）"), 0)) * 积分!AI32, "--")</f>
        <v>--</v>
      </c>
      <c r="S32" s="4" t="str" cm="1">
        <f t="array" ref="S32">IFERROR(INDEX([6]Sheet1!$D:$D, MATCH(1, ([6]Sheet1!$B:$B=A32) * ([6]Sheet1!$C:$C="重症监护（临床）"), 0)) * 积分!AJ32, "--")</f>
        <v>--</v>
      </c>
      <c r="T32" s="4" t="str" cm="1">
        <f t="array" ref="T32">IFERROR(INDEX([6]Sheet1!$D:$D, MATCH(1, ([6]Sheet1!$B:$B=A32) * ([6]Sheet1!$C:$C="Ⅰ级护理（临床）"), 0)) * 积分!AK32, "--")</f>
        <v>--</v>
      </c>
      <c r="U32" s="4" t="str" cm="1">
        <f t="array" ref="U32">IFERROR(INDEX([6]Sheet1!$D:$D, MATCH(1, ([6]Sheet1!$B:$B=A32) * ([6]Sheet1!$C:$C="Ⅱ级护理（临床）"), 0)) * 积分!AL32, "--")</f>
        <v>--</v>
      </c>
      <c r="V32" s="4" t="str" cm="1">
        <f t="array" ref="V32">IFERROR(INDEX([6]Sheet1!$D:$D, MATCH(1, ([6]Sheet1!$B:$B=A32) * ([6]Sheet1!$C:$C="护士中医适宜技术（临床）"), 0)) * 积分!AM32, "--")</f>
        <v>--</v>
      </c>
      <c r="W32" s="4" t="str">
        <f>IFERROR(INDEX([3]Sheet1!$H:$H, MATCH(A32, [3]Sheet1!$B:$B, 0)) * 积分!N32, "--")</f>
        <v>--</v>
      </c>
      <c r="X32" s="4" t="str">
        <f>IFERROR(INDEX([3]Sheet1!$J:$J, MATCH(A32, [3]Sheet1!$B:$B, 0)) * 积分!O32, "--")</f>
        <v>--</v>
      </c>
      <c r="Y32" s="4" cm="1">
        <f t="array" ref="Y32">IFERROR(INDEX([7]Sheet1!$D:$D, MATCH(1, ([7]Sheet1!$B:$B=A32) * ([7]Sheet1!$C:$C="单位系数"), 0)) * 积分!P32, "--")</f>
        <v>0</v>
      </c>
      <c r="Z32" s="4" cm="1">
        <f t="array" ref="Z32">IFERROR(INDEX([7]Sheet1!$D:$D, MATCH(1, ([7]Sheet1!$B:$B=A32) * ([7]Sheet1!$C:$C="多学科联合(MDT)门诊"), 0)) * 积分!Q32, "--")</f>
        <v>0</v>
      </c>
      <c r="AA32" s="4" t="str" cm="1">
        <f t="array" ref="AA32">IFERROR(INDEX([7]Sheet1!$D:$D, MATCH(1, ([7]Sheet1!$B:$B=A32) * ([7]Sheet1!$C:$C="核算金额"), 0)) * 积分!R32, "--")</f>
        <v>--</v>
      </c>
      <c r="AB32" s="4" t="str" cm="1">
        <f t="array" ref="AB32">IFERROR(INDEX([7]Sheet1!$D:$D, MATCH(1, ([7]Sheet1!$B:$B=A32) * ([7]Sheet1!$C:$C="单据"), 0)), "--")</f>
        <v>--</v>
      </c>
      <c r="AC32" s="4" t="str" cm="1">
        <f t="array" ref="AC32">IFERROR(INDEX([7]Sheet1!$D:$D, MATCH(1, ([7]Sheet1!$B:$B=A32) * ([7]Sheet1!$C:$C="特需门诊"), 0)) * 积分!S32, "--")</f>
        <v>--</v>
      </c>
      <c r="AD32" s="4" t="str" cm="1">
        <f t="array" ref="AD32">IFERROR(INDEX([7]Sheet1!$D:$D, MATCH(1, ([7]Sheet1!$B:$B=A32) * ([7]Sheet1!$C:$C="中医会诊"), 0)) * 积分!T32, "--")</f>
        <v>--</v>
      </c>
      <c r="AE32" s="4">
        <f>积分!U32*0</f>
        <v>0</v>
      </c>
      <c r="AF32" s="4">
        <f>--积分!V32</f>
        <v>0</v>
      </c>
      <c r="AG32" s="4">
        <f>0*积分!W32</f>
        <v>0</v>
      </c>
      <c r="AH32" s="4">
        <f>0*积分!X32</f>
        <v>0</v>
      </c>
      <c r="AI32" s="4">
        <f>IFERROR(INDEX([4]Sheet1!$AD:$AD, MATCH(A32, [4]Sheet1!$A:$A, 0)) * 积分!AA32, "--")</f>
        <v>0</v>
      </c>
      <c r="AJ32" s="4">
        <f>IFERROR(INDEX([4]Sheet1!$AC:$AC, MATCH(A32, [4]Sheet1!$A:$A, 0)) * 积分!AB32, "--")</f>
        <v>0</v>
      </c>
      <c r="AK32" s="4">
        <f>IFERROR(INDEX([4]Sheet1!$AE:$AE, MATCH(A32, [4]Sheet1!$A:$A, 0)) * 积分!AC32, "--")</f>
        <v>0</v>
      </c>
      <c r="AL32" s="4">
        <f>IFERROR(INDEX([4]Sheet1!$AF:$AF, MATCH(A32, [4]Sheet1!$A:$A, 0)) * 积分!AD32, "--")</f>
        <v>0</v>
      </c>
      <c r="AM32" s="4">
        <f>IFERROR(INDEX([4]Sheet1!$AG:$AG, MATCH(A32, [4]Sheet1!$A:$A, 0)) * 积分!AE32, "--")</f>
        <v>0</v>
      </c>
      <c r="AN32" s="4">
        <f>IFERROR(INDEX([4]Sheet1!$AH:$AH, MATCH(A32, [4]Sheet1!$A:$A, 0)) * 积分!AF32, "--")</f>
        <v>0</v>
      </c>
      <c r="AO32" s="4">
        <f>IFERROR(INDEX([4]Sheet1!$AI:$AI, MATCH(A32, [4]Sheet1!$A:$A, 0)) * 积分!AG32, "--")</f>
        <v>0</v>
      </c>
      <c r="AP32" s="4">
        <f>IFERROR(INDEX([4]Sheet1!$AJ:$AJ, MATCH(A32, [4]Sheet1!$A:$A, 0)) * 积分!AH32, "--")</f>
        <v>0</v>
      </c>
      <c r="AQ32" s="4">
        <v>0</v>
      </c>
      <c r="AR32" s="4">
        <v>0</v>
      </c>
      <c r="AS32" s="7" t="s">
        <v>117</v>
      </c>
      <c r="AT32" s="7" t="s">
        <v>117</v>
      </c>
      <c r="AU32" s="7" t="s">
        <v>117</v>
      </c>
      <c r="AV32" s="7" t="s">
        <v>117</v>
      </c>
      <c r="AW32" s="7" t="s">
        <v>117</v>
      </c>
      <c r="AX32" s="7" t="s">
        <v>117</v>
      </c>
      <c r="AY32" s="7" t="s">
        <v>117</v>
      </c>
      <c r="AZ32" s="7" t="s">
        <v>117</v>
      </c>
      <c r="BA32" s="7" t="s">
        <v>117</v>
      </c>
      <c r="BB32" s="7" t="s">
        <v>117</v>
      </c>
      <c r="BC32" s="7" t="s">
        <v>117</v>
      </c>
    </row>
    <row r="33" spans="1:55" ht="25.65" customHeight="1" x14ac:dyDescent="0.25">
      <c r="A33" s="1" t="s">
        <v>63</v>
      </c>
      <c r="B33" s="1">
        <f t="shared" si="0"/>
        <v>22277.16</v>
      </c>
      <c r="C33" s="2">
        <f t="shared" si="1"/>
        <v>-3876.84</v>
      </c>
      <c r="D33" s="2">
        <f t="shared" si="2"/>
        <v>0</v>
      </c>
      <c r="E33" s="2">
        <f t="shared" si="3"/>
        <v>26154</v>
      </c>
      <c r="F33" s="2" t="str" cm="1">
        <f t="array" ref="F33">IFERROR(
病区折扣比例(
(
INDEX([3]Sheet1!$I:$I, MATCH(A33, [3]Sheet1!$B:$B, 0))
/
次均费用!C33
)
)
*INDEX([4]Sheet1!$AL:$AL, MATCH(A33, [4]Sheet1!$A:$A, 0))
* 积分!B33, "--")</f>
        <v>--</v>
      </c>
      <c r="G33" s="2">
        <f>IFERROR(INDEX([4]Sheet1!$AK:$AK, MATCH(A33, [4]Sheet1!$A:$A, 0)) * 积分!C33, "--")</f>
        <v>0</v>
      </c>
      <c r="H33" s="2">
        <f>IFERROR(INDEX([4]Sheet1!$AB:$AB, MATCH(A33, [4]Sheet1!$A:$A, 0)) * 积分!D33, "--")</f>
        <v>0</v>
      </c>
      <c r="I33" s="2">
        <f>IFERROR(INDEX([4]Sheet1!$AA:$AA, MATCH(A33, [4]Sheet1!$A:$A, 0)) * 积分!E33, "--")</f>
        <v>0</v>
      </c>
      <c r="J33" s="2">
        <f>IFERROR(INDEX([4]Sheet1!$Z:$Z, MATCH(A33, [4]Sheet1!$A:$A, 0)) * 积分!F33, "--")</f>
        <v>0</v>
      </c>
      <c r="K33" s="2">
        <f>IFERROR(INDEX([4]Sheet1!$Y:$Y, MATCH(A33, [4]Sheet1!$A:$A, 0)) * 积分!G33, "--")</f>
        <v>0</v>
      </c>
      <c r="L33" s="2" cm="1">
        <f t="array" ref="L33">IFERROR(
门诊折扣比例(
(
INDEX([5]Sheet1!$D:$D, MATCH(A33, [5]Sheet1!$B:$B, 0))
/
次均费用!B33
)
)
*INDEX([5]Sheet1!$C:$C, MATCH(A33, [5]Sheet1!$B:$B, 0))
* 积分!H33, "--")</f>
        <v>0</v>
      </c>
      <c r="M33" s="2" t="str">
        <f>IFERROR(INDEX([3]Sheet1!$C:$C, MATCH(A33, [3]Sheet1!$B:$B, 0)) * 积分!I33, "--")</f>
        <v>--</v>
      </c>
      <c r="N33" s="2" t="str">
        <f>IFERROR(INDEX([3]Sheet1!$D:$D, MATCH(A33, [3]Sheet1!$B:$B, 0)) * 积分!J33, "--")</f>
        <v>--</v>
      </c>
      <c r="O33" s="2" t="str">
        <f>IFERROR(INDEX([3]Sheet1!$E:$E, MATCH(A33, [3]Sheet1!$B:$B, 0)) * 积分!K33, "--")</f>
        <v>--</v>
      </c>
      <c r="P33" s="2" t="str">
        <f>IFERROR(INDEX([3]Sheet1!$F:$F, MATCH(A33, [3]Sheet1!$B:$B, 0)) * 积分!L33, "--")</f>
        <v>--</v>
      </c>
      <c r="Q33" s="2" t="str">
        <f>IFERROR(INDEX([3]Sheet1!$G:$G, MATCH(A33, [3]Sheet1!$B:$B, 0)) * 积分!M33, "--")</f>
        <v>--</v>
      </c>
      <c r="R33" s="2" t="str" cm="1">
        <f t="array" ref="R33">IFERROR(INDEX([6]Sheet1!$D:$D, MATCH(1, ([6]Sheet1!$B:$B=A33) * ([6]Sheet1!$C:$C="特级护理（临床）"), 0)) * 积分!AI33, "--")</f>
        <v>--</v>
      </c>
      <c r="S33" s="2" t="str" cm="1">
        <f t="array" ref="S33">IFERROR(INDEX([6]Sheet1!$D:$D, MATCH(1, ([6]Sheet1!$B:$B=A33) * ([6]Sheet1!$C:$C="重症监护（临床）"), 0)) * 积分!AJ33, "--")</f>
        <v>--</v>
      </c>
      <c r="T33" s="2" t="str" cm="1">
        <f t="array" ref="T33">IFERROR(INDEX([6]Sheet1!$D:$D, MATCH(1, ([6]Sheet1!$B:$B=A33) * ([6]Sheet1!$C:$C="Ⅰ级护理（临床）"), 0)) * 积分!AK33, "--")</f>
        <v>--</v>
      </c>
      <c r="U33" s="2" t="str" cm="1">
        <f t="array" ref="U33">IFERROR(INDEX([6]Sheet1!$D:$D, MATCH(1, ([6]Sheet1!$B:$B=A33) * ([6]Sheet1!$C:$C="Ⅱ级护理（临床）"), 0)) * 积分!AL33, "--")</f>
        <v>--</v>
      </c>
      <c r="V33" s="2" t="str" cm="1">
        <f t="array" ref="V33">IFERROR(INDEX([6]Sheet1!$D:$D, MATCH(1, ([6]Sheet1!$B:$B=A33) * ([6]Sheet1!$C:$C="护士中医适宜技术（临床）"), 0)) * 积分!AM33, "--")</f>
        <v>--</v>
      </c>
      <c r="W33" s="2" t="str">
        <f>IFERROR(INDEX([3]Sheet1!$H:$H, MATCH(A33, [3]Sheet1!$B:$B, 0)) * 积分!N33, "--")</f>
        <v>--</v>
      </c>
      <c r="X33" s="2" t="str">
        <f>IFERROR(INDEX([3]Sheet1!$J:$J, MATCH(A33, [3]Sheet1!$B:$B, 0)) * 积分!O33, "--")</f>
        <v>--</v>
      </c>
      <c r="Y33" s="2" cm="1">
        <f t="array" ref="Y33">IFERROR(INDEX([7]Sheet1!$D:$D, MATCH(1, ([7]Sheet1!$B:$B=A33) * ([7]Sheet1!$C:$C="单位系数"), 0)) * 积分!P33, "--")</f>
        <v>26154.000000000004</v>
      </c>
      <c r="Z33" s="2" cm="1">
        <f t="array" ref="Z33">IFERROR(INDEX([7]Sheet1!$D:$D, MATCH(1, ([7]Sheet1!$B:$B=A33) * ([7]Sheet1!$C:$C="多学科联合(MDT)门诊"), 0)) * 积分!Q33, "--")</f>
        <v>0</v>
      </c>
      <c r="AA33" s="2" t="str" cm="1">
        <f t="array" ref="AA33">IFERROR(INDEX([7]Sheet1!$D:$D, MATCH(1, ([7]Sheet1!$B:$B=A33) * ([7]Sheet1!$C:$C="核算金额"), 0)) * 积分!R33, "--")</f>
        <v>--</v>
      </c>
      <c r="AB33" s="2" t="str" cm="1">
        <f t="array" ref="AB33">IFERROR(INDEX([7]Sheet1!$D:$D, MATCH(1, ([7]Sheet1!$B:$B=A33) * ([7]Sheet1!$C:$C="单据"), 0)), "--")</f>
        <v>--</v>
      </c>
      <c r="AC33" s="2" t="str" cm="1">
        <f t="array" ref="AC33">IFERROR(INDEX([7]Sheet1!$D:$D, MATCH(1, ([7]Sheet1!$B:$B=A33) * ([7]Sheet1!$C:$C="特需门诊"), 0)) * 积分!S33, "--")</f>
        <v>--</v>
      </c>
      <c r="AD33" s="2" t="str" cm="1">
        <f t="array" ref="AD33">IFERROR(INDEX([7]Sheet1!$D:$D, MATCH(1, ([7]Sheet1!$B:$B=A33) * ([7]Sheet1!$C:$C="中医会诊"), 0)) * 积分!T33, "--")</f>
        <v>--</v>
      </c>
      <c r="AE33" s="2">
        <f>积分!U33*0</f>
        <v>0</v>
      </c>
      <c r="AF33" s="2">
        <f>--积分!V33</f>
        <v>0</v>
      </c>
      <c r="AG33" s="2">
        <f>-3876.84*积分!W33</f>
        <v>-3876.84</v>
      </c>
      <c r="AH33" s="2">
        <f>-3876.84*积分!X33</f>
        <v>0</v>
      </c>
      <c r="AI33" s="2">
        <f>IFERROR(INDEX([4]Sheet1!$AD:$AD, MATCH(A33, [4]Sheet1!$A:$A, 0)) * 积分!AA33, "--")</f>
        <v>0</v>
      </c>
      <c r="AJ33" s="2">
        <f>IFERROR(INDEX([4]Sheet1!$AC:$AC, MATCH(A33, [4]Sheet1!$A:$A, 0)) * 积分!AB33, "--")</f>
        <v>0</v>
      </c>
      <c r="AK33" s="2">
        <f>IFERROR(INDEX([4]Sheet1!$AE:$AE, MATCH(A33, [4]Sheet1!$A:$A, 0)) * 积分!AC33, "--")</f>
        <v>0</v>
      </c>
      <c r="AL33" s="2">
        <f>IFERROR(INDEX([4]Sheet1!$AF:$AF, MATCH(A33, [4]Sheet1!$A:$A, 0)) * 积分!AD33, "--")</f>
        <v>0</v>
      </c>
      <c r="AM33" s="2">
        <f>IFERROR(INDEX([4]Sheet1!$AG:$AG, MATCH(A33, [4]Sheet1!$A:$A, 0)) * 积分!AE33, "--")</f>
        <v>0</v>
      </c>
      <c r="AN33" s="2">
        <f>IFERROR(INDEX([4]Sheet1!$AH:$AH, MATCH(A33, [4]Sheet1!$A:$A, 0)) * 积分!AF33, "--")</f>
        <v>0</v>
      </c>
      <c r="AO33" s="2">
        <f>IFERROR(INDEX([4]Sheet1!$AI:$AI, MATCH(A33, [4]Sheet1!$A:$A, 0)) * 积分!AG33, "--")</f>
        <v>0</v>
      </c>
      <c r="AP33" s="2">
        <f>IFERROR(INDEX([4]Sheet1!$AJ:$AJ, MATCH(A33, [4]Sheet1!$A:$A, 0)) * 积分!AH33, "--")</f>
        <v>0</v>
      </c>
      <c r="AQ33" s="2">
        <v>0</v>
      </c>
      <c r="AR33" s="2">
        <v>0</v>
      </c>
      <c r="AS33" s="12" t="s">
        <v>117</v>
      </c>
      <c r="AT33" s="12" t="s">
        <v>117</v>
      </c>
      <c r="AU33" s="12" t="s">
        <v>117</v>
      </c>
      <c r="AV33" s="12" t="s">
        <v>117</v>
      </c>
      <c r="AW33" s="12" t="s">
        <v>117</v>
      </c>
      <c r="AX33" s="12" t="s">
        <v>117</v>
      </c>
      <c r="AY33" s="12" t="s">
        <v>117</v>
      </c>
      <c r="AZ33" s="12" t="s">
        <v>117</v>
      </c>
      <c r="BA33" s="12" t="s">
        <v>117</v>
      </c>
      <c r="BB33" s="12" t="s">
        <v>117</v>
      </c>
      <c r="BC33" s="12" t="s">
        <v>117</v>
      </c>
    </row>
    <row r="34" spans="1:55" ht="25.65" customHeight="1" x14ac:dyDescent="0.25">
      <c r="A34" s="3" t="s">
        <v>64</v>
      </c>
      <c r="B34" s="4">
        <f t="shared" si="0"/>
        <v>45350.080000000002</v>
      </c>
      <c r="C34" s="4">
        <f t="shared" si="1"/>
        <v>-1368.48</v>
      </c>
      <c r="D34" s="4">
        <f t="shared" si="2"/>
        <v>0</v>
      </c>
      <c r="E34" s="4">
        <f t="shared" si="3"/>
        <v>46718.559999999998</v>
      </c>
      <c r="F34" s="4" t="str" cm="1">
        <f t="array" ref="F34">IFERROR(
病区折扣比例(
(
INDEX([3]Sheet1!$I:$I, MATCH(A34, [3]Sheet1!$B:$B, 0))
/
次均费用!C34
)
)
*INDEX([4]Sheet1!$AL:$AL, MATCH(A34, [4]Sheet1!$A:$A, 0))
* 积分!B34, "--")</f>
        <v>--</v>
      </c>
      <c r="G34" s="4">
        <f>IFERROR(INDEX([4]Sheet1!$AK:$AK, MATCH(A34, [4]Sheet1!$A:$A, 0)) * 积分!C34, "--")</f>
        <v>0</v>
      </c>
      <c r="H34" s="4">
        <f>IFERROR(INDEX([4]Sheet1!$AB:$AB, MATCH(A34, [4]Sheet1!$A:$A, 0)) * 积分!D34, "--")</f>
        <v>0</v>
      </c>
      <c r="I34" s="4">
        <f>IFERROR(INDEX([4]Sheet1!$AA:$AA, MATCH(A34, [4]Sheet1!$A:$A, 0)) * 积分!E34, "--")</f>
        <v>0</v>
      </c>
      <c r="J34" s="4">
        <f>IFERROR(INDEX([4]Sheet1!$Z:$Z, MATCH(A34, [4]Sheet1!$A:$A, 0)) * 积分!F34, "--")</f>
        <v>0</v>
      </c>
      <c r="K34" s="4">
        <f>IFERROR(INDEX([4]Sheet1!$Y:$Y, MATCH(A34, [4]Sheet1!$A:$A, 0)) * 积分!G34, "--")</f>
        <v>0</v>
      </c>
      <c r="L34" s="4" cm="1">
        <f t="array" ref="L34">IFERROR(
门诊折扣比例(
(
INDEX([5]Sheet1!$D:$D, MATCH(A34, [5]Sheet1!$B:$B, 0))
/
次均费用!B34
)
)
*INDEX([5]Sheet1!$C:$C, MATCH(A34, [5]Sheet1!$B:$B, 0))
* 积分!H34, "--")</f>
        <v>0</v>
      </c>
      <c r="M34" s="4" t="str">
        <f>IFERROR(INDEX([3]Sheet1!$C:$C, MATCH(A34, [3]Sheet1!$B:$B, 0)) * 积分!I34, "--")</f>
        <v>--</v>
      </c>
      <c r="N34" s="4" t="str">
        <f>IFERROR(INDEX([3]Sheet1!$D:$D, MATCH(A34, [3]Sheet1!$B:$B, 0)) * 积分!J34, "--")</f>
        <v>--</v>
      </c>
      <c r="O34" s="4" t="str">
        <f>IFERROR(INDEX([3]Sheet1!$E:$E, MATCH(A34, [3]Sheet1!$B:$B, 0)) * 积分!K34, "--")</f>
        <v>--</v>
      </c>
      <c r="P34" s="4" t="str">
        <f>IFERROR(INDEX([3]Sheet1!$F:$F, MATCH(A34, [3]Sheet1!$B:$B, 0)) * 积分!L34, "--")</f>
        <v>--</v>
      </c>
      <c r="Q34" s="4" t="str">
        <f>IFERROR(INDEX([3]Sheet1!$G:$G, MATCH(A34, [3]Sheet1!$B:$B, 0)) * 积分!M34, "--")</f>
        <v>--</v>
      </c>
      <c r="R34" s="4" t="str" cm="1">
        <f t="array" ref="R34">IFERROR(INDEX([6]Sheet1!$D:$D, MATCH(1, ([6]Sheet1!$B:$B=A34) * ([6]Sheet1!$C:$C="特级护理（临床）"), 0)) * 积分!AI34, "--")</f>
        <v>--</v>
      </c>
      <c r="S34" s="4" t="str" cm="1">
        <f t="array" ref="S34">IFERROR(INDEX([6]Sheet1!$D:$D, MATCH(1, ([6]Sheet1!$B:$B=A34) * ([6]Sheet1!$C:$C="重症监护（临床）"), 0)) * 积分!AJ34, "--")</f>
        <v>--</v>
      </c>
      <c r="T34" s="4" t="str" cm="1">
        <f t="array" ref="T34">IFERROR(INDEX([6]Sheet1!$D:$D, MATCH(1, ([6]Sheet1!$B:$B=A34) * ([6]Sheet1!$C:$C="Ⅰ级护理（临床）"), 0)) * 积分!AK34, "--")</f>
        <v>--</v>
      </c>
      <c r="U34" s="4" t="str" cm="1">
        <f t="array" ref="U34">IFERROR(INDEX([6]Sheet1!$D:$D, MATCH(1, ([6]Sheet1!$B:$B=A34) * ([6]Sheet1!$C:$C="Ⅱ级护理（临床）"), 0)) * 积分!AL34, "--")</f>
        <v>--</v>
      </c>
      <c r="V34" s="4" t="str" cm="1">
        <f t="array" ref="V34">IFERROR(INDEX([6]Sheet1!$D:$D, MATCH(1, ([6]Sheet1!$B:$B=A34) * ([6]Sheet1!$C:$C="护士中医适宜技术（临床）"), 0)) * 积分!AM34, "--")</f>
        <v>--</v>
      </c>
      <c r="W34" s="4" t="str">
        <f>IFERROR(INDEX([3]Sheet1!$H:$H, MATCH(A34, [3]Sheet1!$B:$B, 0)) * 积分!N34, "--")</f>
        <v>--</v>
      </c>
      <c r="X34" s="4" t="str">
        <f>IFERROR(INDEX([3]Sheet1!$J:$J, MATCH(A34, [3]Sheet1!$B:$B, 0)) * 积分!O34, "--")</f>
        <v>--</v>
      </c>
      <c r="Y34" s="4" cm="1">
        <f t="array" ref="Y34">IFERROR(INDEX([7]Sheet1!$D:$D, MATCH(1, ([7]Sheet1!$B:$B=A34) * ([7]Sheet1!$C:$C="单位系数"), 0)) * 积分!P34, "--")</f>
        <v>46718.559999999998</v>
      </c>
      <c r="Z34" s="4" cm="1">
        <f t="array" ref="Z34">IFERROR(INDEX([7]Sheet1!$D:$D, MATCH(1, ([7]Sheet1!$B:$B=A34) * ([7]Sheet1!$C:$C="多学科联合(MDT)门诊"), 0)) * 积分!Q34, "--")</f>
        <v>0</v>
      </c>
      <c r="AA34" s="4" t="str" cm="1">
        <f t="array" ref="AA34">IFERROR(INDEX([7]Sheet1!$D:$D, MATCH(1, ([7]Sheet1!$B:$B=A34) * ([7]Sheet1!$C:$C="核算金额"), 0)) * 积分!R34, "--")</f>
        <v>--</v>
      </c>
      <c r="AB34" s="4" t="str" cm="1">
        <f t="array" ref="AB34">IFERROR(INDEX([7]Sheet1!$D:$D, MATCH(1, ([7]Sheet1!$B:$B=A34) * ([7]Sheet1!$C:$C="单据"), 0)), "--")</f>
        <v>--</v>
      </c>
      <c r="AC34" s="4" t="str" cm="1">
        <f t="array" ref="AC34">IFERROR(INDEX([7]Sheet1!$D:$D, MATCH(1, ([7]Sheet1!$B:$B=A34) * ([7]Sheet1!$C:$C="特需门诊"), 0)) * 积分!S34, "--")</f>
        <v>--</v>
      </c>
      <c r="AD34" s="4" t="str" cm="1">
        <f t="array" ref="AD34">IFERROR(INDEX([7]Sheet1!$D:$D, MATCH(1, ([7]Sheet1!$B:$B=A34) * ([7]Sheet1!$C:$C="中医会诊"), 0)) * 积分!T34, "--")</f>
        <v>--</v>
      </c>
      <c r="AE34" s="4">
        <f>积分!U34*0</f>
        <v>0</v>
      </c>
      <c r="AF34" s="4">
        <f>--积分!V34</f>
        <v>0</v>
      </c>
      <c r="AG34" s="4">
        <f>-1368.48*积分!W34</f>
        <v>-1368.48</v>
      </c>
      <c r="AH34" s="4">
        <f>-1368.48*积分!X34</f>
        <v>0</v>
      </c>
      <c r="AI34" s="4">
        <f>IFERROR(INDEX([4]Sheet1!$AD:$AD, MATCH(A34, [4]Sheet1!$A:$A, 0)) * 积分!AA34, "--")</f>
        <v>0</v>
      </c>
      <c r="AJ34" s="4">
        <f>IFERROR(INDEX([4]Sheet1!$AC:$AC, MATCH(A34, [4]Sheet1!$A:$A, 0)) * 积分!AB34, "--")</f>
        <v>0</v>
      </c>
      <c r="AK34" s="4">
        <f>IFERROR(INDEX([4]Sheet1!$AE:$AE, MATCH(A34, [4]Sheet1!$A:$A, 0)) * 积分!AC34, "--")</f>
        <v>0</v>
      </c>
      <c r="AL34" s="4">
        <f>IFERROR(INDEX([4]Sheet1!$AF:$AF, MATCH(A34, [4]Sheet1!$A:$A, 0)) * 积分!AD34, "--")</f>
        <v>0</v>
      </c>
      <c r="AM34" s="4">
        <f>IFERROR(INDEX([4]Sheet1!$AG:$AG, MATCH(A34, [4]Sheet1!$A:$A, 0)) * 积分!AE34, "--")</f>
        <v>0</v>
      </c>
      <c r="AN34" s="4">
        <f>IFERROR(INDEX([4]Sheet1!$AH:$AH, MATCH(A34, [4]Sheet1!$A:$A, 0)) * 积分!AF34, "--")</f>
        <v>0</v>
      </c>
      <c r="AO34" s="4">
        <f>IFERROR(INDEX([4]Sheet1!$AI:$AI, MATCH(A34, [4]Sheet1!$A:$A, 0)) * 积分!AG34, "--")</f>
        <v>0</v>
      </c>
      <c r="AP34" s="4">
        <f>IFERROR(INDEX([4]Sheet1!$AJ:$AJ, MATCH(A34, [4]Sheet1!$A:$A, 0)) * 积分!AH34, "--")</f>
        <v>0</v>
      </c>
      <c r="AQ34" s="4">
        <v>0</v>
      </c>
      <c r="AR34" s="4">
        <v>0</v>
      </c>
      <c r="AS34" s="7" t="s">
        <v>117</v>
      </c>
      <c r="AT34" s="7" t="s">
        <v>117</v>
      </c>
      <c r="AU34" s="7" t="s">
        <v>117</v>
      </c>
      <c r="AV34" s="7" t="s">
        <v>117</v>
      </c>
      <c r="AW34" s="7" t="s">
        <v>117</v>
      </c>
      <c r="AX34" s="7" t="s">
        <v>117</v>
      </c>
      <c r="AY34" s="7" t="s">
        <v>117</v>
      </c>
      <c r="AZ34" s="7" t="s">
        <v>117</v>
      </c>
      <c r="BA34" s="7" t="s">
        <v>117</v>
      </c>
      <c r="BB34" s="7" t="s">
        <v>117</v>
      </c>
      <c r="BC34" s="7" t="s">
        <v>117</v>
      </c>
    </row>
    <row r="35" spans="1:55" ht="25.65" customHeight="1" x14ac:dyDescent="0.25">
      <c r="A35" s="1" t="s">
        <v>65</v>
      </c>
      <c r="B35" s="1">
        <f t="shared" si="0"/>
        <v>24377.26</v>
      </c>
      <c r="C35" s="2">
        <f t="shared" si="1"/>
        <v>-4444.9799999999996</v>
      </c>
      <c r="D35" s="2">
        <f t="shared" si="2"/>
        <v>0</v>
      </c>
      <c r="E35" s="2">
        <f t="shared" si="3"/>
        <v>28822.240000000002</v>
      </c>
      <c r="F35" s="2" t="str" cm="1">
        <f t="array" ref="F35">IFERROR(
病区折扣比例(
(
INDEX([3]Sheet1!$I:$I, MATCH(A35, [3]Sheet1!$B:$B, 0))
/
次均费用!C35
)
)
*INDEX([4]Sheet1!$AL:$AL, MATCH(A35, [4]Sheet1!$A:$A, 0))
* 积分!B35, "--")</f>
        <v>--</v>
      </c>
      <c r="G35" s="2">
        <f>IFERROR(INDEX([4]Sheet1!$AK:$AK, MATCH(A35, [4]Sheet1!$A:$A, 0)) * 积分!C35, "--")</f>
        <v>0</v>
      </c>
      <c r="H35" s="2">
        <f>IFERROR(INDEX([4]Sheet1!$AB:$AB, MATCH(A35, [4]Sheet1!$A:$A, 0)) * 积分!D35, "--")</f>
        <v>0</v>
      </c>
      <c r="I35" s="2">
        <f>IFERROR(INDEX([4]Sheet1!$AA:$AA, MATCH(A35, [4]Sheet1!$A:$A, 0)) * 积分!E35, "--")</f>
        <v>0</v>
      </c>
      <c r="J35" s="2">
        <f>IFERROR(INDEX([4]Sheet1!$Z:$Z, MATCH(A35, [4]Sheet1!$A:$A, 0)) * 积分!F35, "--")</f>
        <v>0</v>
      </c>
      <c r="K35" s="2">
        <f>IFERROR(INDEX([4]Sheet1!$Y:$Y, MATCH(A35, [4]Sheet1!$A:$A, 0)) * 积分!G35, "--")</f>
        <v>0</v>
      </c>
      <c r="L35" s="2" cm="1">
        <f t="array" ref="L35">IFERROR(
门诊折扣比例(
(
INDEX([5]Sheet1!$D:$D, MATCH(A35, [5]Sheet1!$B:$B, 0))
/
次均费用!B35
)
)
*INDEX([5]Sheet1!$C:$C, MATCH(A35, [5]Sheet1!$B:$B, 0))
* 积分!H35, "--")</f>
        <v>0</v>
      </c>
      <c r="M35" s="2" t="str">
        <f>IFERROR(INDEX([3]Sheet1!$C:$C, MATCH(A35, [3]Sheet1!$B:$B, 0)) * 积分!I35, "--")</f>
        <v>--</v>
      </c>
      <c r="N35" s="2" t="str">
        <f>IFERROR(INDEX([3]Sheet1!$D:$D, MATCH(A35, [3]Sheet1!$B:$B, 0)) * 积分!J35, "--")</f>
        <v>--</v>
      </c>
      <c r="O35" s="2" t="str">
        <f>IFERROR(INDEX([3]Sheet1!$E:$E, MATCH(A35, [3]Sheet1!$B:$B, 0)) * 积分!K35, "--")</f>
        <v>--</v>
      </c>
      <c r="P35" s="2" t="str">
        <f>IFERROR(INDEX([3]Sheet1!$F:$F, MATCH(A35, [3]Sheet1!$B:$B, 0)) * 积分!L35, "--")</f>
        <v>--</v>
      </c>
      <c r="Q35" s="2" t="str">
        <f>IFERROR(INDEX([3]Sheet1!$G:$G, MATCH(A35, [3]Sheet1!$B:$B, 0)) * 积分!M35, "--")</f>
        <v>--</v>
      </c>
      <c r="R35" s="2" t="str" cm="1">
        <f t="array" ref="R35">IFERROR(INDEX([6]Sheet1!$D:$D, MATCH(1, ([6]Sheet1!$B:$B=A35) * ([6]Sheet1!$C:$C="特级护理（临床）"), 0)) * 积分!AI35, "--")</f>
        <v>--</v>
      </c>
      <c r="S35" s="2" t="str" cm="1">
        <f t="array" ref="S35">IFERROR(INDEX([6]Sheet1!$D:$D, MATCH(1, ([6]Sheet1!$B:$B=A35) * ([6]Sheet1!$C:$C="重症监护（临床）"), 0)) * 积分!AJ35, "--")</f>
        <v>--</v>
      </c>
      <c r="T35" s="2" t="str" cm="1">
        <f t="array" ref="T35">IFERROR(INDEX([6]Sheet1!$D:$D, MATCH(1, ([6]Sheet1!$B:$B=A35) * ([6]Sheet1!$C:$C="Ⅰ级护理（临床）"), 0)) * 积分!AK35, "--")</f>
        <v>--</v>
      </c>
      <c r="U35" s="2" t="str" cm="1">
        <f t="array" ref="U35">IFERROR(INDEX([6]Sheet1!$D:$D, MATCH(1, ([6]Sheet1!$B:$B=A35) * ([6]Sheet1!$C:$C="Ⅱ级护理（临床）"), 0)) * 积分!AL35, "--")</f>
        <v>--</v>
      </c>
      <c r="V35" s="2" t="str" cm="1">
        <f t="array" ref="V35">IFERROR(INDEX([6]Sheet1!$D:$D, MATCH(1, ([6]Sheet1!$B:$B=A35) * ([6]Sheet1!$C:$C="护士中医适宜技术（临床）"), 0)) * 积分!AM35, "--")</f>
        <v>--</v>
      </c>
      <c r="W35" s="2" t="str">
        <f>IFERROR(INDEX([3]Sheet1!$H:$H, MATCH(A35, [3]Sheet1!$B:$B, 0)) * 积分!N35, "--")</f>
        <v>--</v>
      </c>
      <c r="X35" s="2" t="str">
        <f>IFERROR(INDEX([3]Sheet1!$J:$J, MATCH(A35, [3]Sheet1!$B:$B, 0)) * 积分!O35, "--")</f>
        <v>--</v>
      </c>
      <c r="Y35" s="2" cm="1">
        <f t="array" ref="Y35">IFERROR(INDEX([7]Sheet1!$D:$D, MATCH(1, ([7]Sheet1!$B:$B=A35) * ([7]Sheet1!$C:$C="单位系数"), 0)) * 积分!P35, "--")</f>
        <v>28822.239999999998</v>
      </c>
      <c r="Z35" s="2" cm="1">
        <f t="array" ref="Z35">IFERROR(INDEX([7]Sheet1!$D:$D, MATCH(1, ([7]Sheet1!$B:$B=A35) * ([7]Sheet1!$C:$C="多学科联合(MDT)门诊"), 0)) * 积分!Q35, "--")</f>
        <v>0</v>
      </c>
      <c r="AA35" s="2" t="str" cm="1">
        <f t="array" ref="AA35">IFERROR(INDEX([7]Sheet1!$D:$D, MATCH(1, ([7]Sheet1!$B:$B=A35) * ([7]Sheet1!$C:$C="核算金额"), 0)) * 积分!R35, "--")</f>
        <v>--</v>
      </c>
      <c r="AB35" s="2" t="str" cm="1">
        <f t="array" ref="AB35">IFERROR(INDEX([7]Sheet1!$D:$D, MATCH(1, ([7]Sheet1!$B:$B=A35) * ([7]Sheet1!$C:$C="单据"), 0)), "--")</f>
        <v>--</v>
      </c>
      <c r="AC35" s="2" t="str" cm="1">
        <f t="array" ref="AC35">IFERROR(INDEX([7]Sheet1!$D:$D, MATCH(1, ([7]Sheet1!$B:$B=A35) * ([7]Sheet1!$C:$C="特需门诊"), 0)) * 积分!S35, "--")</f>
        <v>--</v>
      </c>
      <c r="AD35" s="2" t="str" cm="1">
        <f t="array" ref="AD35">IFERROR(INDEX([7]Sheet1!$D:$D, MATCH(1, ([7]Sheet1!$B:$B=A35) * ([7]Sheet1!$C:$C="中医会诊"), 0)) * 积分!T35, "--")</f>
        <v>--</v>
      </c>
      <c r="AE35" s="2">
        <f>积分!U35*0</f>
        <v>0</v>
      </c>
      <c r="AF35" s="2">
        <f>--积分!V35</f>
        <v>0</v>
      </c>
      <c r="AG35" s="2">
        <f>-4444.98*积分!W35</f>
        <v>-4444.9799999999996</v>
      </c>
      <c r="AH35" s="2">
        <f>-4444.98*积分!X35</f>
        <v>0</v>
      </c>
      <c r="AI35" s="2">
        <f>IFERROR(INDEX([4]Sheet1!$AD:$AD, MATCH(A35, [4]Sheet1!$A:$A, 0)) * 积分!AA35, "--")</f>
        <v>0</v>
      </c>
      <c r="AJ35" s="2">
        <f>IFERROR(INDEX([4]Sheet1!$AC:$AC, MATCH(A35, [4]Sheet1!$A:$A, 0)) * 积分!AB35, "--")</f>
        <v>0</v>
      </c>
      <c r="AK35" s="2">
        <f>IFERROR(INDEX([4]Sheet1!$AE:$AE, MATCH(A35, [4]Sheet1!$A:$A, 0)) * 积分!AC35, "--")</f>
        <v>0</v>
      </c>
      <c r="AL35" s="2">
        <f>IFERROR(INDEX([4]Sheet1!$AF:$AF, MATCH(A35, [4]Sheet1!$A:$A, 0)) * 积分!AD35, "--")</f>
        <v>0</v>
      </c>
      <c r="AM35" s="2">
        <f>IFERROR(INDEX([4]Sheet1!$AG:$AG, MATCH(A35, [4]Sheet1!$A:$A, 0)) * 积分!AE35, "--")</f>
        <v>0</v>
      </c>
      <c r="AN35" s="2">
        <f>IFERROR(INDEX([4]Sheet1!$AH:$AH, MATCH(A35, [4]Sheet1!$A:$A, 0)) * 积分!AF35, "--")</f>
        <v>0</v>
      </c>
      <c r="AO35" s="2">
        <f>IFERROR(INDEX([4]Sheet1!$AI:$AI, MATCH(A35, [4]Sheet1!$A:$A, 0)) * 积分!AG35, "--")</f>
        <v>0</v>
      </c>
      <c r="AP35" s="2">
        <f>IFERROR(INDEX([4]Sheet1!$AJ:$AJ, MATCH(A35, [4]Sheet1!$A:$A, 0)) * 积分!AH35, "--")</f>
        <v>0</v>
      </c>
      <c r="AQ35" s="2">
        <v>0</v>
      </c>
      <c r="AR35" s="2">
        <v>0</v>
      </c>
      <c r="AS35" s="12" t="s">
        <v>117</v>
      </c>
      <c r="AT35" s="12" t="s">
        <v>117</v>
      </c>
      <c r="AU35" s="12" t="s">
        <v>117</v>
      </c>
      <c r="AV35" s="12" t="s">
        <v>117</v>
      </c>
      <c r="AW35" s="12" t="s">
        <v>117</v>
      </c>
      <c r="AX35" s="12" t="s">
        <v>117</v>
      </c>
      <c r="AY35" s="12" t="s">
        <v>117</v>
      </c>
      <c r="AZ35" s="12" t="s">
        <v>117</v>
      </c>
      <c r="BA35" s="12" t="s">
        <v>117</v>
      </c>
      <c r="BB35" s="12" t="s">
        <v>117</v>
      </c>
      <c r="BC35" s="12" t="s">
        <v>117</v>
      </c>
    </row>
    <row r="36" spans="1:55" ht="25.65" customHeight="1" x14ac:dyDescent="0.25">
      <c r="A36" s="3" t="s">
        <v>66</v>
      </c>
      <c r="B36" s="4">
        <f t="shared" si="0"/>
        <v>14849</v>
      </c>
      <c r="C36" s="4">
        <f t="shared" si="1"/>
        <v>-1668.92</v>
      </c>
      <c r="D36" s="4">
        <f t="shared" si="2"/>
        <v>0</v>
      </c>
      <c r="E36" s="4">
        <f t="shared" si="3"/>
        <v>16517.919999999998</v>
      </c>
      <c r="F36" s="4" cm="1">
        <f t="array" ref="F36">IFERROR(
病区折扣比例(
(
INDEX([3]Sheet1!$I:$I, MATCH(A36, [3]Sheet1!$B:$B, 0))
/
次均费用!C36
)
)
*INDEX([4]Sheet1!$AL:$AL, MATCH(A36, [4]Sheet1!$A:$A, 0))
* 积分!B36, "--")</f>
        <v>0</v>
      </c>
      <c r="G36" s="4">
        <f>IFERROR(INDEX([4]Sheet1!$AK:$AK, MATCH(A36, [4]Sheet1!$A:$A, 0)) * 积分!C36, "--")</f>
        <v>0</v>
      </c>
      <c r="H36" s="4">
        <f>IFERROR(INDEX([4]Sheet1!$AB:$AB, MATCH(A36, [4]Sheet1!$A:$A, 0)) * 积分!D36, "--")</f>
        <v>0</v>
      </c>
      <c r="I36" s="4">
        <f>IFERROR(INDEX([4]Sheet1!$AA:$AA, MATCH(A36, [4]Sheet1!$A:$A, 0)) * 积分!E36, "--")</f>
        <v>0</v>
      </c>
      <c r="J36" s="4">
        <f>IFERROR(INDEX([4]Sheet1!$Z:$Z, MATCH(A36, [4]Sheet1!$A:$A, 0)) * 积分!F36, "--")</f>
        <v>0</v>
      </c>
      <c r="K36" s="4">
        <f>IFERROR(INDEX([4]Sheet1!$Y:$Y, MATCH(A36, [4]Sheet1!$A:$A, 0)) * 积分!G36, "--")</f>
        <v>0</v>
      </c>
      <c r="L36" s="4" cm="1">
        <f t="array" ref="L36">IFERROR(
门诊折扣比例(
(
INDEX([5]Sheet1!$D:$D, MATCH(A36, [5]Sheet1!$B:$B, 0))
/
次均费用!B36
)
)
*INDEX([5]Sheet1!$C:$C, MATCH(A36, [5]Sheet1!$B:$B, 0))
* 积分!H36, "--")</f>
        <v>0</v>
      </c>
      <c r="M36" s="4">
        <f>IFERROR(INDEX([3]Sheet1!$C:$C, MATCH(A36, [3]Sheet1!$B:$B, 0)) * 积分!I36, "--")</f>
        <v>0</v>
      </c>
      <c r="N36" s="4">
        <f>IFERROR(INDEX([3]Sheet1!$D:$D, MATCH(A36, [3]Sheet1!$B:$B, 0)) * 积分!J36, "--")</f>
        <v>0</v>
      </c>
      <c r="O36" s="4">
        <f>IFERROR(INDEX([3]Sheet1!$E:$E, MATCH(A36, [3]Sheet1!$B:$B, 0)) * 积分!K36, "--")</f>
        <v>0</v>
      </c>
      <c r="P36" s="4">
        <f>IFERROR(INDEX([3]Sheet1!$F:$F, MATCH(A36, [3]Sheet1!$B:$B, 0)) * 积分!L36, "--")</f>
        <v>0</v>
      </c>
      <c r="Q36" s="4">
        <f>IFERROR(INDEX([3]Sheet1!$G:$G, MATCH(A36, [3]Sheet1!$B:$B, 0)) * 积分!M36, "--")</f>
        <v>0</v>
      </c>
      <c r="R36" s="4" t="str" cm="1">
        <f t="array" ref="R36">IFERROR(INDEX([6]Sheet1!$D:$D, MATCH(1, ([6]Sheet1!$B:$B=A36) * ([6]Sheet1!$C:$C="特级护理（临床）"), 0)) * 积分!AI36, "--")</f>
        <v>--</v>
      </c>
      <c r="S36" s="4" t="str" cm="1">
        <f t="array" ref="S36">IFERROR(INDEX([6]Sheet1!$D:$D, MATCH(1, ([6]Sheet1!$B:$B=A36) * ([6]Sheet1!$C:$C="重症监护（临床）"), 0)) * 积分!AJ36, "--")</f>
        <v>--</v>
      </c>
      <c r="T36" s="4" t="str" cm="1">
        <f t="array" ref="T36">IFERROR(INDEX([6]Sheet1!$D:$D, MATCH(1, ([6]Sheet1!$B:$B=A36) * ([6]Sheet1!$C:$C="Ⅰ级护理（临床）"), 0)) * 积分!AK36, "--")</f>
        <v>--</v>
      </c>
      <c r="U36" s="4" t="str" cm="1">
        <f t="array" ref="U36">IFERROR(INDEX([6]Sheet1!$D:$D, MATCH(1, ([6]Sheet1!$B:$B=A36) * ([6]Sheet1!$C:$C="Ⅱ级护理（临床）"), 0)) * 积分!AL36, "--")</f>
        <v>--</v>
      </c>
      <c r="V36" s="4" t="str" cm="1">
        <f t="array" ref="V36">IFERROR(INDEX([6]Sheet1!$D:$D, MATCH(1, ([6]Sheet1!$B:$B=A36) * ([6]Sheet1!$C:$C="护士中医适宜技术（临床）"), 0)) * 积分!AM36, "--")</f>
        <v>--</v>
      </c>
      <c r="W36" s="4">
        <f>IFERROR(INDEX([3]Sheet1!$H:$H, MATCH(A36, [3]Sheet1!$B:$B, 0)) * 积分!N36, "--")</f>
        <v>0</v>
      </c>
      <c r="X36" s="4">
        <f>IFERROR(INDEX([3]Sheet1!$J:$J, MATCH(A36, [3]Sheet1!$B:$B, 0)) * 积分!O36, "--")</f>
        <v>0</v>
      </c>
      <c r="Y36" s="4" cm="1">
        <f t="array" ref="Y36">IFERROR(INDEX([7]Sheet1!$D:$D, MATCH(1, ([7]Sheet1!$B:$B=A36) * ([7]Sheet1!$C:$C="单位系数"), 0)) * 积分!P36, "--")</f>
        <v>15703.922499999999</v>
      </c>
      <c r="Z36" s="4" cm="1">
        <f t="array" ref="Z36">IFERROR(INDEX([7]Sheet1!$D:$D, MATCH(1, ([7]Sheet1!$B:$B=A36) * ([7]Sheet1!$C:$C="多学科联合(MDT)门诊"), 0)) * 积分!Q36, "--")</f>
        <v>0</v>
      </c>
      <c r="AA36" s="4" t="str" cm="1">
        <f t="array" ref="AA36">IFERROR(INDEX([7]Sheet1!$D:$D, MATCH(1, ([7]Sheet1!$B:$B=A36) * ([7]Sheet1!$C:$C="核算金额"), 0)) * 积分!R36, "--")</f>
        <v>--</v>
      </c>
      <c r="AB36" s="4" t="str" cm="1">
        <f t="array" ref="AB36">IFERROR(INDEX([7]Sheet1!$D:$D, MATCH(1, ([7]Sheet1!$B:$B=A36) * ([7]Sheet1!$C:$C="单据"), 0)), "--")</f>
        <v>--</v>
      </c>
      <c r="AC36" s="4" t="str" cm="1">
        <f t="array" ref="AC36">IFERROR(INDEX([7]Sheet1!$D:$D, MATCH(1, ([7]Sheet1!$B:$B=A36) * ([7]Sheet1!$C:$C="特需门诊"), 0)) * 积分!S36, "--")</f>
        <v>--</v>
      </c>
      <c r="AD36" s="4" cm="1">
        <f t="array" ref="AD36">IFERROR(INDEX([7]Sheet1!$D:$D, MATCH(1, ([7]Sheet1!$B:$B=A36) * ([7]Sheet1!$C:$C="中医会诊"), 0)) * 积分!T36, "--")</f>
        <v>814</v>
      </c>
      <c r="AE36" s="4">
        <f>积分!U36*0</f>
        <v>0</v>
      </c>
      <c r="AF36" s="4">
        <f>-1668.92*积分!V36</f>
        <v>0</v>
      </c>
      <c r="AG36" s="4">
        <f>-1668.92*积分!W36</f>
        <v>-1668.92</v>
      </c>
      <c r="AH36" s="4">
        <f>-1668.92*积分!X36</f>
        <v>0</v>
      </c>
      <c r="AI36" s="4">
        <f>IFERROR(INDEX([4]Sheet1!$AD:$AD, MATCH(A36, [4]Sheet1!$A:$A, 0)) * 积分!AA36, "--")</f>
        <v>0</v>
      </c>
      <c r="AJ36" s="4">
        <f>IFERROR(INDEX([4]Sheet1!$AC:$AC, MATCH(A36, [4]Sheet1!$A:$A, 0)) * 积分!AB36, "--")</f>
        <v>0</v>
      </c>
      <c r="AK36" s="4">
        <f>IFERROR(INDEX([4]Sheet1!$AE:$AE, MATCH(A36, [4]Sheet1!$A:$A, 0)) * 积分!AC36, "--")</f>
        <v>0</v>
      </c>
      <c r="AL36" s="4">
        <f>IFERROR(INDEX([4]Sheet1!$AF:$AF, MATCH(A36, [4]Sheet1!$A:$A, 0)) * 积分!AD36, "--")</f>
        <v>0</v>
      </c>
      <c r="AM36" s="4">
        <f>IFERROR(INDEX([4]Sheet1!$AG:$AG, MATCH(A36, [4]Sheet1!$A:$A, 0)) * 积分!AE36, "--")</f>
        <v>0</v>
      </c>
      <c r="AN36" s="4">
        <f>IFERROR(INDEX([4]Sheet1!$AH:$AH, MATCH(A36, [4]Sheet1!$A:$A, 0)) * 积分!AF36, "--")</f>
        <v>0</v>
      </c>
      <c r="AO36" s="4">
        <f>IFERROR(INDEX([4]Sheet1!$AI:$AI, MATCH(A36, [4]Sheet1!$A:$A, 0)) * 积分!AG36, "--")</f>
        <v>0</v>
      </c>
      <c r="AP36" s="4">
        <f>IFERROR(INDEX([4]Sheet1!$AJ:$AJ, MATCH(A36, [4]Sheet1!$A:$A, 0)) * 积分!AH36, "--")</f>
        <v>0</v>
      </c>
      <c r="AQ36" s="4">
        <v>0</v>
      </c>
      <c r="AR36" s="4">
        <v>0</v>
      </c>
      <c r="AS36" s="7" t="s">
        <v>117</v>
      </c>
      <c r="AT36" s="7" t="s">
        <v>117</v>
      </c>
      <c r="AU36" s="7" t="s">
        <v>117</v>
      </c>
      <c r="AV36" s="7" t="s">
        <v>117</v>
      </c>
      <c r="AW36" s="7" t="s">
        <v>117</v>
      </c>
      <c r="AX36" s="7" t="s">
        <v>117</v>
      </c>
      <c r="AY36" s="7" t="s">
        <v>117</v>
      </c>
      <c r="AZ36" s="7" t="s">
        <v>117</v>
      </c>
      <c r="BA36" s="7" t="s">
        <v>117</v>
      </c>
      <c r="BB36" s="7" t="s">
        <v>117</v>
      </c>
      <c r="BC36" s="7" t="s">
        <v>117</v>
      </c>
    </row>
    <row r="37" spans="1:55" ht="25.65" customHeight="1" x14ac:dyDescent="0.25">
      <c r="A37" s="1" t="s">
        <v>67</v>
      </c>
      <c r="B37" s="1">
        <f t="shared" si="0"/>
        <v>0</v>
      </c>
      <c r="C37" s="2">
        <f t="shared" si="1"/>
        <v>0</v>
      </c>
      <c r="D37" s="2">
        <f t="shared" si="2"/>
        <v>0</v>
      </c>
      <c r="E37" s="2">
        <f t="shared" si="3"/>
        <v>0</v>
      </c>
      <c r="F37" s="2" t="str" cm="1">
        <f t="array" ref="F37">IFERROR(
病区折扣比例(
(
INDEX([3]Sheet1!$I:$I, MATCH(A37, [3]Sheet1!$B:$B, 0))
/
次均费用!C37
)
)
*INDEX([4]Sheet1!$AL:$AL, MATCH(A37, [4]Sheet1!$A:$A, 0))
* 积分!B37, "--")</f>
        <v>--</v>
      </c>
      <c r="G37" s="2" t="str">
        <f>IFERROR(INDEX([4]Sheet1!$AK:$AK, MATCH(A37, [4]Sheet1!$A:$A, 0)) * 积分!C37, "--")</f>
        <v>--</v>
      </c>
      <c r="H37" s="2" t="str">
        <f>IFERROR(INDEX([4]Sheet1!$AB:$AB, MATCH(A37, [4]Sheet1!$A:$A, 0)) * 积分!D37, "--")</f>
        <v>--</v>
      </c>
      <c r="I37" s="2" t="str">
        <f>IFERROR(INDEX([4]Sheet1!$AA:$AA, MATCH(A37, [4]Sheet1!$A:$A, 0)) * 积分!E37, "--")</f>
        <v>--</v>
      </c>
      <c r="J37" s="2" t="str">
        <f>IFERROR(INDEX([4]Sheet1!$Z:$Z, MATCH(A37, [4]Sheet1!$A:$A, 0)) * 积分!F37, "--")</f>
        <v>--</v>
      </c>
      <c r="K37" s="2" t="str">
        <f>IFERROR(INDEX([4]Sheet1!$Y:$Y, MATCH(A37, [4]Sheet1!$A:$A, 0)) * 积分!G37, "--")</f>
        <v>--</v>
      </c>
      <c r="L37" s="2" cm="1">
        <f t="array" ref="L37">IFERROR(
门诊折扣比例(
(
INDEX([5]Sheet1!$D:$D, MATCH(A37, [5]Sheet1!$B:$B, 0))
/
次均费用!B37
)
)
*INDEX([5]Sheet1!$C:$C, MATCH(A37, [5]Sheet1!$B:$B, 0))
* 积分!H37, "--")</f>
        <v>0</v>
      </c>
      <c r="M37" s="2" t="str">
        <f>IFERROR(INDEX([3]Sheet1!$C:$C, MATCH(A37, [3]Sheet1!$B:$B, 0)) * 积分!I37, "--")</f>
        <v>--</v>
      </c>
      <c r="N37" s="2" t="str">
        <f>IFERROR(INDEX([3]Sheet1!$D:$D, MATCH(A37, [3]Sheet1!$B:$B, 0)) * 积分!J37, "--")</f>
        <v>--</v>
      </c>
      <c r="O37" s="2" t="str">
        <f>IFERROR(INDEX([3]Sheet1!$E:$E, MATCH(A37, [3]Sheet1!$B:$B, 0)) * 积分!K37, "--")</f>
        <v>--</v>
      </c>
      <c r="P37" s="2" t="str">
        <f>IFERROR(INDEX([3]Sheet1!$F:$F, MATCH(A37, [3]Sheet1!$B:$B, 0)) * 积分!L37, "--")</f>
        <v>--</v>
      </c>
      <c r="Q37" s="2" t="str">
        <f>IFERROR(INDEX([3]Sheet1!$G:$G, MATCH(A37, [3]Sheet1!$B:$B, 0)) * 积分!M37, "--")</f>
        <v>--</v>
      </c>
      <c r="R37" s="2" t="str" cm="1">
        <f t="array" ref="R37">IFERROR(INDEX([6]Sheet1!$D:$D, MATCH(1, ([6]Sheet1!$B:$B=A37) * ([6]Sheet1!$C:$C="特级护理（临床）"), 0)) * 积分!AI37, "--")</f>
        <v>--</v>
      </c>
      <c r="S37" s="2" t="str" cm="1">
        <f t="array" ref="S37">IFERROR(INDEX([6]Sheet1!$D:$D, MATCH(1, ([6]Sheet1!$B:$B=A37) * ([6]Sheet1!$C:$C="重症监护（临床）"), 0)) * 积分!AJ37, "--")</f>
        <v>--</v>
      </c>
      <c r="T37" s="2" t="str" cm="1">
        <f t="array" ref="T37">IFERROR(INDEX([6]Sheet1!$D:$D, MATCH(1, ([6]Sheet1!$B:$B=A37) * ([6]Sheet1!$C:$C="Ⅰ级护理（临床）"), 0)) * 积分!AK37, "--")</f>
        <v>--</v>
      </c>
      <c r="U37" s="2" t="str" cm="1">
        <f t="array" ref="U37">IFERROR(INDEX([6]Sheet1!$D:$D, MATCH(1, ([6]Sheet1!$B:$B=A37) * ([6]Sheet1!$C:$C="Ⅱ级护理（临床）"), 0)) * 积分!AL37, "--")</f>
        <v>--</v>
      </c>
      <c r="V37" s="2" t="str" cm="1">
        <f t="array" ref="V37">IFERROR(INDEX([6]Sheet1!$D:$D, MATCH(1, ([6]Sheet1!$B:$B=A37) * ([6]Sheet1!$C:$C="护士中医适宜技术（临床）"), 0)) * 积分!AM37, "--")</f>
        <v>--</v>
      </c>
      <c r="W37" s="2" t="str">
        <f>IFERROR(INDEX([3]Sheet1!$H:$H, MATCH(A37, [3]Sheet1!$B:$B, 0)) * 积分!N37, "--")</f>
        <v>--</v>
      </c>
      <c r="X37" s="2" t="str">
        <f>IFERROR(INDEX([3]Sheet1!$J:$J, MATCH(A37, [3]Sheet1!$B:$B, 0)) * 积分!O37, "--")</f>
        <v>--</v>
      </c>
      <c r="Y37" s="2" t="str" cm="1">
        <f t="array" ref="Y37">IFERROR(INDEX([7]Sheet1!$D:$D, MATCH(1, ([7]Sheet1!$B:$B=A37) * ([7]Sheet1!$C:$C="单位系数"), 0)) * 积分!P37, "--")</f>
        <v>--</v>
      </c>
      <c r="Z37" s="2" t="str" cm="1">
        <f t="array" ref="Z37">IFERROR(INDEX([7]Sheet1!$D:$D, MATCH(1, ([7]Sheet1!$B:$B=A37) * ([7]Sheet1!$C:$C="多学科联合(MDT)门诊"), 0)) * 积分!Q37, "--")</f>
        <v>--</v>
      </c>
      <c r="AA37" s="2" t="str" cm="1">
        <f t="array" ref="AA37">IFERROR(INDEX([7]Sheet1!$D:$D, MATCH(1, ([7]Sheet1!$B:$B=A37) * ([7]Sheet1!$C:$C="核算金额"), 0)) * 积分!R37, "--")</f>
        <v>--</v>
      </c>
      <c r="AB37" s="2" t="str" cm="1">
        <f t="array" ref="AB37">IFERROR(INDEX([7]Sheet1!$D:$D, MATCH(1, ([7]Sheet1!$B:$B=A37) * ([7]Sheet1!$C:$C="单据"), 0)), "--")</f>
        <v>--</v>
      </c>
      <c r="AC37" s="2" t="str" cm="1">
        <f t="array" ref="AC37">IFERROR(INDEX([7]Sheet1!$D:$D, MATCH(1, ([7]Sheet1!$B:$B=A37) * ([7]Sheet1!$C:$C="特需门诊"), 0)) * 积分!S37, "--")</f>
        <v>--</v>
      </c>
      <c r="AD37" s="2" t="str" cm="1">
        <f t="array" ref="AD37">IFERROR(INDEX([7]Sheet1!$D:$D, MATCH(1, ([7]Sheet1!$B:$B=A37) * ([7]Sheet1!$C:$C="中医会诊"), 0)) * 积分!T37, "--")</f>
        <v>--</v>
      </c>
      <c r="AE37" s="2">
        <f>积分!U37*0</f>
        <v>0</v>
      </c>
      <c r="AF37" s="2">
        <f>--积分!V37</f>
        <v>0</v>
      </c>
      <c r="AG37" s="2">
        <f>0*积分!W37</f>
        <v>0</v>
      </c>
      <c r="AH37" s="2">
        <f>0*积分!X37</f>
        <v>0</v>
      </c>
      <c r="AI37" s="2" t="str">
        <f>IFERROR(INDEX([4]Sheet1!$AD:$AD, MATCH(A37, [4]Sheet1!$A:$A, 0)) * 积分!AA37, "--")</f>
        <v>--</v>
      </c>
      <c r="AJ37" s="2" t="str">
        <f>IFERROR(INDEX([4]Sheet1!$AC:$AC, MATCH(A37, [4]Sheet1!$A:$A, 0)) * 积分!AB37, "--")</f>
        <v>--</v>
      </c>
      <c r="AK37" s="2" t="str">
        <f>IFERROR(INDEX([4]Sheet1!$AE:$AE, MATCH(A37, [4]Sheet1!$A:$A, 0)) * 积分!AC37, "--")</f>
        <v>--</v>
      </c>
      <c r="AL37" s="2" t="str">
        <f>IFERROR(INDEX([4]Sheet1!$AF:$AF, MATCH(A37, [4]Sheet1!$A:$A, 0)) * 积分!AD37, "--")</f>
        <v>--</v>
      </c>
      <c r="AM37" s="2" t="str">
        <f>IFERROR(INDEX([4]Sheet1!$AG:$AG, MATCH(A37, [4]Sheet1!$A:$A, 0)) * 积分!AE37, "--")</f>
        <v>--</v>
      </c>
      <c r="AN37" s="2" t="str">
        <f>IFERROR(INDEX([4]Sheet1!$AH:$AH, MATCH(A37, [4]Sheet1!$A:$A, 0)) * 积分!AF37, "--")</f>
        <v>--</v>
      </c>
      <c r="AO37" s="2" t="str">
        <f>IFERROR(INDEX([4]Sheet1!$AI:$AI, MATCH(A37, [4]Sheet1!$A:$A, 0)) * 积分!AG37, "--")</f>
        <v>--</v>
      </c>
      <c r="AP37" s="2" t="str">
        <f>IFERROR(INDEX([4]Sheet1!$AJ:$AJ, MATCH(A37, [4]Sheet1!$A:$A, 0)) * 积分!AH37, "--")</f>
        <v>--</v>
      </c>
      <c r="AQ37" s="2">
        <v>0</v>
      </c>
      <c r="AR37" s="2">
        <v>0</v>
      </c>
      <c r="AS37" s="12" t="s">
        <v>117</v>
      </c>
      <c r="AT37" s="12" t="s">
        <v>117</v>
      </c>
      <c r="AU37" s="12" t="s">
        <v>117</v>
      </c>
      <c r="AV37" s="12" t="s">
        <v>117</v>
      </c>
      <c r="AW37" s="12" t="s">
        <v>117</v>
      </c>
      <c r="AX37" s="12" t="s">
        <v>117</v>
      </c>
      <c r="AY37" s="12" t="s">
        <v>117</v>
      </c>
      <c r="AZ37" s="12" t="s">
        <v>117</v>
      </c>
      <c r="BA37" s="12" t="s">
        <v>117</v>
      </c>
      <c r="BB37" s="12" t="s">
        <v>117</v>
      </c>
      <c r="BC37" s="12" t="s">
        <v>117</v>
      </c>
    </row>
    <row r="38" spans="1:55" ht="25.65" customHeight="1" x14ac:dyDescent="0.25">
      <c r="A38" s="3" t="s">
        <v>68</v>
      </c>
      <c r="B38" s="4">
        <f t="shared" si="0"/>
        <v>0</v>
      </c>
      <c r="C38" s="4">
        <f t="shared" si="1"/>
        <v>0</v>
      </c>
      <c r="D38" s="4">
        <f t="shared" si="2"/>
        <v>0</v>
      </c>
      <c r="E38" s="4">
        <f t="shared" si="3"/>
        <v>0</v>
      </c>
      <c r="F38" s="4" t="str" cm="1">
        <f t="array" ref="F38">IFERROR(
病区折扣比例(
(
INDEX([3]Sheet1!$I:$I, MATCH(A38, [3]Sheet1!$B:$B, 0))
/
次均费用!C38
)
)
*INDEX([4]Sheet1!$AL:$AL, MATCH(A38, [4]Sheet1!$A:$A, 0))
* 积分!B38, "--")</f>
        <v>--</v>
      </c>
      <c r="G38" s="4" t="str">
        <f>IFERROR(INDEX([4]Sheet1!$AK:$AK, MATCH(A38, [4]Sheet1!$A:$A, 0)) * 积分!C38, "--")</f>
        <v>--</v>
      </c>
      <c r="H38" s="4" t="str">
        <f>IFERROR(INDEX([4]Sheet1!$AB:$AB, MATCH(A38, [4]Sheet1!$A:$A, 0)) * 积分!D38, "--")</f>
        <v>--</v>
      </c>
      <c r="I38" s="4" t="str">
        <f>IFERROR(INDEX([4]Sheet1!$AA:$AA, MATCH(A38, [4]Sheet1!$A:$A, 0)) * 积分!E38, "--")</f>
        <v>--</v>
      </c>
      <c r="J38" s="4" t="str">
        <f>IFERROR(INDEX([4]Sheet1!$Z:$Z, MATCH(A38, [4]Sheet1!$A:$A, 0)) * 积分!F38, "--")</f>
        <v>--</v>
      </c>
      <c r="K38" s="4" t="str">
        <f>IFERROR(INDEX([4]Sheet1!$Y:$Y, MATCH(A38, [4]Sheet1!$A:$A, 0)) * 积分!G38, "--")</f>
        <v>--</v>
      </c>
      <c r="L38" s="4" cm="1">
        <f t="array" ref="L38">IFERROR(
门诊折扣比例(
(
INDEX([5]Sheet1!$D:$D, MATCH(A38, [5]Sheet1!$B:$B, 0))
/
次均费用!B38
)
)
*INDEX([5]Sheet1!$C:$C, MATCH(A38, [5]Sheet1!$B:$B, 0))
* 积分!H38, "--")</f>
        <v>0</v>
      </c>
      <c r="M38" s="4" t="str">
        <f>IFERROR(INDEX([3]Sheet1!$C:$C, MATCH(A38, [3]Sheet1!$B:$B, 0)) * 积分!I38, "--")</f>
        <v>--</v>
      </c>
      <c r="N38" s="4" t="str">
        <f>IFERROR(INDEX([3]Sheet1!$D:$D, MATCH(A38, [3]Sheet1!$B:$B, 0)) * 积分!J38, "--")</f>
        <v>--</v>
      </c>
      <c r="O38" s="4" t="str">
        <f>IFERROR(INDEX([3]Sheet1!$E:$E, MATCH(A38, [3]Sheet1!$B:$B, 0)) * 积分!K38, "--")</f>
        <v>--</v>
      </c>
      <c r="P38" s="4" t="str">
        <f>IFERROR(INDEX([3]Sheet1!$F:$F, MATCH(A38, [3]Sheet1!$B:$B, 0)) * 积分!L38, "--")</f>
        <v>--</v>
      </c>
      <c r="Q38" s="4" t="str">
        <f>IFERROR(INDEX([3]Sheet1!$G:$G, MATCH(A38, [3]Sheet1!$B:$B, 0)) * 积分!M38, "--")</f>
        <v>--</v>
      </c>
      <c r="R38" s="4" t="str" cm="1">
        <f t="array" ref="R38">IFERROR(INDEX([6]Sheet1!$D:$D, MATCH(1, ([6]Sheet1!$B:$B=A38) * ([6]Sheet1!$C:$C="特级护理（临床）"), 0)) * 积分!AI38, "--")</f>
        <v>--</v>
      </c>
      <c r="S38" s="4" t="str" cm="1">
        <f t="array" ref="S38">IFERROR(INDEX([6]Sheet1!$D:$D, MATCH(1, ([6]Sheet1!$B:$B=A38) * ([6]Sheet1!$C:$C="重症监护（临床）"), 0)) * 积分!AJ38, "--")</f>
        <v>--</v>
      </c>
      <c r="T38" s="4" t="str" cm="1">
        <f t="array" ref="T38">IFERROR(INDEX([6]Sheet1!$D:$D, MATCH(1, ([6]Sheet1!$B:$B=A38) * ([6]Sheet1!$C:$C="Ⅰ级护理（临床）"), 0)) * 积分!AK38, "--")</f>
        <v>--</v>
      </c>
      <c r="U38" s="4" t="str" cm="1">
        <f t="array" ref="U38">IFERROR(INDEX([6]Sheet1!$D:$D, MATCH(1, ([6]Sheet1!$B:$B=A38) * ([6]Sheet1!$C:$C="Ⅱ级护理（临床）"), 0)) * 积分!AL38, "--")</f>
        <v>--</v>
      </c>
      <c r="V38" s="4" t="str" cm="1">
        <f t="array" ref="V38">IFERROR(INDEX([6]Sheet1!$D:$D, MATCH(1, ([6]Sheet1!$B:$B=A38) * ([6]Sheet1!$C:$C="护士中医适宜技术（临床）"), 0)) * 积分!AM38, "--")</f>
        <v>--</v>
      </c>
      <c r="W38" s="4" t="str">
        <f>IFERROR(INDEX([3]Sheet1!$H:$H, MATCH(A38, [3]Sheet1!$B:$B, 0)) * 积分!N38, "--")</f>
        <v>--</v>
      </c>
      <c r="X38" s="4" t="str">
        <f>IFERROR(INDEX([3]Sheet1!$J:$J, MATCH(A38, [3]Sheet1!$B:$B, 0)) * 积分!O38, "--")</f>
        <v>--</v>
      </c>
      <c r="Y38" s="4" t="str" cm="1">
        <f t="array" ref="Y38">IFERROR(INDEX([7]Sheet1!$D:$D, MATCH(1, ([7]Sheet1!$B:$B=A38) * ([7]Sheet1!$C:$C="单位系数"), 0)) * 积分!P38, "--")</f>
        <v>--</v>
      </c>
      <c r="Z38" s="4" t="str" cm="1">
        <f t="array" ref="Z38">IFERROR(INDEX([7]Sheet1!$D:$D, MATCH(1, ([7]Sheet1!$B:$B=A38) * ([7]Sheet1!$C:$C="多学科联合(MDT)门诊"), 0)) * 积分!Q38, "--")</f>
        <v>--</v>
      </c>
      <c r="AA38" s="4" t="str" cm="1">
        <f t="array" ref="AA38">IFERROR(INDEX([7]Sheet1!$D:$D, MATCH(1, ([7]Sheet1!$B:$B=A38) * ([7]Sheet1!$C:$C="核算金额"), 0)) * 积分!R38, "--")</f>
        <v>--</v>
      </c>
      <c r="AB38" s="4" t="str" cm="1">
        <f t="array" ref="AB38">IFERROR(INDEX([7]Sheet1!$D:$D, MATCH(1, ([7]Sheet1!$B:$B=A38) * ([7]Sheet1!$C:$C="单据"), 0)), "--")</f>
        <v>--</v>
      </c>
      <c r="AC38" s="4" cm="1">
        <f t="array" ref="AC38">IFERROR(INDEX([7]Sheet1!$D:$D, MATCH(1, ([7]Sheet1!$B:$B=A38) * ([7]Sheet1!$C:$C="特需门诊"), 0)) * 积分!S38, "--")</f>
        <v>0</v>
      </c>
      <c r="AD38" s="4" t="str" cm="1">
        <f t="array" ref="AD38">IFERROR(INDEX([7]Sheet1!$D:$D, MATCH(1, ([7]Sheet1!$B:$B=A38) * ([7]Sheet1!$C:$C="中医会诊"), 0)) * 积分!T38, "--")</f>
        <v>--</v>
      </c>
      <c r="AE38" s="4">
        <f>积分!U38*0</f>
        <v>0</v>
      </c>
      <c r="AF38" s="4">
        <f>--积分!V38</f>
        <v>0</v>
      </c>
      <c r="AG38" s="4">
        <f>0*积分!W38</f>
        <v>0</v>
      </c>
      <c r="AH38" s="4">
        <f>0*积分!X38</f>
        <v>0</v>
      </c>
      <c r="AI38" s="4" t="str">
        <f>IFERROR(INDEX([4]Sheet1!$AD:$AD, MATCH(A38, [4]Sheet1!$A:$A, 0)) * 积分!AA38, "--")</f>
        <v>--</v>
      </c>
      <c r="AJ38" s="4" t="str">
        <f>IFERROR(INDEX([4]Sheet1!$AC:$AC, MATCH(A38, [4]Sheet1!$A:$A, 0)) * 积分!AB38, "--")</f>
        <v>--</v>
      </c>
      <c r="AK38" s="4" t="str">
        <f>IFERROR(INDEX([4]Sheet1!$AE:$AE, MATCH(A38, [4]Sheet1!$A:$A, 0)) * 积分!AC38, "--")</f>
        <v>--</v>
      </c>
      <c r="AL38" s="4" t="str">
        <f>IFERROR(INDEX([4]Sheet1!$AF:$AF, MATCH(A38, [4]Sheet1!$A:$A, 0)) * 积分!AD38, "--")</f>
        <v>--</v>
      </c>
      <c r="AM38" s="4" t="str">
        <f>IFERROR(INDEX([4]Sheet1!$AG:$AG, MATCH(A38, [4]Sheet1!$A:$A, 0)) * 积分!AE38, "--")</f>
        <v>--</v>
      </c>
      <c r="AN38" s="4" t="str">
        <f>IFERROR(INDEX([4]Sheet1!$AH:$AH, MATCH(A38, [4]Sheet1!$A:$A, 0)) * 积分!AF38, "--")</f>
        <v>--</v>
      </c>
      <c r="AO38" s="4" t="str">
        <f>IFERROR(INDEX([4]Sheet1!$AI:$AI, MATCH(A38, [4]Sheet1!$A:$A, 0)) * 积分!AG38, "--")</f>
        <v>--</v>
      </c>
      <c r="AP38" s="4" t="str">
        <f>IFERROR(INDEX([4]Sheet1!$AJ:$AJ, MATCH(A38, [4]Sheet1!$A:$A, 0)) * 积分!AH38, "--")</f>
        <v>--</v>
      </c>
      <c r="AQ38" s="4">
        <v>0</v>
      </c>
      <c r="AR38" s="4">
        <v>0</v>
      </c>
      <c r="AS38" s="7" t="s">
        <v>117</v>
      </c>
      <c r="AT38" s="7" t="s">
        <v>117</v>
      </c>
      <c r="AU38" s="7" t="s">
        <v>117</v>
      </c>
      <c r="AV38" s="7" t="s">
        <v>117</v>
      </c>
      <c r="AW38" s="7" t="s">
        <v>117</v>
      </c>
      <c r="AX38" s="7" t="s">
        <v>117</v>
      </c>
      <c r="AY38" s="7" t="s">
        <v>117</v>
      </c>
      <c r="AZ38" s="7" t="s">
        <v>117</v>
      </c>
      <c r="BA38" s="7" t="s">
        <v>117</v>
      </c>
      <c r="BB38" s="7" t="s">
        <v>117</v>
      </c>
      <c r="BC38" s="7" t="s">
        <v>117</v>
      </c>
    </row>
    <row r="39" spans="1:55" ht="25.65" customHeight="1" x14ac:dyDescent="0.25">
      <c r="A39" s="5" t="s">
        <v>69</v>
      </c>
      <c r="B39" s="1">
        <f t="shared" si="0"/>
        <v>0</v>
      </c>
      <c r="C39" s="2">
        <f t="shared" si="1"/>
        <v>0</v>
      </c>
      <c r="D39" s="2">
        <f t="shared" si="2"/>
        <v>0</v>
      </c>
      <c r="E39" s="2">
        <f t="shared" si="3"/>
        <v>0</v>
      </c>
      <c r="F39" s="2" t="str" cm="1">
        <f t="array" ref="F39">IFERROR(
病区折扣比例(
(
INDEX([3]Sheet1!$I:$I, MATCH(A39, [3]Sheet1!$B:$B, 0))
/
次均费用!C39
)
)
*INDEX([4]Sheet1!$AL:$AL, MATCH(A39, [4]Sheet1!$A:$A, 0))
* 积分!B39, "--")</f>
        <v>--</v>
      </c>
      <c r="G39" s="2" t="str">
        <f>IFERROR(INDEX([4]Sheet1!$AK:$AK, MATCH(A39, [4]Sheet1!$A:$A, 0)) * 积分!C39, "--")</f>
        <v>--</v>
      </c>
      <c r="H39" s="2" t="str">
        <f>IFERROR(INDEX([4]Sheet1!$AB:$AB, MATCH(A39, [4]Sheet1!$A:$A, 0)) * 积分!D39, "--")</f>
        <v>--</v>
      </c>
      <c r="I39" s="2" t="str">
        <f>IFERROR(INDEX([4]Sheet1!$AA:$AA, MATCH(A39, [4]Sheet1!$A:$A, 0)) * 积分!E39, "--")</f>
        <v>--</v>
      </c>
      <c r="J39" s="2" t="str">
        <f>IFERROR(INDEX([4]Sheet1!$Z:$Z, MATCH(A39, [4]Sheet1!$A:$A, 0)) * 积分!F39, "--")</f>
        <v>--</v>
      </c>
      <c r="K39" s="2" t="str">
        <f>IFERROR(INDEX([4]Sheet1!$Y:$Y, MATCH(A39, [4]Sheet1!$A:$A, 0)) * 积分!G39, "--")</f>
        <v>--</v>
      </c>
      <c r="L39" s="2" cm="1">
        <f t="array" ref="L39">IFERROR(
门诊折扣比例(
(
INDEX([5]Sheet1!$D:$D, MATCH(A39, [5]Sheet1!$B:$B, 0))
/
次均费用!B39
)
)
*INDEX([5]Sheet1!$C:$C, MATCH(A39, [5]Sheet1!$B:$B, 0))
* 积分!H39, "--")</f>
        <v>0</v>
      </c>
      <c r="M39" s="2" t="str">
        <f>IFERROR(INDEX([3]Sheet1!$C:$C, MATCH(A39, [3]Sheet1!$B:$B, 0)) * 积分!I39, "--")</f>
        <v>--</v>
      </c>
      <c r="N39" s="2" t="str">
        <f>IFERROR(INDEX([3]Sheet1!$D:$D, MATCH(A39, [3]Sheet1!$B:$B, 0)) * 积分!J39, "--")</f>
        <v>--</v>
      </c>
      <c r="O39" s="2" t="str">
        <f>IFERROR(INDEX([3]Sheet1!$E:$E, MATCH(A39, [3]Sheet1!$B:$B, 0)) * 积分!K39, "--")</f>
        <v>--</v>
      </c>
      <c r="P39" s="2" t="str">
        <f>IFERROR(INDEX([3]Sheet1!$F:$F, MATCH(A39, [3]Sheet1!$B:$B, 0)) * 积分!L39, "--")</f>
        <v>--</v>
      </c>
      <c r="Q39" s="2" t="str">
        <f>IFERROR(INDEX([3]Sheet1!$G:$G, MATCH(A39, [3]Sheet1!$B:$B, 0)) * 积分!M39, "--")</f>
        <v>--</v>
      </c>
      <c r="R39" s="2" t="str" cm="1">
        <f t="array" ref="R39">IFERROR(INDEX([6]Sheet1!$D:$D, MATCH(1, ([6]Sheet1!$B:$B=A39) * ([6]Sheet1!$C:$C="特级护理（临床）"), 0)) * 积分!AI39, "--")</f>
        <v>--</v>
      </c>
      <c r="S39" s="2" t="str" cm="1">
        <f t="array" ref="S39">IFERROR(INDEX([6]Sheet1!$D:$D, MATCH(1, ([6]Sheet1!$B:$B=A39) * ([6]Sheet1!$C:$C="重症监护（临床）"), 0)) * 积分!AJ39, "--")</f>
        <v>--</v>
      </c>
      <c r="T39" s="2" t="str" cm="1">
        <f t="array" ref="T39">IFERROR(INDEX([6]Sheet1!$D:$D, MATCH(1, ([6]Sheet1!$B:$B=A39) * ([6]Sheet1!$C:$C="Ⅰ级护理（临床）"), 0)) * 积分!AK39, "--")</f>
        <v>--</v>
      </c>
      <c r="U39" s="2" t="str" cm="1">
        <f t="array" ref="U39">IFERROR(INDEX([6]Sheet1!$D:$D, MATCH(1, ([6]Sheet1!$B:$B=A39) * ([6]Sheet1!$C:$C="Ⅱ级护理（临床）"), 0)) * 积分!AL39, "--")</f>
        <v>--</v>
      </c>
      <c r="V39" s="2" t="str" cm="1">
        <f t="array" ref="V39">IFERROR(INDEX([6]Sheet1!$D:$D, MATCH(1, ([6]Sheet1!$B:$B=A39) * ([6]Sheet1!$C:$C="护士中医适宜技术（临床）"), 0)) * 积分!AM39, "--")</f>
        <v>--</v>
      </c>
      <c r="W39" s="2" t="str">
        <f>IFERROR(INDEX([3]Sheet1!$H:$H, MATCH(A39, [3]Sheet1!$B:$B, 0)) * 积分!N39, "--")</f>
        <v>--</v>
      </c>
      <c r="X39" s="2" t="str">
        <f>IFERROR(INDEX([3]Sheet1!$J:$J, MATCH(A39, [3]Sheet1!$B:$B, 0)) * 积分!O39, "--")</f>
        <v>--</v>
      </c>
      <c r="Y39" s="2" t="str" cm="1">
        <f t="array" ref="Y39">IFERROR(INDEX([7]Sheet1!$D:$D, MATCH(1, ([7]Sheet1!$B:$B=A39) * ([7]Sheet1!$C:$C="单位系数"), 0)) * 积分!P39, "--")</f>
        <v>--</v>
      </c>
      <c r="Z39" s="2" t="str" cm="1">
        <f t="array" ref="Z39">IFERROR(INDEX([7]Sheet1!$D:$D, MATCH(1, ([7]Sheet1!$B:$B=A39) * ([7]Sheet1!$C:$C="多学科联合(MDT)门诊"), 0)) * 积分!Q39, "--")</f>
        <v>--</v>
      </c>
      <c r="AA39" s="2" t="str" cm="1">
        <f t="array" ref="AA39">IFERROR(INDEX([7]Sheet1!$D:$D, MATCH(1, ([7]Sheet1!$B:$B=A39) * ([7]Sheet1!$C:$C="核算金额"), 0)) * 积分!R39, "--")</f>
        <v>--</v>
      </c>
      <c r="AB39" s="2" t="str" cm="1">
        <f t="array" ref="AB39">IFERROR(INDEX([7]Sheet1!$D:$D, MATCH(1, ([7]Sheet1!$B:$B=A39) * ([7]Sheet1!$C:$C="单据"), 0)), "--")</f>
        <v>--</v>
      </c>
      <c r="AC39" s="2" t="str" cm="1">
        <f t="array" ref="AC39">IFERROR(INDEX([7]Sheet1!$D:$D, MATCH(1, ([7]Sheet1!$B:$B=A39) * ([7]Sheet1!$C:$C="特需门诊"), 0)) * 积分!S39, "--")</f>
        <v>--</v>
      </c>
      <c r="AD39" s="2" t="str" cm="1">
        <f t="array" ref="AD39">IFERROR(INDEX([7]Sheet1!$D:$D, MATCH(1, ([7]Sheet1!$B:$B=A39) * ([7]Sheet1!$C:$C="中医会诊"), 0)) * 积分!T39, "--")</f>
        <v>--</v>
      </c>
      <c r="AE39" s="2">
        <f>积分!U39*0</f>
        <v>0</v>
      </c>
      <c r="AF39" s="2">
        <f>--积分!V39</f>
        <v>0</v>
      </c>
      <c r="AG39" s="2">
        <f>0*积分!W39</f>
        <v>0</v>
      </c>
      <c r="AH39" s="2">
        <f>0*积分!X39</f>
        <v>0</v>
      </c>
      <c r="AI39" s="2" t="str">
        <f>IFERROR(INDEX([4]Sheet1!$AD:$AD, MATCH(A39, [4]Sheet1!$A:$A, 0)) * 积分!AA39, "--")</f>
        <v>--</v>
      </c>
      <c r="AJ39" s="2" t="str">
        <f>IFERROR(INDEX([4]Sheet1!$AC:$AC, MATCH(A39, [4]Sheet1!$A:$A, 0)) * 积分!AB39, "--")</f>
        <v>--</v>
      </c>
      <c r="AK39" s="2" t="str">
        <f>IFERROR(INDEX([4]Sheet1!$AE:$AE, MATCH(A39, [4]Sheet1!$A:$A, 0)) * 积分!AC39, "--")</f>
        <v>--</v>
      </c>
      <c r="AL39" s="2" t="str">
        <f>IFERROR(INDEX([4]Sheet1!$AF:$AF, MATCH(A39, [4]Sheet1!$A:$A, 0)) * 积分!AD39, "--")</f>
        <v>--</v>
      </c>
      <c r="AM39" s="2" t="str">
        <f>IFERROR(INDEX([4]Sheet1!$AG:$AG, MATCH(A39, [4]Sheet1!$A:$A, 0)) * 积分!AE39, "--")</f>
        <v>--</v>
      </c>
      <c r="AN39" s="2" t="str">
        <f>IFERROR(INDEX([4]Sheet1!$AH:$AH, MATCH(A39, [4]Sheet1!$A:$A, 0)) * 积分!AF39, "--")</f>
        <v>--</v>
      </c>
      <c r="AO39" s="2" t="str">
        <f>IFERROR(INDEX([4]Sheet1!$AI:$AI, MATCH(A39, [4]Sheet1!$A:$A, 0)) * 积分!AG39, "--")</f>
        <v>--</v>
      </c>
      <c r="AP39" s="2" t="str">
        <f>IFERROR(INDEX([4]Sheet1!$AJ:$AJ, MATCH(A39, [4]Sheet1!$A:$A, 0)) * 积分!AH39, "--")</f>
        <v>--</v>
      </c>
      <c r="AQ39" s="2">
        <v>0</v>
      </c>
      <c r="AR39" s="2">
        <v>0</v>
      </c>
      <c r="AS39" s="12" t="s">
        <v>117</v>
      </c>
      <c r="AT39" s="12" t="s">
        <v>117</v>
      </c>
      <c r="AU39" s="12" t="s">
        <v>117</v>
      </c>
      <c r="AV39" s="12" t="s">
        <v>117</v>
      </c>
      <c r="AW39" s="12" t="s">
        <v>117</v>
      </c>
      <c r="AX39" s="12" t="s">
        <v>117</v>
      </c>
      <c r="AY39" s="12" t="s">
        <v>117</v>
      </c>
      <c r="AZ39" s="12" t="s">
        <v>117</v>
      </c>
      <c r="BA39" s="12" t="s">
        <v>117</v>
      </c>
      <c r="BB39" s="12" t="s">
        <v>117</v>
      </c>
      <c r="BC39" s="12" t="s">
        <v>117</v>
      </c>
    </row>
    <row r="40" spans="1:55" ht="25.2" customHeight="1" x14ac:dyDescent="0.25">
      <c r="A40" s="8" t="s">
        <v>188</v>
      </c>
      <c r="B40" s="4">
        <f>ROUND(IF(AA40&lt;&gt;"--",AA40,0)+IF(AB40&lt;&gt;"--",AB40,0)+IF(AH40&lt;&gt;"--",AH40,0),2)</f>
        <v>29138.13</v>
      </c>
      <c r="C40" s="4">
        <f t="shared" si="1"/>
        <v>0</v>
      </c>
      <c r="D40" s="4">
        <v>0</v>
      </c>
      <c r="E40" s="4">
        <f t="shared" si="3"/>
        <v>0</v>
      </c>
      <c r="F40" s="4" t="str" cm="1">
        <f t="array" ref="F40">IFERROR(
病区折扣比例(
(
INDEX([3]Sheet1!$I:$I, MATCH(A40, [3]Sheet1!$B:$B, 0))
/
次均费用!C40
)
)
*INDEX([4]Sheet1!$AL:$AL, MATCH(A40, [4]Sheet1!$A:$A, 0))
* 积分!#REF!, "--")</f>
        <v>--</v>
      </c>
      <c r="G40" s="4" t="str">
        <f>IFERROR(INDEX([4]Sheet1!$AK:$AK, MATCH(A40, [4]Sheet1!$A:$A, 0)) * 积分!#REF!, "--")</f>
        <v>--</v>
      </c>
      <c r="H40" s="4" t="str">
        <f>IFERROR(INDEX([4]Sheet1!$AB:$AB, MATCH(A40, [4]Sheet1!$A:$A, 0)) * 积分!#REF!, "--")</f>
        <v>--</v>
      </c>
      <c r="I40" s="4" t="str">
        <f>IFERROR(INDEX([4]Sheet1!$AA:$AA, MATCH(A40, [4]Sheet1!$A:$A, 0)) * 积分!#REF!, "--")</f>
        <v>--</v>
      </c>
      <c r="J40" s="4" t="str">
        <f>IFERROR(INDEX([4]Sheet1!$Z:$Z, MATCH(A40, [4]Sheet1!$A:$A, 0)) * 积分!#REF!, "--")</f>
        <v>--</v>
      </c>
      <c r="K40" s="4" t="str">
        <f>IFERROR(INDEX([4]Sheet1!$Y:$Y, MATCH(A40, [4]Sheet1!$A:$A, 0)) * 积分!#REF!, "--")</f>
        <v>--</v>
      </c>
      <c r="L40" s="4" t="str" cm="1">
        <f t="array" ref="L40">IFERROR(
门诊折扣比例(
(
INDEX([5]Sheet1!$D:$D, MATCH(A40, [5]Sheet1!$B:$B, 0))
/
次均费用!B40
)
)
*INDEX([5]Sheet1!$C:$C, MATCH(A40, [5]Sheet1!$B:$B, 0))
* 积分!#REF!, "--")</f>
        <v>--</v>
      </c>
      <c r="M40" s="4" t="str">
        <f>IFERROR(INDEX([3]Sheet1!$C:$C, MATCH(A40, [3]Sheet1!$B:$B, 0)) * 积分!#REF!, "--")</f>
        <v>--</v>
      </c>
      <c r="N40" s="4" t="str">
        <f>IFERROR(INDEX([3]Sheet1!$D:$D, MATCH(A40, [3]Sheet1!$B:$B, 0)) * 积分!#REF!, "--")</f>
        <v>--</v>
      </c>
      <c r="O40" s="4" t="str">
        <f>IFERROR(INDEX([3]Sheet1!$E:$E, MATCH(A40, [3]Sheet1!$B:$B, 0)) * 积分!#REF!, "--")</f>
        <v>--</v>
      </c>
      <c r="P40" s="4" t="str">
        <f>IFERROR(INDEX([3]Sheet1!$F:$F, MATCH(A40, [3]Sheet1!$B:$B, 0)) * 积分!#REF!, "--")</f>
        <v>--</v>
      </c>
      <c r="Q40" s="4" t="str">
        <f>IFERROR(INDEX([3]Sheet1!$G:$G, MATCH(A40, [3]Sheet1!$B:$B, 0)) * 积分!#REF!, "--")</f>
        <v>--</v>
      </c>
      <c r="R40" s="4" t="str" cm="1">
        <f t="array" ref="R40">IFERROR(INDEX([6]Sheet1!$D:$D, MATCH(1, ([6]Sheet1!$B:$B=A40) * ([6]Sheet1!$C:$C="特级护理（临床）"), 0)) * 积分!#REF!, "--")</f>
        <v>--</v>
      </c>
      <c r="S40" s="4" t="str" cm="1">
        <f t="array" ref="S40">IFERROR(INDEX([6]Sheet1!$D:$D, MATCH(1, ([6]Sheet1!$B:$B=A40) * ([6]Sheet1!$C:$C="重症监护（临床）"), 0)) * 积分!#REF!, "--")</f>
        <v>--</v>
      </c>
      <c r="T40" s="4" t="str" cm="1">
        <f t="array" ref="T40">IFERROR(INDEX([6]Sheet1!$D:$D, MATCH(1, ([6]Sheet1!$B:$B=A40) * ([6]Sheet1!$C:$C="Ⅰ级护理（临床）"), 0)) * 积分!#REF!, "--")</f>
        <v>--</v>
      </c>
      <c r="U40" s="4" t="str" cm="1">
        <f t="array" ref="U40">IFERROR(INDEX([6]Sheet1!$D:$D, MATCH(1, ([6]Sheet1!$B:$B=A40) * ([6]Sheet1!$C:$C="Ⅱ级护理（临床）"), 0)) * 积分!#REF!, "--")</f>
        <v>--</v>
      </c>
      <c r="V40" s="4" t="str" cm="1">
        <f t="array" ref="V40">IFERROR(INDEX([6]Sheet1!$D:$D, MATCH(1, ([6]Sheet1!$B:$B=A40) * ([6]Sheet1!$C:$C="护士中医适宜技术（临床）"), 0)) * 积分!#REF!, "--")</f>
        <v>--</v>
      </c>
      <c r="W40" s="4" t="str">
        <f>IFERROR(INDEX([3]Sheet1!$H:$H, MATCH(A40, [3]Sheet1!$B:$B, 0)) * 积分!#REF!, "--")</f>
        <v>--</v>
      </c>
      <c r="X40" s="4" t="str">
        <f>IFERROR(INDEX([3]Sheet1!$J:$J, MATCH(A40, [3]Sheet1!$B:$B, 0)) * 积分!#REF!, "--")</f>
        <v>--</v>
      </c>
      <c r="Y40" s="4" t="str" cm="1">
        <f t="array" ref="Y40">IFERROR(INDEX([7]Sheet1!$D:$D, MATCH(1, ([7]Sheet1!$B:$B=A40) * ([7]Sheet1!$C:$C="单位系数"), 0)) * 积分!P40, "--")</f>
        <v>--</v>
      </c>
      <c r="Z40" s="4" t="str" cm="1">
        <f t="array" ref="Z40">IFERROR(INDEX([7]Sheet1!$D:$D, MATCH(1, ([7]Sheet1!$B:$B=A40) * ([7]Sheet1!$C:$C="多学科联合(MDT)门诊"), 0)) * 积分!#REF!, "--")</f>
        <v>--</v>
      </c>
      <c r="AA40" s="4" cm="1">
        <f t="array" ref="AA40">IFERROR(INDEX([7]Sheet1!$D:$D, MATCH(1, ([7]Sheet1!$B:$B=A40) * ([7]Sheet1!$C:$C="核算金额"), 0)) * 积分!R40, "--")</f>
        <v>15474.808999999999</v>
      </c>
      <c r="AB40" s="4" cm="1">
        <f t="array" ref="AB40">IFERROR(INDEX([7]Sheet1!$D:$D, MATCH(1, ([7]Sheet1!$B:$B=A40) * ([7]Sheet1!$C:$C="单据"), 0))* 积分!BA40, "--")</f>
        <v>13663.320000000002</v>
      </c>
      <c r="AC40" s="4" t="str" cm="1">
        <f t="array" ref="AC40">IFERROR(INDEX([7]Sheet1!$D:$D, MATCH(1, ([7]Sheet1!$B:$B=A40) * ([7]Sheet1!$C:$C="特需门诊"), 0)) * 积分!#REF!, "--")</f>
        <v>--</v>
      </c>
      <c r="AD40" s="4" t="str" cm="1">
        <f t="array" ref="AD40">IFERROR(INDEX([7]Sheet1!$D:$D, MATCH(1, ([7]Sheet1!$B:$B=A40) * ([7]Sheet1!$C:$C="中医会诊"), 0)) * 积分!#REF!, "--")</f>
        <v>--</v>
      </c>
      <c r="AE40" s="4">
        <f>积分!U40*0</f>
        <v>0</v>
      </c>
      <c r="AF40" s="4">
        <f>--积分!V40</f>
        <v>0</v>
      </c>
      <c r="AG40" s="4">
        <f>0*积分!W40</f>
        <v>0</v>
      </c>
      <c r="AH40" s="4">
        <f>0*积分!X40</f>
        <v>0</v>
      </c>
      <c r="AI40" s="4" t="str">
        <f>IFERROR(INDEX([4]Sheet1!$AD:$AD, MATCH(A40, [4]Sheet1!$A:$A, 0)) * 积分!#REF!, "--")</f>
        <v>--</v>
      </c>
      <c r="AJ40" s="4" t="str">
        <f>IFERROR(INDEX([4]Sheet1!$AC:$AC, MATCH(A40, [4]Sheet1!$A:$A, 0)) * 积分!#REF!, "--")</f>
        <v>--</v>
      </c>
      <c r="AK40" s="4" t="str">
        <f>IFERROR(INDEX([4]Sheet1!$AE:$AE, MATCH(A40, [4]Sheet1!$A:$A, 0)) * 积分!#REF!, "--")</f>
        <v>--</v>
      </c>
      <c r="AL40" s="4" t="str">
        <f>IFERROR(INDEX([4]Sheet1!$AF:$AF, MATCH(A40, [4]Sheet1!$A:$A, 0)) * 积分!#REF!, "--")</f>
        <v>--</v>
      </c>
      <c r="AM40" s="4" t="str">
        <f>IFERROR(INDEX([4]Sheet1!$AG:$AG, MATCH(A40, [4]Sheet1!$A:$A, 0)) * 积分!#REF!, "--")</f>
        <v>--</v>
      </c>
      <c r="AN40" s="4" t="str">
        <f>IFERROR(INDEX([4]Sheet1!$AH:$AH, MATCH(A40, [4]Sheet1!$A:$A, 0)) * 积分!#REF!, "--")</f>
        <v>--</v>
      </c>
      <c r="AO40" s="4" t="str">
        <f>IFERROR(INDEX([4]Sheet1!$AI:$AI, MATCH(A40, [4]Sheet1!$A:$A, 0)) * 积分!#REF!, "--")</f>
        <v>--</v>
      </c>
      <c r="AP40" s="4" t="str">
        <f>IFERROR(INDEX([4]Sheet1!$AJ:$AJ, MATCH(A40, [4]Sheet1!$A:$A, 0)) * 积分!#REF!, "--")</f>
        <v>--</v>
      </c>
      <c r="AQ40" s="4">
        <v>0</v>
      </c>
      <c r="AR40" s="4">
        <v>0</v>
      </c>
      <c r="AS40" s="7" t="s">
        <v>117</v>
      </c>
      <c r="AT40" s="7" t="s">
        <v>117</v>
      </c>
      <c r="AU40" s="7" t="s">
        <v>117</v>
      </c>
      <c r="AV40" s="7" t="s">
        <v>117</v>
      </c>
      <c r="AW40" s="7" t="s">
        <v>117</v>
      </c>
      <c r="AX40" s="7" t="s">
        <v>117</v>
      </c>
      <c r="AY40" s="7" t="s">
        <v>117</v>
      </c>
      <c r="AZ40" s="7" t="s">
        <v>117</v>
      </c>
      <c r="BA40" s="7" t="s">
        <v>117</v>
      </c>
      <c r="BB40" s="7" t="s">
        <v>117</v>
      </c>
      <c r="BC40" s="7" t="s">
        <v>117</v>
      </c>
    </row>
    <row r="41" spans="1:55" ht="17.399999999999999" x14ac:dyDescent="0.25">
      <c r="A41" s="5" t="s">
        <v>124</v>
      </c>
      <c r="B41" s="2">
        <f>ROUND(IF(AA41&lt;&gt;"--",AA41,0)+IF(AB41&lt;&gt;"--",AB41,0)+IF(AH41&lt;&gt;"--",AH41,0)+IF(AE41&lt;&gt;"--",AE41,0),2)</f>
        <v>328242.90999999997</v>
      </c>
      <c r="C41" s="2">
        <f t="shared" si="1"/>
        <v>0</v>
      </c>
      <c r="D41" s="2">
        <f t="shared" si="2"/>
        <v>326442.90999999997</v>
      </c>
      <c r="E41" s="2">
        <f t="shared" si="3"/>
        <v>1800</v>
      </c>
      <c r="F41" s="2" t="str" cm="1">
        <f t="array" ref="F41">IFERROR(
病区折扣比例(
(
INDEX([3]Sheet1!$I:$I, MATCH(A41, [3]Sheet1!$B:$B, 0))
/
次均费用!C41
)
)
*INDEX([4]Sheet1!$AL:$AL, MATCH(A41, [4]Sheet1!$A:$A, 0))
* 积分!B40, "--")</f>
        <v>--</v>
      </c>
      <c r="G41" s="2" t="str">
        <f>IFERROR(INDEX([4]Sheet1!$AK:$AK, MATCH(A41, [4]Sheet1!$A:$A, 0)) * 积分!C40, "--")</f>
        <v>--</v>
      </c>
      <c r="H41" s="2" t="str">
        <f>IFERROR(INDEX([4]Sheet1!$AB:$AB, MATCH(A41, [4]Sheet1!$A:$A, 0)) * 积分!D40, "--")</f>
        <v>--</v>
      </c>
      <c r="I41" s="2" t="str">
        <f>IFERROR(INDEX([4]Sheet1!$AA:$AA, MATCH(A41, [4]Sheet1!$A:$A, 0)) * 积分!E40, "--")</f>
        <v>--</v>
      </c>
      <c r="J41" s="2" t="str">
        <f>IFERROR(INDEX([4]Sheet1!$Z:$Z, MATCH(A41, [4]Sheet1!$A:$A, 0)) * 积分!F40, "--")</f>
        <v>--</v>
      </c>
      <c r="K41" s="2" t="str">
        <f>IFERROR(INDEX([4]Sheet1!$Y:$Y, MATCH(A41, [4]Sheet1!$A:$A, 0)) * 积分!G40, "--")</f>
        <v>--</v>
      </c>
      <c r="L41" s="2" t="str" cm="1">
        <f t="array" ref="L41">IFERROR(
门诊折扣比例(
(
INDEX([5]Sheet1!$D:$D, MATCH(A41, [5]Sheet1!$B:$B, 0))
/
次均费用!B41
)
)
*INDEX([5]Sheet1!$C:$C, MATCH(A41, [5]Sheet1!$B:$B, 0))
* 积分!H40, "--")</f>
        <v>--</v>
      </c>
      <c r="M41" s="2" t="str">
        <f>IFERROR(INDEX([3]Sheet1!$C:$C, MATCH(A41, [3]Sheet1!$B:$B, 0)) * 积分!I40, "--")</f>
        <v>--</v>
      </c>
      <c r="N41" s="2" t="str">
        <f>IFERROR(INDEX([3]Sheet1!$D:$D, MATCH(A41, [3]Sheet1!$B:$B, 0)) * 积分!J40, "--")</f>
        <v>--</v>
      </c>
      <c r="O41" s="2" t="str">
        <f>IFERROR(INDEX([3]Sheet1!$E:$E, MATCH(A41, [3]Sheet1!$B:$B, 0)) * 积分!K40, "--")</f>
        <v>--</v>
      </c>
      <c r="P41" s="2" t="str">
        <f>IFERROR(INDEX([3]Sheet1!$F:$F, MATCH(A41, [3]Sheet1!$B:$B, 0)) * 积分!L40, "--")</f>
        <v>--</v>
      </c>
      <c r="Q41" s="2" t="str">
        <f>IFERROR(INDEX([3]Sheet1!$G:$G, MATCH(A41, [3]Sheet1!$B:$B, 0)) * 积分!M40, "--")</f>
        <v>--</v>
      </c>
      <c r="R41" s="2" t="str" cm="1">
        <f t="array" ref="R41">IFERROR(INDEX([6]Sheet1!$D:$D, MATCH(1, ([6]Sheet1!$B:$B=A41) * ([6]Sheet1!$C:$C="特级护理（临床）"), 0)) * 积分!AI40, "--")</f>
        <v>--</v>
      </c>
      <c r="S41" s="2" t="str" cm="1">
        <f t="array" ref="S41">IFERROR(INDEX([6]Sheet1!$D:$D, MATCH(1, ([6]Sheet1!$B:$B=A41) * ([6]Sheet1!$C:$C="重症监护（临床）"), 0)) * 积分!AJ40, "--")</f>
        <v>--</v>
      </c>
      <c r="T41" s="2" t="str" cm="1">
        <f t="array" ref="T41">IFERROR(INDEX([6]Sheet1!$D:$D, MATCH(1, ([6]Sheet1!$B:$B=A41) * ([6]Sheet1!$C:$C="Ⅰ级护理（临床）"), 0)) * 积分!AK40, "--")</f>
        <v>--</v>
      </c>
      <c r="U41" s="2" t="str" cm="1">
        <f t="array" ref="U41">IFERROR(INDEX([6]Sheet1!$D:$D, MATCH(1, ([6]Sheet1!$B:$B=A41) * ([6]Sheet1!$C:$C="Ⅱ级护理（临床）"), 0)) * 积分!AL40, "--")</f>
        <v>--</v>
      </c>
      <c r="V41" s="2" t="str" cm="1">
        <f t="array" ref="V41">IFERROR(INDEX([6]Sheet1!$D:$D, MATCH(1, ([6]Sheet1!$B:$B=A41) * ([6]Sheet1!$C:$C="护士中医适宜技术（临床）"), 0)) * 积分!AM40, "--")</f>
        <v>--</v>
      </c>
      <c r="W41" s="2" t="str">
        <f>IFERROR(INDEX([3]Sheet1!$H:$H, MATCH(A41, [3]Sheet1!$B:$B, 0)) * 积分!N40, "--")</f>
        <v>--</v>
      </c>
      <c r="X41" s="2" t="str">
        <f>IFERROR(INDEX([3]Sheet1!$J:$J, MATCH(A41, [3]Sheet1!$B:$B, 0)) * 积分!O40, "--")</f>
        <v>--</v>
      </c>
      <c r="Y41" s="2" t="str" cm="1">
        <f t="array" ref="Y41">IFERROR(INDEX([7]Sheet1!$D:$D, MATCH(1, ([7]Sheet1!$B:$B=A41) * ([7]Sheet1!$C:$C="单位系数"), 0)) * 积分!P41, "--")</f>
        <v>--</v>
      </c>
      <c r="Z41" s="2" t="str" cm="1">
        <f t="array" ref="Z41">IFERROR(INDEX([7]Sheet1!$D:$D, MATCH(1, ([7]Sheet1!$B:$B=A41) * ([7]Sheet1!$C:$C="多学科联合(MDT)门诊"), 0)) * 积分!Q40, "--")</f>
        <v>--</v>
      </c>
      <c r="AA41" s="2" cm="1">
        <f t="array" ref="AA41">IFERROR(INDEX([7]Sheet1!$D:$D, MATCH(1, ([7]Sheet1!$B:$B=A41) * ([7]Sheet1!$C:$C="核算金额"), 0)) * 积分!R41, "--")</f>
        <v>149129.32250000001</v>
      </c>
      <c r="AB41" s="2" cm="1">
        <f t="array" ref="AB41">IFERROR(INDEX([7]Sheet1!$D:$D, MATCH(1, ([7]Sheet1!$B:$B=A41) * ([7]Sheet1!$C:$C="单据"), 0))* 积分!BA41, "--")</f>
        <v>177313.58559999999</v>
      </c>
      <c r="AC41" s="2" t="str" cm="1">
        <f t="array" ref="AC41">IFERROR(INDEX([7]Sheet1!$D:$D, MATCH(1, ([7]Sheet1!$B:$B=A41) * ([7]Sheet1!$C:$C="特需门诊"), 0)) * 积分!S40, "--")</f>
        <v>--</v>
      </c>
      <c r="AD41" s="2" t="str" cm="1">
        <f t="array" ref="AD41">IFERROR(INDEX([7]Sheet1!$D:$D, MATCH(1, ([7]Sheet1!$B:$B=A41) * ([7]Sheet1!$C:$C="中医会诊"), 0)) * 积分!T40, "--")</f>
        <v>--</v>
      </c>
      <c r="AE41" s="2">
        <f>积分!U41*0</f>
        <v>0</v>
      </c>
      <c r="AF41" s="2">
        <f>--积分!V41</f>
        <v>0</v>
      </c>
      <c r="AG41" s="2">
        <f>0*积分!W41</f>
        <v>0</v>
      </c>
      <c r="AH41" s="2">
        <f>1800*积分!X41</f>
        <v>1800</v>
      </c>
      <c r="AI41" s="2" t="str">
        <f>IFERROR(INDEX([4]Sheet1!$AD:$AD, MATCH(A41, [4]Sheet1!$A:$A, 0)) * 积分!AA40, "--")</f>
        <v>--</v>
      </c>
      <c r="AJ41" s="2" t="str">
        <f>IFERROR(INDEX([4]Sheet1!$AC:$AC, MATCH(A41, [4]Sheet1!$A:$A, 0)) * 积分!AB40, "--")</f>
        <v>--</v>
      </c>
      <c r="AK41" s="2" t="str">
        <f>IFERROR(INDEX([4]Sheet1!$AE:$AE, MATCH(A41, [4]Sheet1!$A:$A, 0)) * 积分!AC40, "--")</f>
        <v>--</v>
      </c>
      <c r="AL41" s="2" t="str">
        <f>IFERROR(INDEX([4]Sheet1!$AF:$AF, MATCH(A41, [4]Sheet1!$A:$A, 0)) * 积分!AD40, "--")</f>
        <v>--</v>
      </c>
      <c r="AM41" s="2" t="str">
        <f>IFERROR(INDEX([4]Sheet1!$AG:$AG, MATCH(A41, [4]Sheet1!$A:$A, 0)) * 积分!AE40, "--")</f>
        <v>--</v>
      </c>
      <c r="AN41" s="2" t="str">
        <f>IFERROR(INDEX([4]Sheet1!$AH:$AH, MATCH(A41, [4]Sheet1!$A:$A, 0)) * 积分!AF40, "--")</f>
        <v>--</v>
      </c>
      <c r="AO41" s="2" t="str">
        <f>IFERROR(INDEX([4]Sheet1!$AI:$AI, MATCH(A41, [4]Sheet1!$A:$A, 0)) * 积分!AG40, "--")</f>
        <v>--</v>
      </c>
      <c r="AP41" s="2" t="str">
        <f>IFERROR(INDEX([4]Sheet1!$AJ:$AJ, MATCH(A41, [4]Sheet1!$A:$A, 0)) * 积分!AH40, "--")</f>
        <v>--</v>
      </c>
      <c r="AQ41" s="2">
        <v>0</v>
      </c>
      <c r="AR41" s="2">
        <v>0</v>
      </c>
      <c r="AS41" s="12" t="s">
        <v>117</v>
      </c>
      <c r="AT41" s="12" t="s">
        <v>117</v>
      </c>
      <c r="AU41" s="12" t="s">
        <v>117</v>
      </c>
      <c r="AV41" s="12" t="s">
        <v>117</v>
      </c>
      <c r="AW41" s="12" t="s">
        <v>117</v>
      </c>
      <c r="AX41" s="12" t="s">
        <v>117</v>
      </c>
      <c r="AY41" s="12" t="s">
        <v>117</v>
      </c>
      <c r="AZ41" s="12" t="s">
        <v>117</v>
      </c>
      <c r="BA41" s="12" t="s">
        <v>117</v>
      </c>
      <c r="BB41" s="12" t="s">
        <v>117</v>
      </c>
      <c r="BC41" s="12" t="s">
        <v>117</v>
      </c>
    </row>
    <row r="42" spans="1:55" ht="17.399999999999999" x14ac:dyDescent="0.25">
      <c r="A42" s="8" t="s">
        <v>119</v>
      </c>
      <c r="B42" s="4">
        <f t="shared" ref="B42" si="8">ROUND(IF(AA42&lt;&gt;"--",AA42,0)+IF(AB42&lt;&gt;"--",AB42,0)+IF(AH42&lt;&gt;"--",AH42,0),2)</f>
        <v>52579.16</v>
      </c>
      <c r="C42" s="4">
        <f t="shared" si="1"/>
        <v>0</v>
      </c>
      <c r="D42" s="4">
        <f t="shared" si="2"/>
        <v>52579.16</v>
      </c>
      <c r="E42" s="4">
        <f t="shared" si="3"/>
        <v>0</v>
      </c>
      <c r="F42" s="4" t="str" cm="1">
        <f t="array" ref="F42">IFERROR(
病区折扣比例(
(
INDEX([3]Sheet1!$I:$I, MATCH(A42, [3]Sheet1!$B:$B, 0))
/
次均费用!C42
)
)
*INDEX([4]Sheet1!$AL:$AL, MATCH(A42, [4]Sheet1!$A:$A, 0))
* 积分!B41, "--")</f>
        <v>--</v>
      </c>
      <c r="G42" s="4" t="str">
        <f>IFERROR(INDEX([4]Sheet1!$AK:$AK, MATCH(A42, [4]Sheet1!$A:$A, 0)) * 积分!C41, "--")</f>
        <v>--</v>
      </c>
      <c r="H42" s="4" t="str">
        <f>IFERROR(INDEX([4]Sheet1!$AB:$AB, MATCH(A42, [4]Sheet1!$A:$A, 0)) * 积分!D41, "--")</f>
        <v>--</v>
      </c>
      <c r="I42" s="4" t="str">
        <f>IFERROR(INDEX([4]Sheet1!$AA:$AA, MATCH(A42, [4]Sheet1!$A:$A, 0)) * 积分!E41, "--")</f>
        <v>--</v>
      </c>
      <c r="J42" s="4" t="str">
        <f>IFERROR(INDEX([4]Sheet1!$Z:$Z, MATCH(A42, [4]Sheet1!$A:$A, 0)) * 积分!F41, "--")</f>
        <v>--</v>
      </c>
      <c r="K42" s="4" t="str">
        <f>IFERROR(INDEX([4]Sheet1!$Y:$Y, MATCH(A42, [4]Sheet1!$A:$A, 0)) * 积分!G41, "--")</f>
        <v>--</v>
      </c>
      <c r="L42" s="4" t="str" cm="1">
        <f t="array" ref="L42">IFERROR(
门诊折扣比例(
(
INDEX([5]Sheet1!$D:$D, MATCH(A42, [5]Sheet1!$B:$B, 0))
/
次均费用!B42
)
)
*INDEX([5]Sheet1!$C:$C, MATCH(A42, [5]Sheet1!$B:$B, 0))
* 积分!H41, "--")</f>
        <v>--</v>
      </c>
      <c r="M42" s="4" t="str">
        <f>IFERROR(INDEX([3]Sheet1!$C:$C, MATCH(A42, [3]Sheet1!$B:$B, 0)) * 积分!I41, "--")</f>
        <v>--</v>
      </c>
      <c r="N42" s="4" t="str">
        <f>IFERROR(INDEX([3]Sheet1!$D:$D, MATCH(A42, [3]Sheet1!$B:$B, 0)) * 积分!J41, "--")</f>
        <v>--</v>
      </c>
      <c r="O42" s="4" t="str">
        <f>IFERROR(INDEX([3]Sheet1!$E:$E, MATCH(A42, [3]Sheet1!$B:$B, 0)) * 积分!K41, "--")</f>
        <v>--</v>
      </c>
      <c r="P42" s="4" t="str">
        <f>IFERROR(INDEX([3]Sheet1!$F:$F, MATCH(A42, [3]Sheet1!$B:$B, 0)) * 积分!L41, "--")</f>
        <v>--</v>
      </c>
      <c r="Q42" s="4" t="str">
        <f>IFERROR(INDEX([3]Sheet1!$G:$G, MATCH(A42, [3]Sheet1!$B:$B, 0)) * 积分!M41, "--")</f>
        <v>--</v>
      </c>
      <c r="R42" s="4" t="str" cm="1">
        <f t="array" ref="R42">IFERROR(INDEX([6]Sheet1!$D:$D, MATCH(1, ([6]Sheet1!$B:$B=A42) * ([6]Sheet1!$C:$C="特级护理（临床）"), 0)) * 积分!AI41, "--")</f>
        <v>--</v>
      </c>
      <c r="S42" s="4" t="str" cm="1">
        <f t="array" ref="S42">IFERROR(INDEX([6]Sheet1!$D:$D, MATCH(1, ([6]Sheet1!$B:$B=A42) * ([6]Sheet1!$C:$C="重症监护（临床）"), 0)) * 积分!AJ41, "--")</f>
        <v>--</v>
      </c>
      <c r="T42" s="4" t="str" cm="1">
        <f t="array" ref="T42">IFERROR(INDEX([6]Sheet1!$D:$D, MATCH(1, ([6]Sheet1!$B:$B=A42) * ([6]Sheet1!$C:$C="Ⅰ级护理（临床）"), 0)) * 积分!AK41, "--")</f>
        <v>--</v>
      </c>
      <c r="U42" s="4" t="str" cm="1">
        <f t="array" ref="U42">IFERROR(INDEX([6]Sheet1!$D:$D, MATCH(1, ([6]Sheet1!$B:$B=A42) * ([6]Sheet1!$C:$C="Ⅱ级护理（临床）"), 0)) * 积分!AL41, "--")</f>
        <v>--</v>
      </c>
      <c r="V42" s="4" t="str" cm="1">
        <f t="array" ref="V42">IFERROR(INDEX([6]Sheet1!$D:$D, MATCH(1, ([6]Sheet1!$B:$B=A42) * ([6]Sheet1!$C:$C="护士中医适宜技术（临床）"), 0)) * 积分!AM41, "--")</f>
        <v>--</v>
      </c>
      <c r="W42" s="4" t="str">
        <f>IFERROR(INDEX([3]Sheet1!$H:$H, MATCH(A42, [3]Sheet1!$B:$B, 0)) * 积分!N41, "--")</f>
        <v>--</v>
      </c>
      <c r="X42" s="4" t="str">
        <f>IFERROR(INDEX([3]Sheet1!$J:$J, MATCH(A42, [3]Sheet1!$B:$B, 0)) * 积分!O41, "--")</f>
        <v>--</v>
      </c>
      <c r="Y42" s="4" t="str" cm="1">
        <f t="array" ref="Y42">IFERROR(INDEX([7]Sheet1!$D:$D, MATCH(1, ([7]Sheet1!$B:$B=A42) * ([7]Sheet1!$C:$C="单位系数"), 0)) * 积分!P42, "--")</f>
        <v>--</v>
      </c>
      <c r="Z42" s="4" t="str" cm="1">
        <f t="array" ref="Z42">IFERROR(INDEX([7]Sheet1!$D:$D, MATCH(1, ([7]Sheet1!$B:$B=A42) * ([7]Sheet1!$C:$C="多学科联合(MDT)门诊"), 0)) * 积分!Q41, "--")</f>
        <v>--</v>
      </c>
      <c r="AA42" s="4" cm="1">
        <f t="array" ref="AA42">IFERROR(INDEX([7]Sheet1!$D:$D, MATCH(1, ([7]Sheet1!$B:$B=A42) * ([7]Sheet1!$C:$C="核算金额"), 0)) * 积分!R42, "--")</f>
        <v>27879.404000000002</v>
      </c>
      <c r="AB42" s="4" cm="1">
        <f t="array" ref="AB42">IFERROR(INDEX([7]Sheet1!$D:$D, MATCH(1, ([7]Sheet1!$B:$B=A42) * ([7]Sheet1!$C:$C="单据"), 0))* 积分!BA42, "--")</f>
        <v>24699.759999999998</v>
      </c>
      <c r="AC42" s="4" t="str" cm="1">
        <f t="array" ref="AC42">IFERROR(INDEX([7]Sheet1!$D:$D, MATCH(1, ([7]Sheet1!$B:$B=A42) * ([7]Sheet1!$C:$C="特需门诊"), 0)) * 积分!S41, "--")</f>
        <v>--</v>
      </c>
      <c r="AD42" s="4" t="str" cm="1">
        <f t="array" ref="AD42">IFERROR(INDEX([7]Sheet1!$D:$D, MATCH(1, ([7]Sheet1!$B:$B=A42) * ([7]Sheet1!$C:$C="中医会诊"), 0)) * 积分!T41, "--")</f>
        <v>--</v>
      </c>
      <c r="AE42" s="4">
        <f>积分!U42*0</f>
        <v>0</v>
      </c>
      <c r="AF42" s="4">
        <f>--积分!V42</f>
        <v>0</v>
      </c>
      <c r="AG42" s="4">
        <f>0*积分!W42</f>
        <v>0</v>
      </c>
      <c r="AH42" s="4">
        <f>0*积分!X42</f>
        <v>0</v>
      </c>
      <c r="AI42" s="4" t="str">
        <f>IFERROR(INDEX([4]Sheet1!$AD:$AD, MATCH(A42, [4]Sheet1!$A:$A, 0)) * 积分!AA41, "--")</f>
        <v>--</v>
      </c>
      <c r="AJ42" s="4" t="str">
        <f>IFERROR(INDEX([4]Sheet1!$AC:$AC, MATCH(A42, [4]Sheet1!$A:$A, 0)) * 积分!AB41, "--")</f>
        <v>--</v>
      </c>
      <c r="AK42" s="4" t="str">
        <f>IFERROR(INDEX([4]Sheet1!$AE:$AE, MATCH(A42, [4]Sheet1!$A:$A, 0)) * 积分!AC41, "--")</f>
        <v>--</v>
      </c>
      <c r="AL42" s="4" t="str">
        <f>IFERROR(INDEX([4]Sheet1!$AF:$AF, MATCH(A42, [4]Sheet1!$A:$A, 0)) * 积分!AD41, "--")</f>
        <v>--</v>
      </c>
      <c r="AM42" s="4" t="str">
        <f>IFERROR(INDEX([4]Sheet1!$AG:$AG, MATCH(A42, [4]Sheet1!$A:$A, 0)) * 积分!AE41, "--")</f>
        <v>--</v>
      </c>
      <c r="AN42" s="4" t="str">
        <f>IFERROR(INDEX([4]Sheet1!$AH:$AH, MATCH(A42, [4]Sheet1!$A:$A, 0)) * 积分!AF41, "--")</f>
        <v>--</v>
      </c>
      <c r="AO42" s="4" t="str">
        <f>IFERROR(INDEX([4]Sheet1!$AI:$AI, MATCH(A42, [4]Sheet1!$A:$A, 0)) * 积分!AG41, "--")</f>
        <v>--</v>
      </c>
      <c r="AP42" s="4" t="str">
        <f>IFERROR(INDEX([4]Sheet1!$AJ:$AJ, MATCH(A42, [4]Sheet1!$A:$A, 0)) * 积分!AH41, "--")</f>
        <v>--</v>
      </c>
      <c r="AQ42" s="4">
        <v>0</v>
      </c>
      <c r="AR42" s="4">
        <v>0</v>
      </c>
      <c r="AS42" s="7" t="s">
        <v>117</v>
      </c>
      <c r="AT42" s="7" t="s">
        <v>117</v>
      </c>
      <c r="AU42" s="7" t="s">
        <v>117</v>
      </c>
      <c r="AV42" s="7" t="s">
        <v>117</v>
      </c>
      <c r="AW42" s="7" t="s">
        <v>117</v>
      </c>
      <c r="AX42" s="7" t="s">
        <v>117</v>
      </c>
      <c r="AY42" s="7" t="s">
        <v>117</v>
      </c>
      <c r="AZ42" s="7" t="s">
        <v>117</v>
      </c>
      <c r="BA42" s="7" t="s">
        <v>117</v>
      </c>
      <c r="BB42" s="7" t="s">
        <v>117</v>
      </c>
      <c r="BC42" s="7" t="s">
        <v>117</v>
      </c>
    </row>
    <row r="43" spans="1:55" ht="17.399999999999999" x14ac:dyDescent="0.25">
      <c r="A43" s="5" t="s">
        <v>125</v>
      </c>
      <c r="B43" s="11">
        <f>ROUND(AQ43+AR43,2)</f>
        <v>1513738.52</v>
      </c>
      <c r="C43" s="2">
        <f t="shared" si="1"/>
        <v>0</v>
      </c>
      <c r="D43" s="2">
        <f t="shared" si="2"/>
        <v>0</v>
      </c>
      <c r="E43" s="2">
        <f t="shared" si="3"/>
        <v>0</v>
      </c>
      <c r="F43" s="2" t="str" cm="1">
        <f t="array" ref="F43">IFERROR(
病区折扣比例(
(
INDEX([3]Sheet1!$I:$I, MATCH(A43, [3]Sheet1!$B:$B, 0))
/
次均费用!C43
)
)
*INDEX([4]Sheet1!$AL:$AL, MATCH(A43, [4]Sheet1!$A:$A, 0))
* 积分!B42, "--")</f>
        <v>--</v>
      </c>
      <c r="G43" s="2" t="str">
        <f>IFERROR(INDEX([4]Sheet1!$AK:$AK, MATCH(A43, [4]Sheet1!$A:$A, 0)) * 积分!C42, "--")</f>
        <v>--</v>
      </c>
      <c r="H43" s="2" t="str">
        <f>IFERROR(INDEX([4]Sheet1!$AB:$AB, MATCH(A43, [4]Sheet1!$A:$A, 0)) * 积分!D42, "--")</f>
        <v>--</v>
      </c>
      <c r="I43" s="2" t="str">
        <f>IFERROR(INDEX([4]Sheet1!$AA:$AA, MATCH(A43, [4]Sheet1!$A:$A, 0)) * 积分!E42, "--")</f>
        <v>--</v>
      </c>
      <c r="J43" s="2" t="str">
        <f>IFERROR(INDEX([4]Sheet1!$Z:$Z, MATCH(A43, [4]Sheet1!$A:$A, 0)) * 积分!F42, "--")</f>
        <v>--</v>
      </c>
      <c r="K43" s="2" t="str">
        <f>IFERROR(INDEX([4]Sheet1!$Y:$Y, MATCH(A43, [4]Sheet1!$A:$A, 0)) * 积分!G42, "--")</f>
        <v>--</v>
      </c>
      <c r="L43" s="2" t="str" cm="1">
        <f t="array" ref="L43">IFERROR(
门诊折扣比例(
(
INDEX([5]Sheet1!$D:$D, MATCH(A43, [5]Sheet1!$B:$B, 0))
/
次均费用!B43
)
)
*INDEX([5]Sheet1!$C:$C, MATCH(A43, [5]Sheet1!$B:$B, 0))
* 积分!H42, "--")</f>
        <v>--</v>
      </c>
      <c r="M43" s="2" t="str">
        <f>IFERROR(INDEX([3]Sheet1!$C:$C, MATCH(A43, [3]Sheet1!$B:$B, 0)) * 积分!I42, "--")</f>
        <v>--</v>
      </c>
      <c r="N43" s="2" t="str">
        <f>IFERROR(INDEX([3]Sheet1!$D:$D, MATCH(A43, [3]Sheet1!$B:$B, 0)) * 积分!J42, "--")</f>
        <v>--</v>
      </c>
      <c r="O43" s="2" t="str">
        <f>IFERROR(INDEX([3]Sheet1!$E:$E, MATCH(A43, [3]Sheet1!$B:$B, 0)) * 积分!K42, "--")</f>
        <v>--</v>
      </c>
      <c r="P43" s="2" t="str">
        <f>IFERROR(INDEX([3]Sheet1!$F:$F, MATCH(A43, [3]Sheet1!$B:$B, 0)) * 积分!L42, "--")</f>
        <v>--</v>
      </c>
      <c r="Q43" s="2" t="str">
        <f>IFERROR(INDEX([3]Sheet1!$G:$G, MATCH(A43, [3]Sheet1!$B:$B, 0)) * 积分!M42, "--")</f>
        <v>--</v>
      </c>
      <c r="R43" s="2" t="str" cm="1">
        <f t="array" ref="R43">IFERROR(INDEX([6]Sheet1!$D:$D, MATCH(1, ([6]Sheet1!$B:$B=A43) * ([6]Sheet1!$C:$C="特级护理（临床）"), 0)) * 积分!AI42, "--")</f>
        <v>--</v>
      </c>
      <c r="S43" s="2" t="str" cm="1">
        <f t="array" ref="S43">IFERROR(INDEX([6]Sheet1!$D:$D, MATCH(1, ([6]Sheet1!$B:$B=A43) * ([6]Sheet1!$C:$C="重症监护（临床）"), 0)) * 积分!AJ42, "--")</f>
        <v>--</v>
      </c>
      <c r="T43" s="2" t="str" cm="1">
        <f t="array" ref="T43">IFERROR(INDEX([6]Sheet1!$D:$D, MATCH(1, ([6]Sheet1!$B:$B=A43) * ([6]Sheet1!$C:$C="Ⅰ级护理（临床）"), 0)) * 积分!AK42, "--")</f>
        <v>--</v>
      </c>
      <c r="U43" s="2" t="str" cm="1">
        <f t="array" ref="U43">IFERROR(INDEX([6]Sheet1!$D:$D, MATCH(1, ([6]Sheet1!$B:$B=A43) * ([6]Sheet1!$C:$C="Ⅱ级护理（临床）"), 0)) * 积分!AL42, "--")</f>
        <v>--</v>
      </c>
      <c r="V43" s="2" t="str" cm="1">
        <f t="array" ref="V43">IFERROR(INDEX([6]Sheet1!$D:$D, MATCH(1, ([6]Sheet1!$B:$B=A43) * ([6]Sheet1!$C:$C="护士中医适宜技术（临床）"), 0)) * 积分!AM42, "--")</f>
        <v>--</v>
      </c>
      <c r="W43" s="2" t="str">
        <f>IFERROR(INDEX([3]Sheet1!$H:$H, MATCH(A43, [3]Sheet1!$B:$B, 0)) * 积分!N42, "--")</f>
        <v>--</v>
      </c>
      <c r="X43" s="2" t="str">
        <f>IFERROR(INDEX([3]Sheet1!$J:$J, MATCH(A43, [3]Sheet1!$B:$B, 0)) * 积分!O42, "--")</f>
        <v>--</v>
      </c>
      <c r="Y43" s="2" t="str" cm="1">
        <f t="array" ref="Y43">IFERROR(INDEX([7]Sheet1!$D:$D, MATCH(1, ([7]Sheet1!$B:$B=A43) * ([7]Sheet1!$C:$C="单位系数"), 0)) * 积分!P43, "--")</f>
        <v>--</v>
      </c>
      <c r="Z43" s="2" t="str" cm="1">
        <f t="array" ref="Z43">IFERROR(INDEX([7]Sheet1!$D:$D, MATCH(1, ([7]Sheet1!$B:$B=A43) * ([7]Sheet1!$C:$C="多学科联合(MDT)门诊"), 0)) * 积分!Q42, "--")</f>
        <v>--</v>
      </c>
      <c r="AA43" s="2" t="str" cm="1">
        <f t="array" ref="AA43">IFERROR(INDEX([7]Sheet1!$D:$D, MATCH(1, ([7]Sheet1!$B:$B=A43) * ([7]Sheet1!$C:$C="核算金额"), 0)) * 积分!R43, "--")</f>
        <v>--</v>
      </c>
      <c r="AB43" s="2" t="str" cm="1">
        <f t="array" ref="AB43">IFERROR(INDEX([7]Sheet1!$D:$D, MATCH(1, ([7]Sheet1!$B:$B=A43) * ([7]Sheet1!$C:$C="单据"), 0))* 积分!BA43, "--")</f>
        <v>--</v>
      </c>
      <c r="AC43" s="2" t="str" cm="1">
        <f t="array" ref="AC43">IFERROR(INDEX([7]Sheet1!$D:$D, MATCH(1, ([7]Sheet1!$B:$B=A43) * ([7]Sheet1!$C:$C="特需门诊"), 0)) * 积分!S42, "--")</f>
        <v>--</v>
      </c>
      <c r="AD43" s="2" t="str" cm="1">
        <f t="array" ref="AD43">IFERROR(INDEX([7]Sheet1!$D:$D, MATCH(1, ([7]Sheet1!$B:$B=A43) * ([7]Sheet1!$C:$C="中医会诊"), 0)) * 积分!T42, "--")</f>
        <v>--</v>
      </c>
      <c r="AE43" s="2">
        <f>积分!U43*0</f>
        <v>0</v>
      </c>
      <c r="AF43" s="2">
        <f>--积分!V43</f>
        <v>0</v>
      </c>
      <c r="AG43" s="2">
        <f>0*积分!W43</f>
        <v>0</v>
      </c>
      <c r="AH43" s="2">
        <f>0*积分!X43</f>
        <v>0</v>
      </c>
      <c r="AI43" s="2" t="str">
        <f>IFERROR(INDEX([4]Sheet1!$AD:$AD, MATCH(A43, [4]Sheet1!$A:$A, 0)) * 积分!AA42, "--")</f>
        <v>--</v>
      </c>
      <c r="AJ43" s="2" t="str">
        <f>IFERROR(INDEX([4]Sheet1!$AC:$AC, MATCH(A43, [4]Sheet1!$A:$A, 0)) * 积分!AB42, "--")</f>
        <v>--</v>
      </c>
      <c r="AK43" s="2" t="str">
        <f>IFERROR(INDEX([4]Sheet1!$AE:$AE, MATCH(A43, [4]Sheet1!$A:$A, 0)) * 积分!AC42, "--")</f>
        <v>--</v>
      </c>
      <c r="AL43" s="2" t="str">
        <f>IFERROR(INDEX([4]Sheet1!$AF:$AF, MATCH(A43, [4]Sheet1!$A:$A, 0)) * 积分!AD42, "--")</f>
        <v>--</v>
      </c>
      <c r="AM43" s="2" t="str">
        <f>IFERROR(INDEX([4]Sheet1!$AG:$AG, MATCH(A43, [4]Sheet1!$A:$A, 0)) * 积分!AE42, "--")</f>
        <v>--</v>
      </c>
      <c r="AN43" s="2" t="str">
        <f>IFERROR(INDEX([4]Sheet1!$AH:$AH, MATCH(A43, [4]Sheet1!$A:$A, 0)) * 积分!AF42, "--")</f>
        <v>--</v>
      </c>
      <c r="AO43" s="2" t="str">
        <f>IFERROR(INDEX([4]Sheet1!$AI:$AI, MATCH(A43, [4]Sheet1!$A:$A, 0)) * 积分!AG42, "--")</f>
        <v>--</v>
      </c>
      <c r="AP43" s="2" t="str">
        <f>IFERROR(INDEX([4]Sheet1!$AJ:$AJ, MATCH(A43, [4]Sheet1!$A:$A, 0)) * 积分!AH42, "--")</f>
        <v>--</v>
      </c>
      <c r="AQ43" s="2">
        <f>[8]Sheet1!$G$3*积分!AN43</f>
        <v>1373183.872</v>
      </c>
      <c r="AR43" s="2">
        <f>[8]Sheet1!$H$3*积分!AO43</f>
        <v>140554.647</v>
      </c>
      <c r="AS43" s="12" t="s">
        <v>117</v>
      </c>
      <c r="AT43" s="12" t="s">
        <v>117</v>
      </c>
      <c r="AU43" s="12" t="s">
        <v>117</v>
      </c>
      <c r="AV43" s="12" t="s">
        <v>117</v>
      </c>
      <c r="AW43" s="12" t="s">
        <v>117</v>
      </c>
      <c r="AX43" s="12" t="s">
        <v>117</v>
      </c>
      <c r="AY43" s="12" t="s">
        <v>117</v>
      </c>
      <c r="AZ43" s="12" t="s">
        <v>117</v>
      </c>
      <c r="BA43" s="12" t="s">
        <v>117</v>
      </c>
      <c r="BB43" s="12" t="s">
        <v>117</v>
      </c>
      <c r="BC43" s="12" t="s">
        <v>117</v>
      </c>
    </row>
    <row r="44" spans="1:55" ht="17.399999999999999" x14ac:dyDescent="0.25">
      <c r="A44" s="8" t="s">
        <v>120</v>
      </c>
      <c r="B44" s="4">
        <f>ROUND(AQ44+AR44,2)</f>
        <v>226086.48</v>
      </c>
      <c r="C44" s="4">
        <f t="shared" si="1"/>
        <v>0</v>
      </c>
      <c r="D44" s="4">
        <f t="shared" si="2"/>
        <v>0</v>
      </c>
      <c r="E44" s="4">
        <f t="shared" si="3"/>
        <v>0</v>
      </c>
      <c r="F44" s="4" t="str" cm="1">
        <f t="array" ref="F44">IFERROR(
病区折扣比例(
(
INDEX([3]Sheet1!$I:$I, MATCH(A44, [3]Sheet1!$B:$B, 0))
/
次均费用!C44
)
)
*INDEX([4]Sheet1!$AL:$AL, MATCH(A44, [4]Sheet1!$A:$A, 0))
* 积分!B43, "--")</f>
        <v>--</v>
      </c>
      <c r="G44" s="4" t="str">
        <f>IFERROR(INDEX([4]Sheet1!$AK:$AK, MATCH(A44, [4]Sheet1!$A:$A, 0)) * 积分!C43, "--")</f>
        <v>--</v>
      </c>
      <c r="H44" s="4" t="str">
        <f>IFERROR(INDEX([4]Sheet1!$AB:$AB, MATCH(A44, [4]Sheet1!$A:$A, 0)) * 积分!D43, "--")</f>
        <v>--</v>
      </c>
      <c r="I44" s="4" t="str">
        <f>IFERROR(INDEX([4]Sheet1!$AA:$AA, MATCH(A44, [4]Sheet1!$A:$A, 0)) * 积分!E43, "--")</f>
        <v>--</v>
      </c>
      <c r="J44" s="4" t="str">
        <f>IFERROR(INDEX([4]Sheet1!$Z:$Z, MATCH(A44, [4]Sheet1!$A:$A, 0)) * 积分!F43, "--")</f>
        <v>--</v>
      </c>
      <c r="K44" s="4" t="str">
        <f>IFERROR(INDEX([4]Sheet1!$Y:$Y, MATCH(A44, [4]Sheet1!$A:$A, 0)) * 积分!G43, "--")</f>
        <v>--</v>
      </c>
      <c r="L44" s="4" t="str" cm="1">
        <f t="array" ref="L44">IFERROR(
门诊折扣比例(
(
INDEX([5]Sheet1!$D:$D, MATCH(A44, [5]Sheet1!$B:$B, 0))
/
次均费用!B44
)
)
*INDEX([5]Sheet1!$C:$C, MATCH(A44, [5]Sheet1!$B:$B, 0))
* 积分!H43, "--")</f>
        <v>--</v>
      </c>
      <c r="M44" s="4" t="str">
        <f>IFERROR(INDEX([3]Sheet1!$C:$C, MATCH(A44, [3]Sheet1!$B:$B, 0)) * 积分!I43, "--")</f>
        <v>--</v>
      </c>
      <c r="N44" s="4" t="str">
        <f>IFERROR(INDEX([3]Sheet1!$D:$D, MATCH(A44, [3]Sheet1!$B:$B, 0)) * 积分!J43, "--")</f>
        <v>--</v>
      </c>
      <c r="O44" s="4" t="str">
        <f>IFERROR(INDEX([3]Sheet1!$E:$E, MATCH(A44, [3]Sheet1!$B:$B, 0)) * 积分!K43, "--")</f>
        <v>--</v>
      </c>
      <c r="P44" s="4" t="str">
        <f>IFERROR(INDEX([3]Sheet1!$F:$F, MATCH(A44, [3]Sheet1!$B:$B, 0)) * 积分!L43, "--")</f>
        <v>--</v>
      </c>
      <c r="Q44" s="4" t="str">
        <f>IFERROR(INDEX([3]Sheet1!$G:$G, MATCH(A44, [3]Sheet1!$B:$B, 0)) * 积分!M43, "--")</f>
        <v>--</v>
      </c>
      <c r="R44" s="4" t="str" cm="1">
        <f t="array" ref="R44">IFERROR(INDEX([6]Sheet1!$D:$D, MATCH(1, ([6]Sheet1!$B:$B=A44) * ([6]Sheet1!$C:$C="特级护理（临床）"), 0)) * 积分!AI43, "--")</f>
        <v>--</v>
      </c>
      <c r="S44" s="4" t="str" cm="1">
        <f t="array" ref="S44">IFERROR(INDEX([6]Sheet1!$D:$D, MATCH(1, ([6]Sheet1!$B:$B=A44) * ([6]Sheet1!$C:$C="重症监护（临床）"), 0)) * 积分!AJ43, "--")</f>
        <v>--</v>
      </c>
      <c r="T44" s="4" t="str" cm="1">
        <f t="array" ref="T44">IFERROR(INDEX([6]Sheet1!$D:$D, MATCH(1, ([6]Sheet1!$B:$B=A44) * ([6]Sheet1!$C:$C="Ⅰ级护理（临床）"), 0)) * 积分!AK43, "--")</f>
        <v>--</v>
      </c>
      <c r="U44" s="4" t="str" cm="1">
        <f t="array" ref="U44">IFERROR(INDEX([6]Sheet1!$D:$D, MATCH(1, ([6]Sheet1!$B:$B=A44) * ([6]Sheet1!$C:$C="Ⅱ级护理（临床）"), 0)) * 积分!AL43, "--")</f>
        <v>--</v>
      </c>
      <c r="V44" s="4" t="str" cm="1">
        <f t="array" ref="V44">IFERROR(INDEX([6]Sheet1!$D:$D, MATCH(1, ([6]Sheet1!$B:$B=A44) * ([6]Sheet1!$C:$C="护士中医适宜技术（临床）"), 0)) * 积分!AM43, "--")</f>
        <v>--</v>
      </c>
      <c r="W44" s="4" t="str">
        <f>IFERROR(INDEX([3]Sheet1!$H:$H, MATCH(A44, [3]Sheet1!$B:$B, 0)) * 积分!N43, "--")</f>
        <v>--</v>
      </c>
      <c r="X44" s="4" t="str">
        <f>IFERROR(INDEX([3]Sheet1!$J:$J, MATCH(A44, [3]Sheet1!$B:$B, 0)) * 积分!O43, "--")</f>
        <v>--</v>
      </c>
      <c r="Y44" s="4" t="str" cm="1">
        <f t="array" ref="Y44">IFERROR(INDEX([7]Sheet1!$D:$D, MATCH(1, ([7]Sheet1!$B:$B=A44) * ([7]Sheet1!$C:$C="单位系数"), 0)) * 积分!P44, "--")</f>
        <v>--</v>
      </c>
      <c r="Z44" s="4" t="str" cm="1">
        <f t="array" ref="Z44">IFERROR(INDEX([7]Sheet1!$D:$D, MATCH(1, ([7]Sheet1!$B:$B=A44) * ([7]Sheet1!$C:$C="多学科联合(MDT)门诊"), 0)) * 积分!Q43, "--")</f>
        <v>--</v>
      </c>
      <c r="AA44" s="4" t="str" cm="1">
        <f t="array" ref="AA44">IFERROR(INDEX([7]Sheet1!$D:$D, MATCH(1, ([7]Sheet1!$B:$B=A44) * ([7]Sheet1!$C:$C="核算金额"), 0)) * 积分!R44, "--")</f>
        <v>--</v>
      </c>
      <c r="AB44" s="4" t="str" cm="1">
        <f t="array" ref="AB44">IFERROR(INDEX([7]Sheet1!$D:$D, MATCH(1, ([7]Sheet1!$B:$B=A44) * ([7]Sheet1!$C:$C="单据"), 0))* 积分!BA44, "--")</f>
        <v>--</v>
      </c>
      <c r="AC44" s="4" t="str" cm="1">
        <f t="array" ref="AC44">IFERROR(INDEX([7]Sheet1!$D:$D, MATCH(1, ([7]Sheet1!$B:$B=A44) * ([7]Sheet1!$C:$C="特需门诊"), 0)) * 积分!S43, "--")</f>
        <v>--</v>
      </c>
      <c r="AD44" s="4" t="str" cm="1">
        <f t="array" ref="AD44">IFERROR(INDEX([7]Sheet1!$D:$D, MATCH(1, ([7]Sheet1!$B:$B=A44) * ([7]Sheet1!$C:$C="中医会诊"), 0)) * 积分!T43, "--")</f>
        <v>--</v>
      </c>
      <c r="AE44" s="4">
        <f>积分!U44*0</f>
        <v>0</v>
      </c>
      <c r="AF44" s="4">
        <f>--积分!V44</f>
        <v>0</v>
      </c>
      <c r="AG44" s="4">
        <f>0*积分!W44</f>
        <v>0</v>
      </c>
      <c r="AH44" s="4">
        <f>0*积分!X44</f>
        <v>0</v>
      </c>
      <c r="AI44" s="4" t="str">
        <f>IFERROR(INDEX([4]Sheet1!$AD:$AD, MATCH(A44, [4]Sheet1!$A:$A, 0)) * 积分!AA43, "--")</f>
        <v>--</v>
      </c>
      <c r="AJ44" s="4" t="str">
        <f>IFERROR(INDEX([4]Sheet1!$AC:$AC, MATCH(A44, [4]Sheet1!$A:$A, 0)) * 积分!AB43, "--")</f>
        <v>--</v>
      </c>
      <c r="AK44" s="4" t="str">
        <f>IFERROR(INDEX([4]Sheet1!$AE:$AE, MATCH(A44, [4]Sheet1!$A:$A, 0)) * 积分!AC43, "--")</f>
        <v>--</v>
      </c>
      <c r="AL44" s="4" t="str">
        <f>IFERROR(INDEX([4]Sheet1!$AF:$AF, MATCH(A44, [4]Sheet1!$A:$A, 0)) * 积分!AD43, "--")</f>
        <v>--</v>
      </c>
      <c r="AM44" s="4" t="str">
        <f>IFERROR(INDEX([4]Sheet1!$AG:$AG, MATCH(A44, [4]Sheet1!$A:$A, 0)) * 积分!AE43, "--")</f>
        <v>--</v>
      </c>
      <c r="AN44" s="4" t="str">
        <f>IFERROR(INDEX([4]Sheet1!$AH:$AH, MATCH(A44, [4]Sheet1!$A:$A, 0)) * 积分!AF43, "--")</f>
        <v>--</v>
      </c>
      <c r="AO44" s="4" t="str">
        <f>IFERROR(INDEX([4]Sheet1!$AI:$AI, MATCH(A44, [4]Sheet1!$A:$A, 0)) * 积分!AG43, "--")</f>
        <v>--</v>
      </c>
      <c r="AP44" s="4" t="str">
        <f>IFERROR(INDEX([4]Sheet1!$AJ:$AJ, MATCH(A44, [4]Sheet1!$A:$A, 0)) * 积分!AH43, "--")</f>
        <v>--</v>
      </c>
      <c r="AQ44" s="4">
        <f>[8]Sheet1!$G$3*积分!AN44</f>
        <v>205091.712</v>
      </c>
      <c r="AR44" s="4">
        <f>[8]Sheet1!$H$3*积分!AO44</f>
        <v>20994.768</v>
      </c>
      <c r="AS44" s="7" t="s">
        <v>117</v>
      </c>
      <c r="AT44" s="7" t="s">
        <v>117</v>
      </c>
      <c r="AU44" s="7" t="s">
        <v>117</v>
      </c>
      <c r="AV44" s="7" t="s">
        <v>117</v>
      </c>
      <c r="AW44" s="7" t="s">
        <v>117</v>
      </c>
      <c r="AX44" s="7" t="s">
        <v>117</v>
      </c>
      <c r="AY44" s="7" t="s">
        <v>117</v>
      </c>
      <c r="AZ44" s="7" t="s">
        <v>117</v>
      </c>
      <c r="BA44" s="7" t="s">
        <v>117</v>
      </c>
      <c r="BB44" s="7" t="s">
        <v>117</v>
      </c>
      <c r="BC44" s="7" t="s">
        <v>117</v>
      </c>
    </row>
    <row r="45" spans="1:55" ht="17.399999999999999" x14ac:dyDescent="0.25">
      <c r="A45" s="5" t="s">
        <v>126</v>
      </c>
      <c r="B45" s="11">
        <f t="shared" si="0"/>
        <v>162381.53</v>
      </c>
      <c r="C45" s="2">
        <v>0</v>
      </c>
      <c r="D45" s="2">
        <v>0</v>
      </c>
      <c r="E45" s="2">
        <f>ROUND(IF(Y45&lt;&gt;"--",Y45,0)+IF(AD45&lt;&gt;"--",AD45,0)+IF(AH45&lt;&gt;"--",AH45,0)+IF(Z45&lt;&gt;"--",Z45,0)+IF(AE45&lt;&gt;"--",AE45,0),2)</f>
        <v>162381.53</v>
      </c>
      <c r="F45" s="2" t="str" cm="1">
        <f t="array" ref="F45">IFERROR(
病区折扣比例(
(
INDEX([3]Sheet1!$I:$I, MATCH(A45, [3]Sheet1!$B:$B, 0))
/
次均费用!C45
)
)
*INDEX([4]Sheet1!$AL:$AL, MATCH(A45, [4]Sheet1!$A:$A, 0))
* 积分!B44, "--")</f>
        <v>--</v>
      </c>
      <c r="G45" s="2">
        <f>IFERROR(INDEX([4]Sheet1!$AK:$AK, MATCH(A45, [4]Sheet1!$A:$A, 0)) * 积分!C44, "--")</f>
        <v>0</v>
      </c>
      <c r="H45" s="2">
        <f>IFERROR(INDEX([4]Sheet1!$AB:$AB, MATCH(A45, [4]Sheet1!$A:$A, 0)) * 积分!D44, "--")</f>
        <v>0</v>
      </c>
      <c r="I45" s="2">
        <f>IFERROR(INDEX([4]Sheet1!$AA:$AA, MATCH(A45, [4]Sheet1!$A:$A, 0)) * 积分!E44, "--")</f>
        <v>0</v>
      </c>
      <c r="J45" s="2">
        <f>IFERROR(INDEX([4]Sheet1!$Z:$Z, MATCH(A45, [4]Sheet1!$A:$A, 0)) * 积分!F44, "--")</f>
        <v>0</v>
      </c>
      <c r="K45" s="2">
        <f>IFERROR(INDEX([4]Sheet1!$Y:$Y, MATCH(A45, [4]Sheet1!$A:$A, 0)) * 积分!G44, "--")</f>
        <v>0</v>
      </c>
      <c r="L45" s="2" t="str" cm="1">
        <f t="array" ref="L45">IFERROR(
门诊折扣比例(
(
INDEX([5]Sheet1!$D:$D, MATCH(A45, [5]Sheet1!$B:$B, 0))
/
次均费用!B45
)
)
*INDEX([5]Sheet1!$C:$C, MATCH(A45, [5]Sheet1!$B:$B, 0))
* 积分!H44, "--")</f>
        <v>--</v>
      </c>
      <c r="M45" s="2" t="str">
        <f>IFERROR(INDEX([3]Sheet1!$C:$C, MATCH(A45, [3]Sheet1!$B:$B, 0)) * 积分!I44, "--")</f>
        <v>--</v>
      </c>
      <c r="N45" s="2" t="str">
        <f>IFERROR(INDEX([3]Sheet1!$D:$D, MATCH(A45, [3]Sheet1!$B:$B, 0)) * 积分!J44, "--")</f>
        <v>--</v>
      </c>
      <c r="O45" s="2" t="str">
        <f>IFERROR(INDEX([3]Sheet1!$E:$E, MATCH(A45, [3]Sheet1!$B:$B, 0)) * 积分!K44, "--")</f>
        <v>--</v>
      </c>
      <c r="P45" s="2" t="str">
        <f>IFERROR(INDEX([3]Sheet1!$F:$F, MATCH(A45, [3]Sheet1!$B:$B, 0)) * 积分!L44, "--")</f>
        <v>--</v>
      </c>
      <c r="Q45" s="2" t="str">
        <f>IFERROR(INDEX([3]Sheet1!$G:$G, MATCH(A45, [3]Sheet1!$B:$B, 0)) * 积分!M44, "--")</f>
        <v>--</v>
      </c>
      <c r="R45" s="2" t="str" cm="1">
        <f t="array" ref="R45">IFERROR(INDEX([6]Sheet1!$D:$D, MATCH(1, ([6]Sheet1!$B:$B=A45) * ([6]Sheet1!$C:$C="特级护理（临床）"), 0)) * 积分!AI44, "--")</f>
        <v>--</v>
      </c>
      <c r="S45" s="2" t="str" cm="1">
        <f t="array" ref="S45">IFERROR(INDEX([6]Sheet1!$D:$D, MATCH(1, ([6]Sheet1!$B:$B=A45) * ([6]Sheet1!$C:$C="重症监护（临床）"), 0)) * 积分!AJ44, "--")</f>
        <v>--</v>
      </c>
      <c r="T45" s="2" t="str" cm="1">
        <f t="array" ref="T45">IFERROR(INDEX([6]Sheet1!$D:$D, MATCH(1, ([6]Sheet1!$B:$B=A45) * ([6]Sheet1!$C:$C="Ⅰ级护理（临床）"), 0)) * 积分!AK44, "--")</f>
        <v>--</v>
      </c>
      <c r="U45" s="2" t="str" cm="1">
        <f t="array" ref="U45">IFERROR(INDEX([6]Sheet1!$D:$D, MATCH(1, ([6]Sheet1!$B:$B=A45) * ([6]Sheet1!$C:$C="Ⅱ级护理（临床）"), 0)) * 积分!AL44, "--")</f>
        <v>--</v>
      </c>
      <c r="V45" s="2" t="str" cm="1">
        <f t="array" ref="V45">IFERROR(INDEX([6]Sheet1!$D:$D, MATCH(1, ([6]Sheet1!$B:$B=A45) * ([6]Sheet1!$C:$C="护士中医适宜技术（临床）"), 0)) * 积分!AM44, "--")</f>
        <v>--</v>
      </c>
      <c r="W45" s="2" t="str">
        <f>IFERROR(INDEX([3]Sheet1!$H:$H, MATCH(A45, [3]Sheet1!$B:$B, 0)) * 积分!N44, "--")</f>
        <v>--</v>
      </c>
      <c r="X45" s="2" t="str">
        <f>IFERROR(INDEX([3]Sheet1!$J:$J, MATCH(A45, [3]Sheet1!$B:$B, 0)) * 积分!O44, "--")</f>
        <v>--</v>
      </c>
      <c r="Y45" s="2" cm="1">
        <f t="array" ref="Y45">IFERROR(INDEX([7]Sheet1!$D:$D, MATCH(1, ([7]Sheet1!$B:$B=A45) * ([7]Sheet1!$C:$C="单位系数"), 0)) * 积分!P45, "--")</f>
        <v>162943.92799999999</v>
      </c>
      <c r="Z45" s="2" cm="1">
        <f t="array" ref="Z45">IFERROR(INDEX([7]Sheet1!$D:$D, MATCH(1, ([7]Sheet1!$B:$B=A45) * ([7]Sheet1!$C:$C="多学科联合(MDT)门诊"), 0)) * 积分!Q44, "--")</f>
        <v>0</v>
      </c>
      <c r="AA45" s="2" t="str" cm="1">
        <f t="array" ref="AA45">IFERROR(INDEX([7]Sheet1!$D:$D, MATCH(1, ([7]Sheet1!$B:$B=A45) * ([7]Sheet1!$C:$C="核算金额"), 0)) * 积分!R45, "--")</f>
        <v>--</v>
      </c>
      <c r="AB45" s="2" t="str" cm="1">
        <f t="array" ref="AB45">IFERROR(INDEX([7]Sheet1!$D:$D, MATCH(1, ([7]Sheet1!$B:$B=A45) * ([7]Sheet1!$C:$C="单据"), 0))* 积分!BA45, "--")</f>
        <v>--</v>
      </c>
      <c r="AC45" s="2" t="str" cm="1">
        <f t="array" ref="AC45">IFERROR(INDEX([7]Sheet1!$D:$D, MATCH(1, ([7]Sheet1!$B:$B=A45) * ([7]Sheet1!$C:$C="特需门诊"), 0)) * 积分!S44, "--")</f>
        <v>--</v>
      </c>
      <c r="AD45" s="2" t="str" cm="1">
        <f t="array" ref="AD45">IFERROR(INDEX([7]Sheet1!$D:$D, MATCH(1, ([7]Sheet1!$B:$B=A45) * ([7]Sheet1!$C:$C="中医会诊"), 0)) * 积分!T44, "--")</f>
        <v>--</v>
      </c>
      <c r="AE45" s="2">
        <f>积分!U45*0</f>
        <v>0</v>
      </c>
      <c r="AF45" s="2">
        <f>--积分!V45</f>
        <v>0</v>
      </c>
      <c r="AG45" s="2">
        <f>0*积分!W45</f>
        <v>0</v>
      </c>
      <c r="AH45" s="2">
        <f>-562.4*积分!X45</f>
        <v>-562.4</v>
      </c>
      <c r="AI45" s="2">
        <f>IFERROR(INDEX([4]Sheet1!$AD:$AD, MATCH(A45, [4]Sheet1!$A:$A, 0)) * 积分!AA44, "--")</f>
        <v>0</v>
      </c>
      <c r="AJ45" s="2">
        <f>IFERROR(INDEX([4]Sheet1!$AC:$AC, MATCH(A45, [4]Sheet1!$A:$A, 0)) * 积分!AB44, "--")</f>
        <v>0</v>
      </c>
      <c r="AK45" s="2">
        <f>IFERROR(INDEX([4]Sheet1!$AE:$AE, MATCH(A45, [4]Sheet1!$A:$A, 0)) * 积分!AC44, "--")</f>
        <v>0</v>
      </c>
      <c r="AL45" s="2">
        <f>IFERROR(INDEX([4]Sheet1!$AF:$AF, MATCH(A45, [4]Sheet1!$A:$A, 0)) * 积分!AD44, "--")</f>
        <v>0</v>
      </c>
      <c r="AM45" s="2">
        <f>IFERROR(INDEX([4]Sheet1!$AG:$AG, MATCH(A45, [4]Sheet1!$A:$A, 0)) * 积分!AE44, "--")</f>
        <v>0</v>
      </c>
      <c r="AN45" s="2">
        <f>IFERROR(INDEX([4]Sheet1!$AH:$AH, MATCH(A45, [4]Sheet1!$A:$A, 0)) * 积分!AF44, "--")</f>
        <v>0</v>
      </c>
      <c r="AO45" s="2">
        <f>IFERROR(INDEX([4]Sheet1!$AI:$AI, MATCH(A45, [4]Sheet1!$A:$A, 0)) * 积分!AG44, "--")</f>
        <v>0</v>
      </c>
      <c r="AP45" s="2">
        <f>IFERROR(INDEX([4]Sheet1!$AJ:$AJ, MATCH(A45, [4]Sheet1!$A:$A, 0)) * 积分!AH44, "--")</f>
        <v>0</v>
      </c>
      <c r="AQ45" s="2">
        <v>0</v>
      </c>
      <c r="AR45" s="2">
        <v>0</v>
      </c>
      <c r="AS45" s="12" t="s">
        <v>117</v>
      </c>
      <c r="AT45" s="12" t="s">
        <v>117</v>
      </c>
      <c r="AU45" s="12" t="s">
        <v>117</v>
      </c>
      <c r="AV45" s="12" t="s">
        <v>117</v>
      </c>
      <c r="AW45" s="12" t="s">
        <v>117</v>
      </c>
      <c r="AX45" s="12" t="s">
        <v>117</v>
      </c>
      <c r="AY45" s="12" t="s">
        <v>117</v>
      </c>
      <c r="AZ45" s="12" t="s">
        <v>117</v>
      </c>
      <c r="BA45" s="12" t="s">
        <v>117</v>
      </c>
      <c r="BB45" s="12" t="s">
        <v>117</v>
      </c>
      <c r="BC45" s="12" t="s">
        <v>117</v>
      </c>
    </row>
    <row r="46" spans="1:55" ht="17.399999999999999" x14ac:dyDescent="0.25">
      <c r="A46" s="8" t="s">
        <v>121</v>
      </c>
      <c r="B46" s="4">
        <f t="shared" si="0"/>
        <v>235079.58</v>
      </c>
      <c r="C46" s="4">
        <v>0</v>
      </c>
      <c r="D46" s="4">
        <v>0</v>
      </c>
      <c r="E46" s="4">
        <f>ROUND(IF(Y46&lt;&gt;"--",Y46,0)+IF(AD46&lt;&gt;"--",AD46,0)+IF(AH46&lt;&gt;"--",AH46,0)+IF(Z46&lt;&gt;"--",Z46,0)+IF(AE46&lt;&gt;"--",AE46,0),2)</f>
        <v>235079.58</v>
      </c>
      <c r="F46" s="4" t="str" cm="1">
        <f t="array" ref="F46">IFERROR(
病区折扣比例(
(
INDEX([3]Sheet1!$I:$I, MATCH(A46, [3]Sheet1!$B:$B, 0))
/
次均费用!C46
)
)
*INDEX([4]Sheet1!$AL:$AL, MATCH(A46, [4]Sheet1!$A:$A, 0))
* 积分!B45, "--")</f>
        <v>--</v>
      </c>
      <c r="G46" s="4">
        <f>IFERROR(INDEX([4]Sheet1!$AK:$AK, MATCH(A46, [4]Sheet1!$A:$A, 0)) * 积分!C45, "--")</f>
        <v>0</v>
      </c>
      <c r="H46" s="4">
        <f>IFERROR(INDEX([4]Sheet1!$AB:$AB, MATCH(A46, [4]Sheet1!$A:$A, 0)) * 积分!D45, "--")</f>
        <v>0</v>
      </c>
      <c r="I46" s="4">
        <f>IFERROR(INDEX([4]Sheet1!$AA:$AA, MATCH(A46, [4]Sheet1!$A:$A, 0)) * 积分!E45, "--")</f>
        <v>0</v>
      </c>
      <c r="J46" s="4">
        <f>IFERROR(INDEX([4]Sheet1!$Z:$Z, MATCH(A46, [4]Sheet1!$A:$A, 0)) * 积分!F45, "--")</f>
        <v>0</v>
      </c>
      <c r="K46" s="4">
        <f>IFERROR(INDEX([4]Sheet1!$Y:$Y, MATCH(A46, [4]Sheet1!$A:$A, 0)) * 积分!G45, "--")</f>
        <v>0</v>
      </c>
      <c r="L46" s="4" t="str" cm="1">
        <f t="array" ref="L46">IFERROR(
门诊折扣比例(
(
INDEX([5]Sheet1!$D:$D, MATCH(A46, [5]Sheet1!$B:$B, 0))
/
次均费用!B46
)
)
*INDEX([5]Sheet1!$C:$C, MATCH(A46, [5]Sheet1!$B:$B, 0))
* 积分!H45, "--")</f>
        <v>--</v>
      </c>
      <c r="M46" s="4" t="str">
        <f>IFERROR(INDEX([3]Sheet1!$C:$C, MATCH(A46, [3]Sheet1!$B:$B, 0)) * 积分!I45, "--")</f>
        <v>--</v>
      </c>
      <c r="N46" s="4" t="str">
        <f>IFERROR(INDEX([3]Sheet1!$D:$D, MATCH(A46, [3]Sheet1!$B:$B, 0)) * 积分!J45, "--")</f>
        <v>--</v>
      </c>
      <c r="O46" s="4" t="str">
        <f>IFERROR(INDEX([3]Sheet1!$E:$E, MATCH(A46, [3]Sheet1!$B:$B, 0)) * 积分!K45, "--")</f>
        <v>--</v>
      </c>
      <c r="P46" s="4" t="str">
        <f>IFERROR(INDEX([3]Sheet1!$F:$F, MATCH(A46, [3]Sheet1!$B:$B, 0)) * 积分!L45, "--")</f>
        <v>--</v>
      </c>
      <c r="Q46" s="4" t="str">
        <f>IFERROR(INDEX([3]Sheet1!$G:$G, MATCH(A46, [3]Sheet1!$B:$B, 0)) * 积分!M45, "--")</f>
        <v>--</v>
      </c>
      <c r="R46" s="4" t="str" cm="1">
        <f t="array" ref="R46">IFERROR(INDEX([6]Sheet1!$D:$D, MATCH(1, ([6]Sheet1!$B:$B=A46) * ([6]Sheet1!$C:$C="特级护理（临床）"), 0)) * 积分!AI45, "--")</f>
        <v>--</v>
      </c>
      <c r="S46" s="4" t="str" cm="1">
        <f t="array" ref="S46">IFERROR(INDEX([6]Sheet1!$D:$D, MATCH(1, ([6]Sheet1!$B:$B=A46) * ([6]Sheet1!$C:$C="重症监护（临床）"), 0)) * 积分!AJ45, "--")</f>
        <v>--</v>
      </c>
      <c r="T46" s="4" t="str" cm="1">
        <f t="array" ref="T46">IFERROR(INDEX([6]Sheet1!$D:$D, MATCH(1, ([6]Sheet1!$B:$B=A46) * ([6]Sheet1!$C:$C="Ⅰ级护理（临床）"), 0)) * 积分!AK45, "--")</f>
        <v>--</v>
      </c>
      <c r="U46" s="4" t="str" cm="1">
        <f t="array" ref="U46">IFERROR(INDEX([6]Sheet1!$D:$D, MATCH(1, ([6]Sheet1!$B:$B=A46) * ([6]Sheet1!$C:$C="Ⅱ级护理（临床）"), 0)) * 积分!AL45, "--")</f>
        <v>--</v>
      </c>
      <c r="V46" s="4" t="str" cm="1">
        <f t="array" ref="V46">IFERROR(INDEX([6]Sheet1!$D:$D, MATCH(1, ([6]Sheet1!$B:$B=A46) * ([6]Sheet1!$C:$C="护士中医适宜技术（临床）"), 0)) * 积分!AM45, "--")</f>
        <v>--</v>
      </c>
      <c r="W46" s="4" t="str">
        <f>IFERROR(INDEX([3]Sheet1!$H:$H, MATCH(A46, [3]Sheet1!$B:$B, 0)) * 积分!N45, "--")</f>
        <v>--</v>
      </c>
      <c r="X46" s="4" t="str">
        <f>IFERROR(INDEX([3]Sheet1!$J:$J, MATCH(A46, [3]Sheet1!$B:$B, 0)) * 积分!O45, "--")</f>
        <v>--</v>
      </c>
      <c r="Y46" s="4" cm="1">
        <f t="array" ref="Y46">IFERROR(INDEX([7]Sheet1!$D:$D, MATCH(1, ([7]Sheet1!$B:$B=A46) * ([7]Sheet1!$C:$C="单位系数"), 0)) * 积分!P46, "--")</f>
        <v>234503.05200000003</v>
      </c>
      <c r="Z46" s="4" cm="1">
        <f t="array" ref="Z46">IFERROR(INDEX([7]Sheet1!$D:$D, MATCH(1, ([7]Sheet1!$B:$B=A46) * ([7]Sheet1!$C:$C="多学科联合(MDT)门诊"), 0)) * 积分!Q45, "--")</f>
        <v>0</v>
      </c>
      <c r="AA46" s="4" t="str" cm="1">
        <f t="array" ref="AA46">IFERROR(INDEX([7]Sheet1!$D:$D, MATCH(1, ([7]Sheet1!$B:$B=A46) * ([7]Sheet1!$C:$C="核算金额"), 0)) * 积分!R46, "--")</f>
        <v>--</v>
      </c>
      <c r="AB46" s="4" t="str" cm="1">
        <f t="array" ref="AB46">IFERROR(INDEX([7]Sheet1!$D:$D, MATCH(1, ([7]Sheet1!$B:$B=A46) * ([7]Sheet1!$C:$C="单据"), 0))* 积分!BA46, "--")</f>
        <v>--</v>
      </c>
      <c r="AC46" s="4" t="str" cm="1">
        <f t="array" ref="AC46">IFERROR(INDEX([7]Sheet1!$D:$D, MATCH(1, ([7]Sheet1!$B:$B=A46) * ([7]Sheet1!$C:$C="特需门诊"), 0)) * 积分!S45, "--")</f>
        <v>--</v>
      </c>
      <c r="AD46" s="4" t="str" cm="1">
        <f t="array" ref="AD46">IFERROR(INDEX([7]Sheet1!$D:$D, MATCH(1, ([7]Sheet1!$B:$B=A46) * ([7]Sheet1!$C:$C="中医会诊"), 0)) * 积分!T45, "--")</f>
        <v>--</v>
      </c>
      <c r="AE46" s="4">
        <f>积分!U46*0</f>
        <v>0</v>
      </c>
      <c r="AF46" s="4">
        <f>--积分!V46</f>
        <v>0</v>
      </c>
      <c r="AG46" s="4">
        <f>0*积分!W46</f>
        <v>0</v>
      </c>
      <c r="AH46" s="4">
        <f>576.53*积分!X46</f>
        <v>576.53</v>
      </c>
      <c r="AI46" s="4">
        <f>IFERROR(INDEX([4]Sheet1!$AD:$AD, MATCH(A46, [4]Sheet1!$A:$A, 0)) * 积分!AA45, "--")</f>
        <v>0</v>
      </c>
      <c r="AJ46" s="4">
        <f>IFERROR(INDEX([4]Sheet1!$AC:$AC, MATCH(A46, [4]Sheet1!$A:$A, 0)) * 积分!AB45, "--")</f>
        <v>0</v>
      </c>
      <c r="AK46" s="4">
        <f>IFERROR(INDEX([4]Sheet1!$AE:$AE, MATCH(A46, [4]Sheet1!$A:$A, 0)) * 积分!AC45, "--")</f>
        <v>0</v>
      </c>
      <c r="AL46" s="4">
        <f>IFERROR(INDEX([4]Sheet1!$AF:$AF, MATCH(A46, [4]Sheet1!$A:$A, 0)) * 积分!AD45, "--")</f>
        <v>0</v>
      </c>
      <c r="AM46" s="4">
        <f>IFERROR(INDEX([4]Sheet1!$AG:$AG, MATCH(A46, [4]Sheet1!$A:$A, 0)) * 积分!AE45, "--")</f>
        <v>0</v>
      </c>
      <c r="AN46" s="4">
        <f>IFERROR(INDEX([4]Sheet1!$AH:$AH, MATCH(A46, [4]Sheet1!$A:$A, 0)) * 积分!AF45, "--")</f>
        <v>0</v>
      </c>
      <c r="AO46" s="4">
        <f>IFERROR(INDEX([4]Sheet1!$AI:$AI, MATCH(A46, [4]Sheet1!$A:$A, 0)) * 积分!AG45, "--")</f>
        <v>0</v>
      </c>
      <c r="AP46" s="4">
        <f>IFERROR(INDEX([4]Sheet1!$AJ:$AJ, MATCH(A46, [4]Sheet1!$A:$A, 0)) * 积分!AH45, "--")</f>
        <v>0</v>
      </c>
      <c r="AQ46" s="4">
        <v>0</v>
      </c>
      <c r="AR46" s="4">
        <v>0</v>
      </c>
      <c r="AS46" s="7" t="s">
        <v>117</v>
      </c>
      <c r="AT46" s="7" t="s">
        <v>117</v>
      </c>
      <c r="AU46" s="7" t="s">
        <v>117</v>
      </c>
      <c r="AV46" s="7" t="s">
        <v>117</v>
      </c>
      <c r="AW46" s="7" t="s">
        <v>117</v>
      </c>
      <c r="AX46" s="7" t="s">
        <v>117</v>
      </c>
      <c r="AY46" s="7" t="s">
        <v>117</v>
      </c>
      <c r="AZ46" s="7" t="s">
        <v>117</v>
      </c>
      <c r="BA46" s="7" t="s">
        <v>117</v>
      </c>
      <c r="BB46" s="7" t="s">
        <v>117</v>
      </c>
      <c r="BC46" s="7" t="s">
        <v>117</v>
      </c>
    </row>
    <row r="47" spans="1:55" ht="17.399999999999999" x14ac:dyDescent="0.25">
      <c r="A47" s="5" t="s">
        <v>127</v>
      </c>
      <c r="B47" s="11">
        <f t="shared" si="0"/>
        <v>165500.07999999999</v>
      </c>
      <c r="C47" s="2">
        <v>0</v>
      </c>
      <c r="D47" s="2">
        <v>0</v>
      </c>
      <c r="E47" s="2">
        <f t="shared" ref="E47:E51" si="9">ROUND(IF(Y47&lt;&gt;"--",Y47,0)+IF(AD47&lt;&gt;"--",AD47,0)+IF(AH47&lt;&gt;"--",AH47,0)+IF(Z47&lt;&gt;"--",Z47,0)+IF(AE47&lt;&gt;"--",AE47,0),2)</f>
        <v>165500.07999999999</v>
      </c>
      <c r="F47" s="2" t="str" cm="1">
        <f t="array" ref="F47">IFERROR(
病区折扣比例(
(
INDEX([3]Sheet1!$I:$I, MATCH(A47, [3]Sheet1!$B:$B, 0))
/
次均费用!C47
)
)
*INDEX([4]Sheet1!$AL:$AL, MATCH(A47, [4]Sheet1!$A:$A, 0))
* 积分!B46, "--")</f>
        <v>--</v>
      </c>
      <c r="G47" s="2">
        <f>IFERROR(INDEX([4]Sheet1!$AK:$AK, MATCH(A47, [4]Sheet1!$A:$A, 0)) * 积分!C46, "--")</f>
        <v>0</v>
      </c>
      <c r="H47" s="2">
        <f>IFERROR(INDEX([4]Sheet1!$AB:$AB, MATCH(A47, [4]Sheet1!$A:$A, 0)) * 积分!D46, "--")</f>
        <v>0</v>
      </c>
      <c r="I47" s="2">
        <f>IFERROR(INDEX([4]Sheet1!$AA:$AA, MATCH(A47, [4]Sheet1!$A:$A, 0)) * 积分!E46, "--")</f>
        <v>0</v>
      </c>
      <c r="J47" s="2">
        <f>IFERROR(INDEX([4]Sheet1!$Z:$Z, MATCH(A47, [4]Sheet1!$A:$A, 0)) * 积分!F46, "--")</f>
        <v>0</v>
      </c>
      <c r="K47" s="2">
        <f>IFERROR(INDEX([4]Sheet1!$Y:$Y, MATCH(A47, [4]Sheet1!$A:$A, 0)) * 积分!G46, "--")</f>
        <v>0</v>
      </c>
      <c r="L47" s="2" t="str" cm="1">
        <f t="array" ref="L47">IFERROR(
门诊折扣比例(
(
INDEX([5]Sheet1!$D:$D, MATCH(A47, [5]Sheet1!$B:$B, 0))
/
次均费用!B47
)
)
*INDEX([5]Sheet1!$C:$C, MATCH(A47, [5]Sheet1!$B:$B, 0))
* 积分!H46, "--")</f>
        <v>--</v>
      </c>
      <c r="M47" s="2" t="str">
        <f>IFERROR(INDEX([3]Sheet1!$C:$C, MATCH(A47, [3]Sheet1!$B:$B, 0)) * 积分!I46, "--")</f>
        <v>--</v>
      </c>
      <c r="N47" s="2" t="str">
        <f>IFERROR(INDEX([3]Sheet1!$D:$D, MATCH(A47, [3]Sheet1!$B:$B, 0)) * 积分!J46, "--")</f>
        <v>--</v>
      </c>
      <c r="O47" s="2" t="str">
        <f>IFERROR(INDEX([3]Sheet1!$E:$E, MATCH(A47, [3]Sheet1!$B:$B, 0)) * 积分!K46, "--")</f>
        <v>--</v>
      </c>
      <c r="P47" s="2" t="str">
        <f>IFERROR(INDEX([3]Sheet1!$F:$F, MATCH(A47, [3]Sheet1!$B:$B, 0)) * 积分!L46, "--")</f>
        <v>--</v>
      </c>
      <c r="Q47" s="2" t="str">
        <f>IFERROR(INDEX([3]Sheet1!$G:$G, MATCH(A47, [3]Sheet1!$B:$B, 0)) * 积分!M46, "--")</f>
        <v>--</v>
      </c>
      <c r="R47" s="2" t="str" cm="1">
        <f t="array" ref="R47">IFERROR(INDEX([6]Sheet1!$D:$D, MATCH(1, ([6]Sheet1!$B:$B=A47) * ([6]Sheet1!$C:$C="特级护理（临床）"), 0)) * 积分!AI46, "--")</f>
        <v>--</v>
      </c>
      <c r="S47" s="2" t="str" cm="1">
        <f t="array" ref="S47">IFERROR(INDEX([6]Sheet1!$D:$D, MATCH(1, ([6]Sheet1!$B:$B=A47) * ([6]Sheet1!$C:$C="重症监护（临床）"), 0)) * 积分!AJ46, "--")</f>
        <v>--</v>
      </c>
      <c r="T47" s="2" t="str" cm="1">
        <f t="array" ref="T47">IFERROR(INDEX([6]Sheet1!$D:$D, MATCH(1, ([6]Sheet1!$B:$B=A47) * ([6]Sheet1!$C:$C="Ⅰ级护理（临床）"), 0)) * 积分!AK46, "--")</f>
        <v>--</v>
      </c>
      <c r="U47" s="2" t="str" cm="1">
        <f t="array" ref="U47">IFERROR(INDEX([6]Sheet1!$D:$D, MATCH(1, ([6]Sheet1!$B:$B=A47) * ([6]Sheet1!$C:$C="Ⅱ级护理（临床）"), 0)) * 积分!AL46, "--")</f>
        <v>--</v>
      </c>
      <c r="V47" s="2" t="str" cm="1">
        <f t="array" ref="V47">IFERROR(INDEX([6]Sheet1!$D:$D, MATCH(1, ([6]Sheet1!$B:$B=A47) * ([6]Sheet1!$C:$C="护士中医适宜技术（临床）"), 0)) * 积分!AM46, "--")</f>
        <v>--</v>
      </c>
      <c r="W47" s="2" t="str">
        <f>IFERROR(INDEX([3]Sheet1!$H:$H, MATCH(A47, [3]Sheet1!$B:$B, 0)) * 积分!N46, "--")</f>
        <v>--</v>
      </c>
      <c r="X47" s="2" t="str">
        <f>IFERROR(INDEX([3]Sheet1!$J:$J, MATCH(A47, [3]Sheet1!$B:$B, 0)) * 积分!O46, "--")</f>
        <v>--</v>
      </c>
      <c r="Y47" s="2" cm="1">
        <f t="array" ref="Y47">IFERROR(INDEX([7]Sheet1!$D:$D, MATCH(1, ([7]Sheet1!$B:$B=A47) * ([7]Sheet1!$C:$C="单位系数"), 0)) * 积分!P47, "--")</f>
        <v>169284.32399999999</v>
      </c>
      <c r="Z47" s="2" cm="1">
        <f t="array" ref="Z47">IFERROR(INDEX([7]Sheet1!$D:$D, MATCH(1, ([7]Sheet1!$B:$B=A47) * ([7]Sheet1!$C:$C="多学科联合(MDT)门诊"), 0)) * 积分!Q46, "--")</f>
        <v>0</v>
      </c>
      <c r="AA47" s="2" t="str" cm="1">
        <f t="array" ref="AA47">IFERROR(INDEX([7]Sheet1!$D:$D, MATCH(1, ([7]Sheet1!$B:$B=A47) * ([7]Sheet1!$C:$C="核算金额"), 0)) * 积分!R47, "--")</f>
        <v>--</v>
      </c>
      <c r="AB47" s="2" t="str" cm="1">
        <f t="array" ref="AB47">IFERROR(INDEX([7]Sheet1!$D:$D, MATCH(1, ([7]Sheet1!$B:$B=A47) * ([7]Sheet1!$C:$C="单据"), 0))* 积分!BA47, "--")</f>
        <v>--</v>
      </c>
      <c r="AC47" s="2" t="str" cm="1">
        <f t="array" ref="AC47">IFERROR(INDEX([7]Sheet1!$D:$D, MATCH(1, ([7]Sheet1!$B:$B=A47) * ([7]Sheet1!$C:$C="特需门诊"), 0)) * 积分!S46, "--")</f>
        <v>--</v>
      </c>
      <c r="AD47" s="2" t="str" cm="1">
        <f t="array" ref="AD47">IFERROR(INDEX([7]Sheet1!$D:$D, MATCH(1, ([7]Sheet1!$B:$B=A47) * ([7]Sheet1!$C:$C="中医会诊"), 0)) * 积分!T46, "--")</f>
        <v>--</v>
      </c>
      <c r="AE47" s="2">
        <f>积分!U47*0</f>
        <v>0</v>
      </c>
      <c r="AF47" s="2">
        <f>--积分!V47</f>
        <v>0</v>
      </c>
      <c r="AG47" s="2">
        <f>0*积分!W47</f>
        <v>0</v>
      </c>
      <c r="AH47" s="2">
        <f>-3784.24*积分!X47</f>
        <v>-3784.24</v>
      </c>
      <c r="AI47" s="2">
        <f>IFERROR(INDEX([4]Sheet1!$AD:$AD, MATCH(A47, [4]Sheet1!$A:$A, 0)) * 积分!AA46, "--")</f>
        <v>0</v>
      </c>
      <c r="AJ47" s="2">
        <f>IFERROR(INDEX([4]Sheet1!$AC:$AC, MATCH(A47, [4]Sheet1!$A:$A, 0)) * 积分!AB46, "--")</f>
        <v>0</v>
      </c>
      <c r="AK47" s="2">
        <f>IFERROR(INDEX([4]Sheet1!$AE:$AE, MATCH(A47, [4]Sheet1!$A:$A, 0)) * 积分!AC46, "--")</f>
        <v>0</v>
      </c>
      <c r="AL47" s="2">
        <f>IFERROR(INDEX([4]Sheet1!$AF:$AF, MATCH(A47, [4]Sheet1!$A:$A, 0)) * 积分!AD46, "--")</f>
        <v>0</v>
      </c>
      <c r="AM47" s="2">
        <f>IFERROR(INDEX([4]Sheet1!$AG:$AG, MATCH(A47, [4]Sheet1!$A:$A, 0)) * 积分!AE46, "--")</f>
        <v>0</v>
      </c>
      <c r="AN47" s="2">
        <f>IFERROR(INDEX([4]Sheet1!$AH:$AH, MATCH(A47, [4]Sheet1!$A:$A, 0)) * 积分!AF46, "--")</f>
        <v>0</v>
      </c>
      <c r="AO47" s="2">
        <f>IFERROR(INDEX([4]Sheet1!$AI:$AI, MATCH(A47, [4]Sheet1!$A:$A, 0)) * 积分!AG46, "--")</f>
        <v>0</v>
      </c>
      <c r="AP47" s="2">
        <f>IFERROR(INDEX([4]Sheet1!$AJ:$AJ, MATCH(A47, [4]Sheet1!$A:$A, 0)) * 积分!AH46, "--")</f>
        <v>0</v>
      </c>
      <c r="AQ47" s="2">
        <v>0</v>
      </c>
      <c r="AR47" s="2">
        <v>0</v>
      </c>
      <c r="AS47" s="12" t="s">
        <v>117</v>
      </c>
      <c r="AT47" s="12" t="s">
        <v>117</v>
      </c>
      <c r="AU47" s="12" t="s">
        <v>117</v>
      </c>
      <c r="AV47" s="12" t="s">
        <v>117</v>
      </c>
      <c r="AW47" s="12" t="s">
        <v>117</v>
      </c>
      <c r="AX47" s="12" t="s">
        <v>117</v>
      </c>
      <c r="AY47" s="12" t="s">
        <v>117</v>
      </c>
      <c r="AZ47" s="12" t="s">
        <v>117</v>
      </c>
      <c r="BA47" s="12" t="s">
        <v>117</v>
      </c>
      <c r="BB47" s="12" t="s">
        <v>117</v>
      </c>
      <c r="BC47" s="12" t="s">
        <v>117</v>
      </c>
    </row>
    <row r="48" spans="1:55" ht="17.399999999999999" x14ac:dyDescent="0.25">
      <c r="A48" s="8" t="s">
        <v>189</v>
      </c>
      <c r="B48" s="4">
        <f t="shared" si="0"/>
        <v>41608.17</v>
      </c>
      <c r="C48" s="4">
        <v>0</v>
      </c>
      <c r="D48" s="4">
        <v>0</v>
      </c>
      <c r="E48" s="4">
        <f t="shared" si="9"/>
        <v>41608.17</v>
      </c>
      <c r="F48" s="4" t="str" cm="1">
        <f t="array" ref="F48">IFERROR(
病区折扣比例(
(
INDEX([3]Sheet1!$I:$I, MATCH(A48, [3]Sheet1!$B:$B, 0))
/
次均费用!C48
)
)
*INDEX([4]Sheet1!$AL:$AL, MATCH(A48, [4]Sheet1!$A:$A, 0))
* 积分!B47, "--")</f>
        <v>--</v>
      </c>
      <c r="G48" s="4">
        <f>IFERROR(INDEX([4]Sheet1!$AK:$AK, MATCH(A48, [4]Sheet1!$A:$A, 0)) * 积分!C47, "--")</f>
        <v>0</v>
      </c>
      <c r="H48" s="4">
        <f>IFERROR(INDEX([4]Sheet1!$AB:$AB, MATCH(A48, [4]Sheet1!$A:$A, 0)) * 积分!D47, "--")</f>
        <v>0</v>
      </c>
      <c r="I48" s="4">
        <f>IFERROR(INDEX([4]Sheet1!$AA:$AA, MATCH(A48, [4]Sheet1!$A:$A, 0)) * 积分!E47, "--")</f>
        <v>0</v>
      </c>
      <c r="J48" s="4">
        <f>IFERROR(INDEX([4]Sheet1!$Z:$Z, MATCH(A48, [4]Sheet1!$A:$A, 0)) * 积分!F47, "--")</f>
        <v>0</v>
      </c>
      <c r="K48" s="4">
        <f>IFERROR(INDEX([4]Sheet1!$Y:$Y, MATCH(A48, [4]Sheet1!$A:$A, 0)) * 积分!G47, "--")</f>
        <v>0</v>
      </c>
      <c r="L48" s="4" t="str" cm="1">
        <f t="array" ref="L48">IFERROR(
门诊折扣比例(
(
INDEX([5]Sheet1!$D:$D, MATCH(A48, [5]Sheet1!$B:$B, 0))
/
次均费用!B48
)
)
*INDEX([5]Sheet1!$C:$C, MATCH(A48, [5]Sheet1!$B:$B, 0))
* 积分!H47, "--")</f>
        <v>--</v>
      </c>
      <c r="M48" s="4" t="str">
        <f>IFERROR(INDEX([3]Sheet1!$C:$C, MATCH(A48, [3]Sheet1!$B:$B, 0)) * 积分!I47, "--")</f>
        <v>--</v>
      </c>
      <c r="N48" s="4" t="str">
        <f>IFERROR(INDEX([3]Sheet1!$D:$D, MATCH(A48, [3]Sheet1!$B:$B, 0)) * 积分!J47, "--")</f>
        <v>--</v>
      </c>
      <c r="O48" s="4" t="str">
        <f>IFERROR(INDEX([3]Sheet1!$E:$E, MATCH(A48, [3]Sheet1!$B:$B, 0)) * 积分!K47, "--")</f>
        <v>--</v>
      </c>
      <c r="P48" s="4" t="str">
        <f>IFERROR(INDEX([3]Sheet1!$F:$F, MATCH(A48, [3]Sheet1!$B:$B, 0)) * 积分!L47, "--")</f>
        <v>--</v>
      </c>
      <c r="Q48" s="4" t="str">
        <f>IFERROR(INDEX([3]Sheet1!$G:$G, MATCH(A48, [3]Sheet1!$B:$B, 0)) * 积分!M47, "--")</f>
        <v>--</v>
      </c>
      <c r="R48" s="4" t="str" cm="1">
        <f t="array" ref="R48">IFERROR(INDEX([6]Sheet1!$D:$D, MATCH(1, ([6]Sheet1!$B:$B=A48) * ([6]Sheet1!$C:$C="特级护理（临床）"), 0)) * 积分!AI47, "--")</f>
        <v>--</v>
      </c>
      <c r="S48" s="4" t="str" cm="1">
        <f t="array" ref="S48">IFERROR(INDEX([6]Sheet1!$D:$D, MATCH(1, ([6]Sheet1!$B:$B=A48) * ([6]Sheet1!$C:$C="重症监护（临床）"), 0)) * 积分!AJ47, "--")</f>
        <v>--</v>
      </c>
      <c r="T48" s="4" t="str" cm="1">
        <f t="array" ref="T48">IFERROR(INDEX([6]Sheet1!$D:$D, MATCH(1, ([6]Sheet1!$B:$B=A48) * ([6]Sheet1!$C:$C="Ⅰ级护理（临床）"), 0)) * 积分!AK47, "--")</f>
        <v>--</v>
      </c>
      <c r="U48" s="4" t="str" cm="1">
        <f t="array" ref="U48">IFERROR(INDEX([6]Sheet1!$D:$D, MATCH(1, ([6]Sheet1!$B:$B=A48) * ([6]Sheet1!$C:$C="Ⅱ级护理（临床）"), 0)) * 积分!AL47, "--")</f>
        <v>--</v>
      </c>
      <c r="V48" s="4" t="str" cm="1">
        <f t="array" ref="V48">IFERROR(INDEX([6]Sheet1!$D:$D, MATCH(1, ([6]Sheet1!$B:$B=A48) * ([6]Sheet1!$C:$C="护士中医适宜技术（临床）"), 0)) * 积分!AM47, "--")</f>
        <v>--</v>
      </c>
      <c r="W48" s="4" t="str">
        <f>IFERROR(INDEX([3]Sheet1!$H:$H, MATCH(A48, [3]Sheet1!$B:$B, 0)) * 积分!N47, "--")</f>
        <v>--</v>
      </c>
      <c r="X48" s="4" t="str">
        <f>IFERROR(INDEX([3]Sheet1!$J:$J, MATCH(A48, [3]Sheet1!$B:$B, 0)) * 积分!O47, "--")</f>
        <v>--</v>
      </c>
      <c r="Y48" s="4" cm="1">
        <f t="array" ref="Y48">IFERROR(INDEX([7]Sheet1!$D:$D, MATCH(1, ([7]Sheet1!$B:$B=A48) * ([7]Sheet1!$C:$C="单位系数"), 0)) * 积分!P48, "--")</f>
        <v>42112.629000000001</v>
      </c>
      <c r="Z48" s="4" cm="1">
        <f t="array" ref="Z48">IFERROR(INDEX([7]Sheet1!$D:$D, MATCH(1, ([7]Sheet1!$B:$B=A48) * ([7]Sheet1!$C:$C="多学科联合(MDT)门诊"), 0)) * 积分!Q47, "--")</f>
        <v>0</v>
      </c>
      <c r="AA48" s="4" t="str" cm="1">
        <f t="array" ref="AA48">IFERROR(INDEX([7]Sheet1!$D:$D, MATCH(1, ([7]Sheet1!$B:$B=A48) * ([7]Sheet1!$C:$C="核算金额"), 0)) * 积分!R48, "--")</f>
        <v>--</v>
      </c>
      <c r="AB48" s="4" t="str" cm="1">
        <f t="array" ref="AB48">IFERROR(INDEX([7]Sheet1!$D:$D, MATCH(1, ([7]Sheet1!$B:$B=A48) * ([7]Sheet1!$C:$C="单据"), 0))* 积分!BA48, "--")</f>
        <v>--</v>
      </c>
      <c r="AC48" s="4" t="str" cm="1">
        <f t="array" ref="AC48">IFERROR(INDEX([7]Sheet1!$D:$D, MATCH(1, ([7]Sheet1!$B:$B=A48) * ([7]Sheet1!$C:$C="特需门诊"), 0)) * 积分!S47, "--")</f>
        <v>--</v>
      </c>
      <c r="AD48" s="4" t="str" cm="1">
        <f t="array" ref="AD48">IFERROR(INDEX([7]Sheet1!$D:$D, MATCH(1, ([7]Sheet1!$B:$B=A48) * ([7]Sheet1!$C:$C="中医会诊"), 0)) * 积分!T47, "--")</f>
        <v>--</v>
      </c>
      <c r="AE48" s="4">
        <f>积分!U48*0</f>
        <v>0</v>
      </c>
      <c r="AF48" s="4">
        <f>--积分!V48</f>
        <v>0</v>
      </c>
      <c r="AG48" s="4">
        <f>0*积分!W48</f>
        <v>0</v>
      </c>
      <c r="AH48" s="4">
        <f>-504.46*积分!X48</f>
        <v>-504.46</v>
      </c>
      <c r="AI48" s="4">
        <f>IFERROR(INDEX([4]Sheet1!$AD:$AD, MATCH(A48, [4]Sheet1!$A:$A, 0)) * 积分!AA47, "--")</f>
        <v>0</v>
      </c>
      <c r="AJ48" s="4">
        <f>IFERROR(INDEX([4]Sheet1!$AC:$AC, MATCH(A48, [4]Sheet1!$A:$A, 0)) * 积分!AB47, "--")</f>
        <v>0</v>
      </c>
      <c r="AK48" s="4">
        <f>IFERROR(INDEX([4]Sheet1!$AE:$AE, MATCH(A48, [4]Sheet1!$A:$A, 0)) * 积分!AC47, "--")</f>
        <v>0</v>
      </c>
      <c r="AL48" s="4">
        <f>IFERROR(INDEX([4]Sheet1!$AF:$AF, MATCH(A48, [4]Sheet1!$A:$A, 0)) * 积分!AD47, "--")</f>
        <v>0</v>
      </c>
      <c r="AM48" s="4">
        <f>IFERROR(INDEX([4]Sheet1!$AG:$AG, MATCH(A48, [4]Sheet1!$A:$A, 0)) * 积分!AE47, "--")</f>
        <v>0</v>
      </c>
      <c r="AN48" s="4">
        <f>IFERROR(INDEX([4]Sheet1!$AH:$AH, MATCH(A48, [4]Sheet1!$A:$A, 0)) * 积分!AF47, "--")</f>
        <v>0</v>
      </c>
      <c r="AO48" s="4">
        <f>IFERROR(INDEX([4]Sheet1!$AI:$AI, MATCH(A48, [4]Sheet1!$A:$A, 0)) * 积分!AG47, "--")</f>
        <v>0</v>
      </c>
      <c r="AP48" s="4">
        <f>IFERROR(INDEX([4]Sheet1!$AJ:$AJ, MATCH(A48, [4]Sheet1!$A:$A, 0)) * 积分!AH47, "--")</f>
        <v>0</v>
      </c>
      <c r="AQ48" s="4">
        <v>0</v>
      </c>
      <c r="AR48" s="4">
        <v>0</v>
      </c>
      <c r="AS48" s="7" t="s">
        <v>117</v>
      </c>
      <c r="AT48" s="7" t="s">
        <v>117</v>
      </c>
      <c r="AU48" s="7" t="s">
        <v>117</v>
      </c>
      <c r="AV48" s="7" t="s">
        <v>117</v>
      </c>
      <c r="AW48" s="7" t="s">
        <v>117</v>
      </c>
      <c r="AX48" s="7" t="s">
        <v>117</v>
      </c>
      <c r="AY48" s="7" t="s">
        <v>117</v>
      </c>
      <c r="AZ48" s="7" t="s">
        <v>117</v>
      </c>
      <c r="BA48" s="7" t="s">
        <v>117</v>
      </c>
      <c r="BB48" s="7" t="s">
        <v>117</v>
      </c>
      <c r="BC48" s="7" t="s">
        <v>117</v>
      </c>
    </row>
    <row r="49" spans="1:55" ht="17.399999999999999" x14ac:dyDescent="0.25">
      <c r="A49" s="5" t="s">
        <v>128</v>
      </c>
      <c r="B49" s="11">
        <f t="shared" si="0"/>
        <v>193966.57</v>
      </c>
      <c r="C49" s="2">
        <v>0</v>
      </c>
      <c r="D49" s="2">
        <v>0</v>
      </c>
      <c r="E49" s="2">
        <f t="shared" si="9"/>
        <v>193966.57</v>
      </c>
      <c r="F49" s="2" t="str" cm="1">
        <f t="array" ref="F49">IFERROR(
病区折扣比例(
(
INDEX([3]Sheet1!$I:$I, MATCH(A49, [3]Sheet1!$B:$B, 0))
/
次均费用!C49
)
)
*INDEX([4]Sheet1!$AL:$AL, MATCH(A49, [4]Sheet1!$A:$A, 0))
* 积分!B48, "--")</f>
        <v>--</v>
      </c>
      <c r="G49" s="2">
        <f>IFERROR(INDEX([4]Sheet1!$AK:$AK, MATCH(A49, [4]Sheet1!$A:$A, 0)) * 积分!C48, "--")</f>
        <v>0</v>
      </c>
      <c r="H49" s="2">
        <f>IFERROR(INDEX([4]Sheet1!$AB:$AB, MATCH(A49, [4]Sheet1!$A:$A, 0)) * 积分!D48, "--")</f>
        <v>0</v>
      </c>
      <c r="I49" s="2">
        <f>IFERROR(INDEX([4]Sheet1!$AA:$AA, MATCH(A49, [4]Sheet1!$A:$A, 0)) * 积分!E48, "--")</f>
        <v>0</v>
      </c>
      <c r="J49" s="2">
        <f>IFERROR(INDEX([4]Sheet1!$Z:$Z, MATCH(A49, [4]Sheet1!$A:$A, 0)) * 积分!F48, "--")</f>
        <v>0</v>
      </c>
      <c r="K49" s="2">
        <f>IFERROR(INDEX([4]Sheet1!$Y:$Y, MATCH(A49, [4]Sheet1!$A:$A, 0)) * 积分!G48, "--")</f>
        <v>0</v>
      </c>
      <c r="L49" s="2" t="str" cm="1">
        <f t="array" ref="L49">IFERROR(
门诊折扣比例(
(
INDEX([5]Sheet1!$D:$D, MATCH(A49, [5]Sheet1!$B:$B, 0))
/
次均费用!B49
)
)
*INDEX([5]Sheet1!$C:$C, MATCH(A49, [5]Sheet1!$B:$B, 0))
* 积分!H48, "--")</f>
        <v>--</v>
      </c>
      <c r="M49" s="2" t="str">
        <f>IFERROR(INDEX([3]Sheet1!$C:$C, MATCH(A49, [3]Sheet1!$B:$B, 0)) * 积分!I48, "--")</f>
        <v>--</v>
      </c>
      <c r="N49" s="2" t="str">
        <f>IFERROR(INDEX([3]Sheet1!$D:$D, MATCH(A49, [3]Sheet1!$B:$B, 0)) * 积分!J48, "--")</f>
        <v>--</v>
      </c>
      <c r="O49" s="2" t="str">
        <f>IFERROR(INDEX([3]Sheet1!$E:$E, MATCH(A49, [3]Sheet1!$B:$B, 0)) * 积分!K48, "--")</f>
        <v>--</v>
      </c>
      <c r="P49" s="2" t="str">
        <f>IFERROR(INDEX([3]Sheet1!$F:$F, MATCH(A49, [3]Sheet1!$B:$B, 0)) * 积分!L48, "--")</f>
        <v>--</v>
      </c>
      <c r="Q49" s="2" t="str">
        <f>IFERROR(INDEX([3]Sheet1!$G:$G, MATCH(A49, [3]Sheet1!$B:$B, 0)) * 积分!M48, "--")</f>
        <v>--</v>
      </c>
      <c r="R49" s="2" t="str" cm="1">
        <f t="array" ref="R49">IFERROR(INDEX([6]Sheet1!$D:$D, MATCH(1, ([6]Sheet1!$B:$B=A49) * ([6]Sheet1!$C:$C="特级护理（临床）"), 0)) * 积分!AI48, "--")</f>
        <v>--</v>
      </c>
      <c r="S49" s="2" t="str" cm="1">
        <f t="array" ref="S49">IFERROR(INDEX([6]Sheet1!$D:$D, MATCH(1, ([6]Sheet1!$B:$B=A49) * ([6]Sheet1!$C:$C="重症监护（临床）"), 0)) * 积分!AJ48, "--")</f>
        <v>--</v>
      </c>
      <c r="T49" s="2" t="str" cm="1">
        <f t="array" ref="T49">IFERROR(INDEX([6]Sheet1!$D:$D, MATCH(1, ([6]Sheet1!$B:$B=A49) * ([6]Sheet1!$C:$C="Ⅰ级护理（临床）"), 0)) * 积分!AK48, "--")</f>
        <v>--</v>
      </c>
      <c r="U49" s="2" t="str" cm="1">
        <f t="array" ref="U49">IFERROR(INDEX([6]Sheet1!$D:$D, MATCH(1, ([6]Sheet1!$B:$B=A49) * ([6]Sheet1!$C:$C="Ⅱ级护理（临床）"), 0)) * 积分!AL48, "--")</f>
        <v>--</v>
      </c>
      <c r="V49" s="2" t="str" cm="1">
        <f t="array" ref="V49">IFERROR(INDEX([6]Sheet1!$D:$D, MATCH(1, ([6]Sheet1!$B:$B=A49) * ([6]Sheet1!$C:$C="护士中医适宜技术（临床）"), 0)) * 积分!AM48, "--")</f>
        <v>--</v>
      </c>
      <c r="W49" s="2" t="str">
        <f>IFERROR(INDEX([3]Sheet1!$H:$H, MATCH(A49, [3]Sheet1!$B:$B, 0)) * 积分!N48, "--")</f>
        <v>--</v>
      </c>
      <c r="X49" s="2" t="str">
        <f>IFERROR(INDEX([3]Sheet1!$J:$J, MATCH(A49, [3]Sheet1!$B:$B, 0)) * 积分!O48, "--")</f>
        <v>--</v>
      </c>
      <c r="Y49" s="2" cm="1">
        <f t="array" ref="Y49">IFERROR(INDEX([7]Sheet1!$D:$D, MATCH(1, ([7]Sheet1!$B:$B=A49) * ([7]Sheet1!$C:$C="单位系数"), 0)) * 积分!P49, "--")</f>
        <v>193427.06519999998</v>
      </c>
      <c r="Z49" s="2" cm="1">
        <f t="array" ref="Z49">IFERROR(INDEX([7]Sheet1!$D:$D, MATCH(1, ([7]Sheet1!$B:$B=A49) * ([7]Sheet1!$C:$C="多学科联合(MDT)门诊"), 0)) * 积分!Q48, "--")</f>
        <v>0</v>
      </c>
      <c r="AA49" s="2" t="str" cm="1">
        <f t="array" ref="AA49">IFERROR(INDEX([7]Sheet1!$D:$D, MATCH(1, ([7]Sheet1!$B:$B=A49) * ([7]Sheet1!$C:$C="核算金额"), 0)) * 积分!R49, "--")</f>
        <v>--</v>
      </c>
      <c r="AB49" s="2" t="str" cm="1">
        <f t="array" ref="AB49">IFERROR(INDEX([7]Sheet1!$D:$D, MATCH(1, ([7]Sheet1!$B:$B=A49) * ([7]Sheet1!$C:$C="单据"), 0))* 积分!BA49, "--")</f>
        <v>--</v>
      </c>
      <c r="AC49" s="2" t="str" cm="1">
        <f t="array" ref="AC49">IFERROR(INDEX([7]Sheet1!$D:$D, MATCH(1, ([7]Sheet1!$B:$B=A49) * ([7]Sheet1!$C:$C="特需门诊"), 0)) * 积分!S48, "--")</f>
        <v>--</v>
      </c>
      <c r="AD49" s="2" t="str" cm="1">
        <f t="array" ref="AD49">IFERROR(INDEX([7]Sheet1!$D:$D, MATCH(1, ([7]Sheet1!$B:$B=A49) * ([7]Sheet1!$C:$C="中医会诊"), 0)) * 积分!T48, "--")</f>
        <v>--</v>
      </c>
      <c r="AE49" s="2">
        <f>积分!U49*0</f>
        <v>0</v>
      </c>
      <c r="AF49" s="2">
        <f>--积分!V49</f>
        <v>0</v>
      </c>
      <c r="AG49" s="2">
        <f>0*积分!W49</f>
        <v>0</v>
      </c>
      <c r="AH49" s="2">
        <f>539.5*积分!X49</f>
        <v>539.5</v>
      </c>
      <c r="AI49" s="2">
        <f>IFERROR(INDEX([4]Sheet1!$AD:$AD, MATCH(A49, [4]Sheet1!$A:$A, 0)) * 积分!AA48, "--")</f>
        <v>0</v>
      </c>
      <c r="AJ49" s="2">
        <f>IFERROR(INDEX([4]Sheet1!$AC:$AC, MATCH(A49, [4]Sheet1!$A:$A, 0)) * 积分!AB48, "--")</f>
        <v>0</v>
      </c>
      <c r="AK49" s="2">
        <f>IFERROR(INDEX([4]Sheet1!$AE:$AE, MATCH(A49, [4]Sheet1!$A:$A, 0)) * 积分!AC48, "--")</f>
        <v>0</v>
      </c>
      <c r="AL49" s="2">
        <f>IFERROR(INDEX([4]Sheet1!$AF:$AF, MATCH(A49, [4]Sheet1!$A:$A, 0)) * 积分!AD48, "--")</f>
        <v>0</v>
      </c>
      <c r="AM49" s="2">
        <f>IFERROR(INDEX([4]Sheet1!$AG:$AG, MATCH(A49, [4]Sheet1!$A:$A, 0)) * 积分!AE48, "--")</f>
        <v>0</v>
      </c>
      <c r="AN49" s="2">
        <f>IFERROR(INDEX([4]Sheet1!$AH:$AH, MATCH(A49, [4]Sheet1!$A:$A, 0)) * 积分!AF48, "--")</f>
        <v>0</v>
      </c>
      <c r="AO49" s="2">
        <f>IFERROR(INDEX([4]Sheet1!$AI:$AI, MATCH(A49, [4]Sheet1!$A:$A, 0)) * 积分!AG48, "--")</f>
        <v>0</v>
      </c>
      <c r="AP49" s="2">
        <f>IFERROR(INDEX([4]Sheet1!$AJ:$AJ, MATCH(A49, [4]Sheet1!$A:$A, 0)) * 积分!AH48, "--")</f>
        <v>0</v>
      </c>
      <c r="AQ49" s="2">
        <v>0</v>
      </c>
      <c r="AR49" s="2">
        <v>0</v>
      </c>
      <c r="AS49" s="12" t="s">
        <v>117</v>
      </c>
      <c r="AT49" s="12" t="s">
        <v>117</v>
      </c>
      <c r="AU49" s="12" t="s">
        <v>117</v>
      </c>
      <c r="AV49" s="12" t="s">
        <v>117</v>
      </c>
      <c r="AW49" s="12" t="s">
        <v>117</v>
      </c>
      <c r="AX49" s="12" t="s">
        <v>117</v>
      </c>
      <c r="AY49" s="12" t="s">
        <v>117</v>
      </c>
      <c r="AZ49" s="12" t="s">
        <v>117</v>
      </c>
      <c r="BA49" s="12" t="s">
        <v>117</v>
      </c>
      <c r="BB49" s="12" t="s">
        <v>117</v>
      </c>
      <c r="BC49" s="12" t="s">
        <v>117</v>
      </c>
    </row>
    <row r="50" spans="1:55" ht="17.399999999999999" x14ac:dyDescent="0.25">
      <c r="A50" s="8" t="s">
        <v>123</v>
      </c>
      <c r="B50" s="4">
        <f t="shared" si="0"/>
        <v>64307.92</v>
      </c>
      <c r="C50" s="4">
        <v>0</v>
      </c>
      <c r="D50" s="4">
        <v>0</v>
      </c>
      <c r="E50" s="4">
        <f t="shared" si="9"/>
        <v>64307.92</v>
      </c>
      <c r="F50" s="4" t="str" cm="1">
        <f t="array" ref="F50">IFERROR(
病区折扣比例(
(
INDEX([3]Sheet1!$I:$I, MATCH(A50, [3]Sheet1!$B:$B, 0))
/
次均费用!C50
)
)
*INDEX([4]Sheet1!$AL:$AL, MATCH(A50, [4]Sheet1!$A:$A, 0))
* 积分!B49, "--")</f>
        <v>--</v>
      </c>
      <c r="G50" s="4">
        <f>IFERROR(INDEX([4]Sheet1!$AK:$AK, MATCH(A50, [4]Sheet1!$A:$A, 0)) * 积分!C49, "--")</f>
        <v>0</v>
      </c>
      <c r="H50" s="4">
        <f>IFERROR(INDEX([4]Sheet1!$AB:$AB, MATCH(A50, [4]Sheet1!$A:$A, 0)) * 积分!D49, "--")</f>
        <v>0</v>
      </c>
      <c r="I50" s="4">
        <f>IFERROR(INDEX([4]Sheet1!$AA:$AA, MATCH(A50, [4]Sheet1!$A:$A, 0)) * 积分!E49, "--")</f>
        <v>0</v>
      </c>
      <c r="J50" s="4">
        <f>IFERROR(INDEX([4]Sheet1!$Z:$Z, MATCH(A50, [4]Sheet1!$A:$A, 0)) * 积分!F49, "--")</f>
        <v>0</v>
      </c>
      <c r="K50" s="4">
        <f>IFERROR(INDEX([4]Sheet1!$Y:$Y, MATCH(A50, [4]Sheet1!$A:$A, 0)) * 积分!G49, "--")</f>
        <v>0</v>
      </c>
      <c r="L50" s="4" t="str" cm="1">
        <f t="array" ref="L50">IFERROR(
门诊折扣比例(
(
INDEX([5]Sheet1!$D:$D, MATCH(A50, [5]Sheet1!$B:$B, 0))
/
次均费用!B50
)
)
*INDEX([5]Sheet1!$C:$C, MATCH(A50, [5]Sheet1!$B:$B, 0))
* 积分!H49, "--")</f>
        <v>--</v>
      </c>
      <c r="M50" s="4" t="str">
        <f>IFERROR(INDEX([3]Sheet1!$C:$C, MATCH(A50, [3]Sheet1!$B:$B, 0)) * 积分!I49, "--")</f>
        <v>--</v>
      </c>
      <c r="N50" s="4" t="str">
        <f>IFERROR(INDEX([3]Sheet1!$D:$D, MATCH(A50, [3]Sheet1!$B:$B, 0)) * 积分!J49, "--")</f>
        <v>--</v>
      </c>
      <c r="O50" s="4" t="str">
        <f>IFERROR(INDEX([3]Sheet1!$E:$E, MATCH(A50, [3]Sheet1!$B:$B, 0)) * 积分!K49, "--")</f>
        <v>--</v>
      </c>
      <c r="P50" s="4" t="str">
        <f>IFERROR(INDEX([3]Sheet1!$F:$F, MATCH(A50, [3]Sheet1!$B:$B, 0)) * 积分!L49, "--")</f>
        <v>--</v>
      </c>
      <c r="Q50" s="4" t="str">
        <f>IFERROR(INDEX([3]Sheet1!$G:$G, MATCH(A50, [3]Sheet1!$B:$B, 0)) * 积分!M49, "--")</f>
        <v>--</v>
      </c>
      <c r="R50" s="4" t="str" cm="1">
        <f t="array" ref="R50">IFERROR(INDEX([6]Sheet1!$D:$D, MATCH(1, ([6]Sheet1!$B:$B=A50) * ([6]Sheet1!$C:$C="特级护理（临床）"), 0)) * 积分!AI49, "--")</f>
        <v>--</v>
      </c>
      <c r="S50" s="4" t="str" cm="1">
        <f t="array" ref="S50">IFERROR(INDEX([6]Sheet1!$D:$D, MATCH(1, ([6]Sheet1!$B:$B=A50) * ([6]Sheet1!$C:$C="重症监护（临床）"), 0)) * 积分!AJ49, "--")</f>
        <v>--</v>
      </c>
      <c r="T50" s="4" t="str" cm="1">
        <f t="array" ref="T50">IFERROR(INDEX([6]Sheet1!$D:$D, MATCH(1, ([6]Sheet1!$B:$B=A50) * ([6]Sheet1!$C:$C="Ⅰ级护理（临床）"), 0)) * 积分!AK49, "--")</f>
        <v>--</v>
      </c>
      <c r="U50" s="4" t="str" cm="1">
        <f t="array" ref="U50">IFERROR(INDEX([6]Sheet1!$D:$D, MATCH(1, ([6]Sheet1!$B:$B=A50) * ([6]Sheet1!$C:$C="Ⅱ级护理（临床）"), 0)) * 积分!AL49, "--")</f>
        <v>--</v>
      </c>
      <c r="V50" s="4" t="str" cm="1">
        <f t="array" ref="V50">IFERROR(INDEX([6]Sheet1!$D:$D, MATCH(1, ([6]Sheet1!$B:$B=A50) * ([6]Sheet1!$C:$C="护士中医适宜技术（临床）"), 0)) * 积分!AM49, "--")</f>
        <v>--</v>
      </c>
      <c r="W50" s="4" t="str">
        <f>IFERROR(INDEX([3]Sheet1!$H:$H, MATCH(A50, [3]Sheet1!$B:$B, 0)) * 积分!N49, "--")</f>
        <v>--</v>
      </c>
      <c r="X50" s="4" t="str">
        <f>IFERROR(INDEX([3]Sheet1!$J:$J, MATCH(A50, [3]Sheet1!$B:$B, 0)) * 积分!O49, "--")</f>
        <v>--</v>
      </c>
      <c r="Y50" s="4" cm="1">
        <f t="array" ref="Y50">IFERROR(INDEX([7]Sheet1!$D:$D, MATCH(1, ([7]Sheet1!$B:$B=A50) * ([7]Sheet1!$C:$C="单位系数"), 0)) * 积分!P50, "--")</f>
        <v>63749.572</v>
      </c>
      <c r="Z50" s="4" cm="1">
        <f t="array" ref="Z50">IFERROR(INDEX([7]Sheet1!$D:$D, MATCH(1, ([7]Sheet1!$B:$B=A50) * ([7]Sheet1!$C:$C="多学科联合(MDT)门诊"), 0)) * 积分!Q49, "--")</f>
        <v>0</v>
      </c>
      <c r="AA50" s="4" t="str" cm="1">
        <f t="array" ref="AA50">IFERROR(INDEX([7]Sheet1!$D:$D, MATCH(1, ([7]Sheet1!$B:$B=A50) * ([7]Sheet1!$C:$C="核算金额"), 0)) * 积分!R50, "--")</f>
        <v>--</v>
      </c>
      <c r="AB50" s="4" t="str" cm="1">
        <f t="array" ref="AB50">IFERROR(INDEX([7]Sheet1!$D:$D, MATCH(1, ([7]Sheet1!$B:$B=A50) * ([7]Sheet1!$C:$C="单据"), 0))* 积分!BA50, "--")</f>
        <v>--</v>
      </c>
      <c r="AC50" s="4" t="str" cm="1">
        <f t="array" ref="AC50">IFERROR(INDEX([7]Sheet1!$D:$D, MATCH(1, ([7]Sheet1!$B:$B=A50) * ([7]Sheet1!$C:$C="特需门诊"), 0)) * 积分!S49, "--")</f>
        <v>--</v>
      </c>
      <c r="AD50" s="4" t="str" cm="1">
        <f t="array" ref="AD50">IFERROR(INDEX([7]Sheet1!$D:$D, MATCH(1, ([7]Sheet1!$B:$B=A50) * ([7]Sheet1!$C:$C="中医会诊"), 0)) * 积分!T49, "--")</f>
        <v>--</v>
      </c>
      <c r="AE50" s="4">
        <f>积分!U50*0</f>
        <v>0</v>
      </c>
      <c r="AF50" s="4">
        <f>--积分!V50</f>
        <v>0</v>
      </c>
      <c r="AG50" s="4">
        <f>0*积分!W50</f>
        <v>0</v>
      </c>
      <c r="AH50" s="4">
        <f>558.35*积分!X50</f>
        <v>558.35</v>
      </c>
      <c r="AI50" s="4">
        <f>IFERROR(INDEX([4]Sheet1!$AD:$AD, MATCH(A50, [4]Sheet1!$A:$A, 0)) * 积分!AA49, "--")</f>
        <v>0</v>
      </c>
      <c r="AJ50" s="4">
        <f>IFERROR(INDEX([4]Sheet1!$AC:$AC, MATCH(A50, [4]Sheet1!$A:$A, 0)) * 积分!AB49, "--")</f>
        <v>0</v>
      </c>
      <c r="AK50" s="4">
        <f>IFERROR(INDEX([4]Sheet1!$AE:$AE, MATCH(A50, [4]Sheet1!$A:$A, 0)) * 积分!AC49, "--")</f>
        <v>0</v>
      </c>
      <c r="AL50" s="4">
        <f>IFERROR(INDEX([4]Sheet1!$AF:$AF, MATCH(A50, [4]Sheet1!$A:$A, 0)) * 积分!AD49, "--")</f>
        <v>0</v>
      </c>
      <c r="AM50" s="4">
        <f>IFERROR(INDEX([4]Sheet1!$AG:$AG, MATCH(A50, [4]Sheet1!$A:$A, 0)) * 积分!AE49, "--")</f>
        <v>0</v>
      </c>
      <c r="AN50" s="4">
        <f>IFERROR(INDEX([4]Sheet1!$AH:$AH, MATCH(A50, [4]Sheet1!$A:$A, 0)) * 积分!AF49, "--")</f>
        <v>0</v>
      </c>
      <c r="AO50" s="4">
        <f>IFERROR(INDEX([4]Sheet1!$AI:$AI, MATCH(A50, [4]Sheet1!$A:$A, 0)) * 积分!AG49, "--")</f>
        <v>0</v>
      </c>
      <c r="AP50" s="4">
        <f>IFERROR(INDEX([4]Sheet1!$AJ:$AJ, MATCH(A50, [4]Sheet1!$A:$A, 0)) * 积分!AH49, "--")</f>
        <v>0</v>
      </c>
      <c r="AQ50" s="4">
        <v>0</v>
      </c>
      <c r="AR50" s="4">
        <v>0</v>
      </c>
      <c r="AS50" s="7" t="s">
        <v>117</v>
      </c>
      <c r="AT50" s="7" t="s">
        <v>117</v>
      </c>
      <c r="AU50" s="7" t="s">
        <v>117</v>
      </c>
      <c r="AV50" s="7" t="s">
        <v>117</v>
      </c>
      <c r="AW50" s="7" t="s">
        <v>117</v>
      </c>
      <c r="AX50" s="7" t="s">
        <v>117</v>
      </c>
      <c r="AY50" s="7" t="s">
        <v>117</v>
      </c>
      <c r="AZ50" s="7" t="s">
        <v>117</v>
      </c>
      <c r="BA50" s="7" t="s">
        <v>117</v>
      </c>
      <c r="BB50" s="7" t="s">
        <v>117</v>
      </c>
      <c r="BC50" s="7" t="s">
        <v>117</v>
      </c>
    </row>
    <row r="51" spans="1:55" ht="17.399999999999999" x14ac:dyDescent="0.25">
      <c r="A51" s="5" t="s">
        <v>129</v>
      </c>
      <c r="B51" s="11">
        <f t="shared" si="0"/>
        <v>60702.21</v>
      </c>
      <c r="C51" s="2">
        <v>0</v>
      </c>
      <c r="D51" s="2">
        <v>0</v>
      </c>
      <c r="E51" s="2">
        <f t="shared" si="9"/>
        <v>60702.21</v>
      </c>
      <c r="F51" s="2" t="str" cm="1">
        <f t="array" ref="F51">IFERROR(
病区折扣比例(
(
INDEX([3]Sheet1!$I:$I, MATCH(A51, [3]Sheet1!$B:$B, 0))
/
次均费用!C51
)
)
*INDEX([4]Sheet1!$AL:$AL, MATCH(A51, [4]Sheet1!$A:$A, 0))
* 积分!B50, "--")</f>
        <v>--</v>
      </c>
      <c r="G51" s="2" t="str">
        <f>IFERROR(INDEX([4]Sheet1!$AK:$AK, MATCH(A51, [4]Sheet1!$A:$A, 0)) * 积分!C50, "--")</f>
        <v>--</v>
      </c>
      <c r="H51" s="2" t="str">
        <f>IFERROR(INDEX([4]Sheet1!$AB:$AB, MATCH(A51, [4]Sheet1!$A:$A, 0)) * 积分!D50, "--")</f>
        <v>--</v>
      </c>
      <c r="I51" s="2" t="str">
        <f>IFERROR(INDEX([4]Sheet1!$AA:$AA, MATCH(A51, [4]Sheet1!$A:$A, 0)) * 积分!E50, "--")</f>
        <v>--</v>
      </c>
      <c r="J51" s="2" t="str">
        <f>IFERROR(INDEX([4]Sheet1!$Z:$Z, MATCH(A51, [4]Sheet1!$A:$A, 0)) * 积分!F50, "--")</f>
        <v>--</v>
      </c>
      <c r="K51" s="2" t="str">
        <f>IFERROR(INDEX([4]Sheet1!$Y:$Y, MATCH(A51, [4]Sheet1!$A:$A, 0)) * 积分!G50, "--")</f>
        <v>--</v>
      </c>
      <c r="L51" s="2" t="str" cm="1">
        <f t="array" ref="L51">IFERROR(
门诊折扣比例(
(
INDEX([5]Sheet1!$D:$D, MATCH(A51, [5]Sheet1!$B:$B, 0))
/
次均费用!B51
)
)
*INDEX([5]Sheet1!$C:$C, MATCH(A51, [5]Sheet1!$B:$B, 0))
* 积分!H50, "--")</f>
        <v>--</v>
      </c>
      <c r="M51" s="2" t="str">
        <f>IFERROR(INDEX([3]Sheet1!$C:$C, MATCH(A51, [3]Sheet1!$B:$B, 0)) * 积分!I50, "--")</f>
        <v>--</v>
      </c>
      <c r="N51" s="2" t="str">
        <f>IFERROR(INDEX([3]Sheet1!$D:$D, MATCH(A51, [3]Sheet1!$B:$B, 0)) * 积分!J50, "--")</f>
        <v>--</v>
      </c>
      <c r="O51" s="2" t="str">
        <f>IFERROR(INDEX([3]Sheet1!$E:$E, MATCH(A51, [3]Sheet1!$B:$B, 0)) * 积分!K50, "--")</f>
        <v>--</v>
      </c>
      <c r="P51" s="2" t="str">
        <f>IFERROR(INDEX([3]Sheet1!$F:$F, MATCH(A51, [3]Sheet1!$B:$B, 0)) * 积分!L50, "--")</f>
        <v>--</v>
      </c>
      <c r="Q51" s="2" t="str">
        <f>IFERROR(INDEX([3]Sheet1!$G:$G, MATCH(A51, [3]Sheet1!$B:$B, 0)) * 积分!M50, "--")</f>
        <v>--</v>
      </c>
      <c r="R51" s="2" t="str" cm="1">
        <f t="array" ref="R51">IFERROR(INDEX([6]Sheet1!$D:$D, MATCH(1, ([6]Sheet1!$B:$B=A51) * ([6]Sheet1!$C:$C="特级护理（临床）"), 0)) * 积分!AI50, "--")</f>
        <v>--</v>
      </c>
      <c r="S51" s="2" t="str" cm="1">
        <f t="array" ref="S51">IFERROR(INDEX([6]Sheet1!$D:$D, MATCH(1, ([6]Sheet1!$B:$B=A51) * ([6]Sheet1!$C:$C="重症监护（临床）"), 0)) * 积分!AJ50, "--")</f>
        <v>--</v>
      </c>
      <c r="T51" s="2" t="str" cm="1">
        <f t="array" ref="T51">IFERROR(INDEX([6]Sheet1!$D:$D, MATCH(1, ([6]Sheet1!$B:$B=A51) * ([6]Sheet1!$C:$C="Ⅰ级护理（临床）"), 0)) * 积分!AK50, "--")</f>
        <v>--</v>
      </c>
      <c r="U51" s="2" t="str" cm="1">
        <f t="array" ref="U51">IFERROR(INDEX([6]Sheet1!$D:$D, MATCH(1, ([6]Sheet1!$B:$B=A51) * ([6]Sheet1!$C:$C="Ⅱ级护理（临床）"), 0)) * 积分!AL50, "--")</f>
        <v>--</v>
      </c>
      <c r="V51" s="2" t="str" cm="1">
        <f t="array" ref="V51">IFERROR(INDEX([6]Sheet1!$D:$D, MATCH(1, ([6]Sheet1!$B:$B=A51) * ([6]Sheet1!$C:$C="护士中医适宜技术（临床）"), 0)) * 积分!AM50, "--")</f>
        <v>--</v>
      </c>
      <c r="W51" s="2" t="str">
        <f>IFERROR(INDEX([3]Sheet1!$H:$H, MATCH(A51, [3]Sheet1!$B:$B, 0)) * 积分!N50, "--")</f>
        <v>--</v>
      </c>
      <c r="X51" s="2" t="str">
        <f>IFERROR(INDEX([3]Sheet1!$J:$J, MATCH(A51, [3]Sheet1!$B:$B, 0)) * 积分!O50, "--")</f>
        <v>--</v>
      </c>
      <c r="Y51" s="2" cm="1">
        <f t="array" ref="Y51">IFERROR(INDEX([7]Sheet1!$D:$D, MATCH(1, ([7]Sheet1!$B:$B=A51) * ([7]Sheet1!$C:$C="单位系数"), 0)) * 积分!P51, "--")</f>
        <v>60184.520000000004</v>
      </c>
      <c r="Z51" s="2" cm="1">
        <f t="array" ref="Z51">IFERROR(INDEX([7]Sheet1!$D:$D, MATCH(1, ([7]Sheet1!$B:$B=A51) * ([7]Sheet1!$C:$C="多学科联合(MDT)门诊"), 0)) * 积分!Q50, "--")</f>
        <v>0</v>
      </c>
      <c r="AA51" s="2" t="str" cm="1">
        <f t="array" ref="AA51">IFERROR(INDEX([7]Sheet1!$D:$D, MATCH(1, ([7]Sheet1!$B:$B=A51) * ([7]Sheet1!$C:$C="核算金额"), 0)) * 积分!R51, "--")</f>
        <v>--</v>
      </c>
      <c r="AB51" s="2" t="str" cm="1">
        <f t="array" ref="AB51">IFERROR(INDEX([7]Sheet1!$D:$D, MATCH(1, ([7]Sheet1!$B:$B=A51) * ([7]Sheet1!$C:$C="单据"), 0))* 积分!BA51, "--")</f>
        <v>--</v>
      </c>
      <c r="AC51" s="2" t="str" cm="1">
        <f t="array" ref="AC51">IFERROR(INDEX([7]Sheet1!$D:$D, MATCH(1, ([7]Sheet1!$B:$B=A51) * ([7]Sheet1!$C:$C="特需门诊"), 0)) * 积分!S50, "--")</f>
        <v>--</v>
      </c>
      <c r="AD51" s="2" t="str" cm="1">
        <f t="array" ref="AD51">IFERROR(INDEX([7]Sheet1!$D:$D, MATCH(1, ([7]Sheet1!$B:$B=A51) * ([7]Sheet1!$C:$C="中医会诊"), 0)) * 积分!T50, "--")</f>
        <v>--</v>
      </c>
      <c r="AE51" s="2">
        <f>积分!U51*0</f>
        <v>0</v>
      </c>
      <c r="AF51" s="2">
        <f>--积分!V51</f>
        <v>0</v>
      </c>
      <c r="AG51" s="2">
        <f>0*积分!W51</f>
        <v>0</v>
      </c>
      <c r="AH51" s="2">
        <f>517.69*积分!X51</f>
        <v>517.69000000000005</v>
      </c>
      <c r="AI51" s="2" t="str">
        <f>IFERROR(INDEX([4]Sheet1!$AD:$AD, MATCH(A51, [4]Sheet1!$A:$A, 0)) * 积分!AA50, "--")</f>
        <v>--</v>
      </c>
      <c r="AJ51" s="2" t="str">
        <f>IFERROR(INDEX([4]Sheet1!$AC:$AC, MATCH(A51, [4]Sheet1!$A:$A, 0)) * 积分!AB50, "--")</f>
        <v>--</v>
      </c>
      <c r="AK51" s="2" t="str">
        <f>IFERROR(INDEX([4]Sheet1!$AE:$AE, MATCH(A51, [4]Sheet1!$A:$A, 0)) * 积分!AC50, "--")</f>
        <v>--</v>
      </c>
      <c r="AL51" s="2" t="str">
        <f>IFERROR(INDEX([4]Sheet1!$AF:$AF, MATCH(A51, [4]Sheet1!$A:$A, 0)) * 积分!AD50, "--")</f>
        <v>--</v>
      </c>
      <c r="AM51" s="2" t="str">
        <f>IFERROR(INDEX([4]Sheet1!$AG:$AG, MATCH(A51, [4]Sheet1!$A:$A, 0)) * 积分!AE50, "--")</f>
        <v>--</v>
      </c>
      <c r="AN51" s="2" t="str">
        <f>IFERROR(INDEX([4]Sheet1!$AH:$AH, MATCH(A51, [4]Sheet1!$A:$A, 0)) * 积分!AF50, "--")</f>
        <v>--</v>
      </c>
      <c r="AO51" s="2" t="str">
        <f>IFERROR(INDEX([4]Sheet1!$AI:$AI, MATCH(A51, [4]Sheet1!$A:$A, 0)) * 积分!AG50, "--")</f>
        <v>--</v>
      </c>
      <c r="AP51" s="2" t="str">
        <f>IFERROR(INDEX([4]Sheet1!$AJ:$AJ, MATCH(A51, [4]Sheet1!$A:$A, 0)) * 积分!AH50, "--")</f>
        <v>--</v>
      </c>
      <c r="AQ51" s="2">
        <v>0</v>
      </c>
      <c r="AR51" s="2">
        <v>0</v>
      </c>
      <c r="AS51" s="12" t="s">
        <v>117</v>
      </c>
      <c r="AT51" s="12" t="s">
        <v>117</v>
      </c>
      <c r="AU51" s="12" t="s">
        <v>117</v>
      </c>
      <c r="AV51" s="12" t="s">
        <v>117</v>
      </c>
      <c r="AW51" s="12" t="s">
        <v>117</v>
      </c>
      <c r="AX51" s="12" t="s">
        <v>117</v>
      </c>
      <c r="AY51" s="12" t="s">
        <v>117</v>
      </c>
      <c r="AZ51" s="12" t="s">
        <v>117</v>
      </c>
      <c r="BA51" s="12" t="s">
        <v>117</v>
      </c>
      <c r="BB51" s="12" t="s">
        <v>117</v>
      </c>
      <c r="BC51" s="12" t="s">
        <v>117</v>
      </c>
    </row>
    <row r="52" spans="1:55" ht="17.399999999999999" x14ac:dyDescent="0.25">
      <c r="A52" s="8" t="s">
        <v>141</v>
      </c>
      <c r="B52" s="4">
        <f>ROUND(AK52+AL52+AM52+AN52+AO52+AP52+AS52 + AT52 + AU52 + AV52 + AW52 + AX52 + AY52 + AZ52 + BA52 + BB52 + BC52,3)</f>
        <v>127268.289</v>
      </c>
      <c r="C52" s="4">
        <v>0</v>
      </c>
      <c r="D52" s="4">
        <v>0</v>
      </c>
      <c r="E52" s="4">
        <v>0</v>
      </c>
      <c r="F52" s="7" t="s">
        <v>117</v>
      </c>
      <c r="G52" s="7" t="s">
        <v>117</v>
      </c>
      <c r="H52" s="7" t="s">
        <v>117</v>
      </c>
      <c r="I52" s="7" t="s">
        <v>117</v>
      </c>
      <c r="J52" s="7" t="s">
        <v>117</v>
      </c>
      <c r="K52" s="7" t="s">
        <v>117</v>
      </c>
      <c r="L52" s="7" t="s">
        <v>117</v>
      </c>
      <c r="M52" s="7" t="s">
        <v>117</v>
      </c>
      <c r="N52" s="7" t="s">
        <v>117</v>
      </c>
      <c r="O52" s="7" t="s">
        <v>117</v>
      </c>
      <c r="P52" s="7" t="s">
        <v>117</v>
      </c>
      <c r="Q52" s="7" t="s">
        <v>117</v>
      </c>
      <c r="R52" s="7" t="s">
        <v>117</v>
      </c>
      <c r="S52" s="7" t="s">
        <v>117</v>
      </c>
      <c r="T52" s="7" t="s">
        <v>117</v>
      </c>
      <c r="U52" s="7" t="s">
        <v>117</v>
      </c>
      <c r="V52" s="7" t="s">
        <v>117</v>
      </c>
      <c r="W52" s="7" t="s">
        <v>117</v>
      </c>
      <c r="X52" s="7" t="s">
        <v>117</v>
      </c>
      <c r="Y52" s="4" t="str" cm="1">
        <f t="array" ref="Y52">IFERROR(INDEX([7]Sheet1!$D:$D, MATCH(1, ([7]Sheet1!$B:$B=A52) * ([7]Sheet1!$C:$C="单位系数"), 0)) * 积分!P52, "--")</f>
        <v>--</v>
      </c>
      <c r="Z52" s="7" t="s">
        <v>117</v>
      </c>
      <c r="AA52" s="4" t="str" cm="1">
        <f t="array" ref="AA52">IFERROR(INDEX([7]Sheet1!$D:$D, MATCH(1, ([7]Sheet1!$B:$B=A52) * ([7]Sheet1!$C:$C="核算金额"), 0)) * 积分!R52, "--")</f>
        <v>--</v>
      </c>
      <c r="AB52" s="4" t="str" cm="1">
        <f t="array" ref="AB52">IFERROR(INDEX([7]Sheet1!$D:$D, MATCH(1, ([7]Sheet1!$B:$B=A52) * ([7]Sheet1!$C:$C="单据"), 0))* 积分!BA52, "--")</f>
        <v>--</v>
      </c>
      <c r="AC52" s="7" t="s">
        <v>117</v>
      </c>
      <c r="AD52" s="7" t="s">
        <v>117</v>
      </c>
      <c r="AE52" s="7" t="s">
        <v>117</v>
      </c>
      <c r="AF52" s="7" t="s">
        <v>117</v>
      </c>
      <c r="AG52" s="7" t="s">
        <v>117</v>
      </c>
      <c r="AH52" s="7" t="s">
        <v>117</v>
      </c>
      <c r="AI52" s="7" t="s">
        <v>117</v>
      </c>
      <c r="AJ52" s="7" t="s">
        <v>117</v>
      </c>
      <c r="AK52" s="7">
        <f>IFERROR(INDEX([4]Sheet1!$AE:$AE, MATCH(A52,[4]Sheet1!$AN:$AN, 0)) * 积分!AC52*'系数（护理）'!M3, "--")</f>
        <v>235.56</v>
      </c>
      <c r="AL52" s="7">
        <f>IFERROR(INDEX([4]Sheet1!$AF:$AF, MATCH(A52,[4]Sheet1!$AN:$AN, 0)) * 积分!AD52*'系数（护理）'!N3, "--")</f>
        <v>4337.4799999999996</v>
      </c>
      <c r="AM52" s="7">
        <f>IFERROR(INDEX([4]Sheet1!$AG:$AG, MATCH(A52,[4]Sheet1!$AN:$AN, 0)) * 积分!AE52*'系数（护理）'!O3, "--")</f>
        <v>0</v>
      </c>
      <c r="AN52" s="7">
        <f>IFERROR(INDEX([4]Sheet1!$AH:$AH, MATCH(A52,[4]Sheet1!$AN:$AN, 0)) * 积分!AF52*'系数（护理）'!P3, "--")</f>
        <v>0</v>
      </c>
      <c r="AO52" s="7">
        <f>IFERROR(INDEX([4]Sheet1!$AI:$AI, MATCH(A52,[4]Sheet1!$AN:$AN, 0)) * 积分!AG52*'系数（护理）'!Q3, "--")</f>
        <v>0</v>
      </c>
      <c r="AP52" s="7">
        <f>IFERROR(INDEX([4]Sheet1!$AJ:$AJ, MATCH(A52,[4]Sheet1!$AN:$AN, 0)) * 积分!AH52*'系数（护理）'!R3, "--")</f>
        <v>0</v>
      </c>
      <c r="AQ52" s="7" t="s">
        <v>117</v>
      </c>
      <c r="AR52" s="7" t="s">
        <v>117</v>
      </c>
      <c r="AS52" s="7">
        <f>IFERROR(INDEX([4]Sheet1!$Y:$Y, MATCH(A52,[4]Sheet1!$AN:$AN, 0)) * 积分!AP52*'系数（护理）'!K3, "--")</f>
        <v>0</v>
      </c>
      <c r="AT52" s="4">
        <v>-3588.76</v>
      </c>
      <c r="AU52" s="4">
        <f>IFERROR(INDEX([4]Sheet1!$AL:$AL, MATCH(A52,[4]Sheet1!$AN:$AN, 0)) * 积分!AR52*'系数（护理）'!I3, "--")</f>
        <v>71709.3</v>
      </c>
      <c r="AV52" s="4">
        <f>IFERROR(INDEX([9]Sheet1!$H:$H, MATCH(A52,[9]Sheet1!$B:$B, 0)) * 积分!AS52*'系数（护理）'!H3, "--")</f>
        <v>0</v>
      </c>
      <c r="AW52" s="4">
        <f>IFERROR(INDEX([4]Sheet1!$AK:$AK, MATCH(A52,[4]Sheet1!$AN:$AN, 0)) * 积分!AT52*'系数（护理）'!G3, "--")</f>
        <v>500</v>
      </c>
      <c r="AX52" s="4">
        <f>IFERROR(INDEX([9]Sheet1!$G:$G, MATCH(A52,[9]Sheet1!$B:$B, 0)) * 积分!AU52*'系数（护理）'!F3, "--")</f>
        <v>21276</v>
      </c>
      <c r="AY52" s="4">
        <f>IFERROR(INDEX([9]Sheet1!$F:$F, MATCH(A52,[9]Sheet1!$B:$B, 0)) * 积分!AV52*'系数（护理）'!E3, "--")</f>
        <v>8944</v>
      </c>
      <c r="AZ52" s="4">
        <f>IFERROR(INDEX([9]Sheet1!$E:$E, MATCH(A52,[9]Sheet1!$B:$B, 0)) * 积分!AW52*'系数（护理）'!D3, "--")</f>
        <v>638</v>
      </c>
      <c r="BA52" s="4">
        <f>IFERROR(INDEX([9]Sheet1!$C:$C, MATCH(A52,[9]Sheet1!$B:$B, 0)) * 积分!AX52*'系数（护理）'!C3, "--")</f>
        <v>0</v>
      </c>
      <c r="BB52" s="4">
        <f>IFERROR(INDEX([9]Sheet1!$D:$D, MATCH(A52,[9]Sheet1!$B:$B, 0)) * 积分!AY52*'系数（护理）'!B3, "--")</f>
        <v>0</v>
      </c>
      <c r="BC52" s="4">
        <f>IFERROR(INDEX([9]Sheet1!$I:$I, MATCH(A52,[9]Sheet1!$B:$B, 0)) * 积分!AZ52 * '系数（护理）'!L3, "--")</f>
        <v>23216.709439999999</v>
      </c>
    </row>
    <row r="53" spans="1:55" ht="17.399999999999999" x14ac:dyDescent="0.25">
      <c r="A53" s="5" t="s">
        <v>169</v>
      </c>
      <c r="B53" s="2">
        <f t="shared" ref="B53:B71" si="10">ROUND(AK53+AL53+AM53+AN53+AO53+AP53+AS53 + AT53 + AU53 + AV53 + AW53 + AX53 + AY53 + AZ53 + BA53 + BB53 + BC53,3)</f>
        <v>130369.886</v>
      </c>
      <c r="C53" s="2">
        <v>0</v>
      </c>
      <c r="D53" s="2">
        <v>0</v>
      </c>
      <c r="E53" s="2">
        <v>0</v>
      </c>
      <c r="F53" s="12" t="s">
        <v>117</v>
      </c>
      <c r="G53" s="12" t="s">
        <v>117</v>
      </c>
      <c r="H53" s="12" t="s">
        <v>117</v>
      </c>
      <c r="I53" s="12" t="s">
        <v>117</v>
      </c>
      <c r="J53" s="12" t="s">
        <v>117</v>
      </c>
      <c r="K53" s="12" t="s">
        <v>117</v>
      </c>
      <c r="L53" s="12" t="s">
        <v>117</v>
      </c>
      <c r="M53" s="12" t="s">
        <v>117</v>
      </c>
      <c r="N53" s="12" t="s">
        <v>117</v>
      </c>
      <c r="O53" s="12" t="s">
        <v>117</v>
      </c>
      <c r="P53" s="12" t="s">
        <v>117</v>
      </c>
      <c r="Q53" s="12" t="s">
        <v>117</v>
      </c>
      <c r="R53" s="12" t="s">
        <v>117</v>
      </c>
      <c r="S53" s="12" t="s">
        <v>117</v>
      </c>
      <c r="T53" s="12" t="s">
        <v>117</v>
      </c>
      <c r="U53" s="12" t="s">
        <v>117</v>
      </c>
      <c r="V53" s="12" t="s">
        <v>117</v>
      </c>
      <c r="W53" s="12" t="s">
        <v>117</v>
      </c>
      <c r="X53" s="12" t="s">
        <v>117</v>
      </c>
      <c r="Y53" s="2" t="str" cm="1">
        <f t="array" ref="Y53">IFERROR(INDEX([7]Sheet1!$D:$D, MATCH(1, ([7]Sheet1!$B:$B=A53) * ([7]Sheet1!$C:$C="单位系数"), 0)) * 积分!P53, "--")</f>
        <v>--</v>
      </c>
      <c r="Z53" s="12" t="s">
        <v>117</v>
      </c>
      <c r="AA53" s="2" t="str" cm="1">
        <f t="array" ref="AA53">IFERROR(INDEX([7]Sheet1!$D:$D, MATCH(1, ([7]Sheet1!$B:$B=A53) * ([7]Sheet1!$C:$C="核算金额"), 0)) * 积分!R53, "--")</f>
        <v>--</v>
      </c>
      <c r="AB53" s="2" t="str" cm="1">
        <f t="array" ref="AB53">IFERROR(INDEX([7]Sheet1!$D:$D, MATCH(1, ([7]Sheet1!$B:$B=A53) * ([7]Sheet1!$C:$C="单据"), 0))* 积分!BA53, "--")</f>
        <v>--</v>
      </c>
      <c r="AC53" s="12" t="s">
        <v>117</v>
      </c>
      <c r="AD53" s="12" t="s">
        <v>117</v>
      </c>
      <c r="AE53" s="12" t="s">
        <v>117</v>
      </c>
      <c r="AF53" s="12" t="s">
        <v>117</v>
      </c>
      <c r="AG53" s="12" t="s">
        <v>117</v>
      </c>
      <c r="AH53" s="12" t="s">
        <v>117</v>
      </c>
      <c r="AI53" s="12" t="s">
        <v>117</v>
      </c>
      <c r="AJ53" s="12" t="s">
        <v>117</v>
      </c>
      <c r="AK53" s="12">
        <f>IFERROR(INDEX([4]Sheet1!$AE:$AE, MATCH("胸外二科护理",[4]Sheet1!$AN:$AN, 0)) * 积分!AC53*'系数（护理）'!M4, "--")</f>
        <v>3055.98</v>
      </c>
      <c r="AL53" s="12">
        <f>IFERROR(INDEX([4]Sheet1!$AF:$AF, MATCH("胸外二科护理",[4]Sheet1!$AN:$AN, 0)) * 积分!AD53*'系数（护理）'!N4, "--")</f>
        <v>7261.72</v>
      </c>
      <c r="AM53" s="12">
        <v>0</v>
      </c>
      <c r="AN53" s="12">
        <v>0</v>
      </c>
      <c r="AO53" s="12">
        <v>0</v>
      </c>
      <c r="AP53" s="12">
        <v>0</v>
      </c>
      <c r="AQ53" s="12" t="s">
        <v>117</v>
      </c>
      <c r="AR53" s="12" t="s">
        <v>117</v>
      </c>
      <c r="AS53" s="12">
        <f>IFERROR((INDEX([4]Sheet1!$Y:$Y, MATCH("胸外二科护理",[4]Sheet1!$AN:$AN, 0)) +INDEX([4]Sheet1!$Y:$Y, MATCH("介入治疗科护理",[4]Sheet1!$AN:$AN, 0)))* 积分!AP53*'系数（护理）'!K4, "--")</f>
        <v>0</v>
      </c>
      <c r="AT53" s="2">
        <v>-22937.19</v>
      </c>
      <c r="AU53" s="2">
        <f>IFERROR((INDEX([4]Sheet1!$AL:$AL, MATCH("胸外二科护理",[4]Sheet1!$AN:$AN, 0)) +INDEX([4]Sheet1!$AL:$AL, MATCH("介入治疗科护理",[4]Sheet1!$AN:$AN, 0)))* 积分!AR53*'系数（护理）'!I4, "--")</f>
        <v>101495.93999999999</v>
      </c>
      <c r="AV53" s="2">
        <f>IFERROR(INDEX([9]Sheet1!$H:$H, MATCH(A53,[9]Sheet1!$B:$B, 0)) * 积分!AS53*'系数（护理）'!H4, "--")</f>
        <v>0</v>
      </c>
      <c r="AW53" s="2">
        <f>IFERROR((INDEX([4]Sheet1!$AK:$AK, MATCH("胸外二科护理",[4]Sheet1!$AN:$AN, 0)) +INDEX([4]Sheet1!$AK:$AK, MATCH("介入治疗科护理",[4]Sheet1!$AN:$AN, 0)))* 积分!AT53*'系数（护理）'!G4, "--")</f>
        <v>1360</v>
      </c>
      <c r="AX53" s="2">
        <f>IFERROR(INDEX([9]Sheet1!$G:$G, MATCH(A53,[9]Sheet1!$B:$B, 0)) * 积分!AU53*'系数（护理）'!F4, "--")</f>
        <v>751.95</v>
      </c>
      <c r="AY53" s="2">
        <f>IFERROR(INDEX([9]Sheet1!$F:$F, MATCH(A53,[9]Sheet1!$B:$B, 0)) * 积分!AV53*'系数（护理）'!E4, "--")</f>
        <v>3640</v>
      </c>
      <c r="AZ53" s="2">
        <f>IFERROR(INDEX([9]Sheet1!$E:$E, MATCH(A53,[9]Sheet1!$B:$B, 0)) * 积分!AW53*'系数（护理）'!D4, "--")</f>
        <v>506</v>
      </c>
      <c r="BA53" s="2">
        <f>IFERROR(INDEX([9]Sheet1!$C:$C, MATCH(A53,[9]Sheet1!$B:$B, 0)) * 积分!AX53*'系数（护理）'!C4, "--")</f>
        <v>0</v>
      </c>
      <c r="BB53" s="2">
        <f>IFERROR(INDEX([9]Sheet1!$D:$D, MATCH(A53,[9]Sheet1!$B:$B, 0)) * 积分!AY53*'系数（护理）'!B4, "--")</f>
        <v>0</v>
      </c>
      <c r="BC53" s="2">
        <f>IFERROR(INDEX([9]Sheet1!$I:$I, MATCH(A53,[9]Sheet1!$B:$B, 0)) * 积分!AZ53* '系数（护理）'!L4, "--")</f>
        <v>35235.485999999997</v>
      </c>
    </row>
    <row r="54" spans="1:55" ht="17.399999999999999" x14ac:dyDescent="0.25">
      <c r="A54" s="8" t="s">
        <v>170</v>
      </c>
      <c r="B54" s="4">
        <f t="shared" si="10"/>
        <v>71296.361999999994</v>
      </c>
      <c r="C54" s="4">
        <v>0</v>
      </c>
      <c r="D54" s="4">
        <v>0</v>
      </c>
      <c r="E54" s="4">
        <v>0</v>
      </c>
      <c r="F54" s="7" t="s">
        <v>117</v>
      </c>
      <c r="G54" s="7" t="s">
        <v>117</v>
      </c>
      <c r="H54" s="7" t="s">
        <v>117</v>
      </c>
      <c r="I54" s="7" t="s">
        <v>117</v>
      </c>
      <c r="J54" s="7" t="s">
        <v>117</v>
      </c>
      <c r="K54" s="7" t="s">
        <v>117</v>
      </c>
      <c r="L54" s="7" t="s">
        <v>117</v>
      </c>
      <c r="M54" s="7" t="s">
        <v>117</v>
      </c>
      <c r="N54" s="7" t="s">
        <v>117</v>
      </c>
      <c r="O54" s="7" t="s">
        <v>117</v>
      </c>
      <c r="P54" s="7" t="s">
        <v>117</v>
      </c>
      <c r="Q54" s="7" t="s">
        <v>117</v>
      </c>
      <c r="R54" s="7" t="s">
        <v>117</v>
      </c>
      <c r="S54" s="7" t="s">
        <v>117</v>
      </c>
      <c r="T54" s="7" t="s">
        <v>117</v>
      </c>
      <c r="U54" s="7" t="s">
        <v>117</v>
      </c>
      <c r="V54" s="7" t="s">
        <v>117</v>
      </c>
      <c r="W54" s="7" t="s">
        <v>117</v>
      </c>
      <c r="X54" s="7" t="s">
        <v>117</v>
      </c>
      <c r="Y54" s="4" t="str" cm="1">
        <f t="array" ref="Y54">IFERROR(INDEX([7]Sheet1!$D:$D, MATCH(1, ([7]Sheet1!$B:$B=A54) * ([7]Sheet1!$C:$C="单位系数"), 0)) * 积分!P54, "--")</f>
        <v>--</v>
      </c>
      <c r="Z54" s="7" t="s">
        <v>117</v>
      </c>
      <c r="AA54" s="4" t="str" cm="1">
        <f t="array" ref="AA54">IFERROR(INDEX([7]Sheet1!$D:$D, MATCH(1, ([7]Sheet1!$B:$B=A54) * ([7]Sheet1!$C:$C="核算金额"), 0)) * 积分!R54, "--")</f>
        <v>--</v>
      </c>
      <c r="AB54" s="4" t="str" cm="1">
        <f t="array" ref="AB54">IFERROR(INDEX([7]Sheet1!$D:$D, MATCH(1, ([7]Sheet1!$B:$B=A54) * ([7]Sheet1!$C:$C="单据"), 0))* 积分!BA54, "--")</f>
        <v>--</v>
      </c>
      <c r="AC54" s="7" t="s">
        <v>117</v>
      </c>
      <c r="AD54" s="7" t="s">
        <v>117</v>
      </c>
      <c r="AE54" s="7" t="s">
        <v>117</v>
      </c>
      <c r="AF54" s="7" t="s">
        <v>117</v>
      </c>
      <c r="AG54" s="7" t="s">
        <v>117</v>
      </c>
      <c r="AH54" s="7" t="s">
        <v>117</v>
      </c>
      <c r="AI54" s="7" t="s">
        <v>117</v>
      </c>
      <c r="AJ54" s="7" t="s">
        <v>117</v>
      </c>
      <c r="AK54" s="7">
        <f>IFERROR(INDEX([4]Sheet1!$AE:$AE, MATCH(A54,[4]Sheet1!$AN:$AN, 0)) * 积分!AC54*'系数（护理）'!M5, "--")</f>
        <v>2506.92</v>
      </c>
      <c r="AL54" s="7">
        <f>IFERROR(INDEX([4]Sheet1!$AF:$AF, MATCH(A54,[4]Sheet1!$AN:$AN, 0)) * 积分!AD54*'系数（护理）'!N5, "--")</f>
        <v>4382.04</v>
      </c>
      <c r="AM54" s="7">
        <f>IFERROR(INDEX([4]Sheet1!$AG:$AG, MATCH(A54,[4]Sheet1!$AN:$AN, 0)) * 积分!AE54*'系数（护理）'!O5, "--")</f>
        <v>0</v>
      </c>
      <c r="AN54" s="7">
        <f>IFERROR(INDEX([4]Sheet1!$AH:$AH, MATCH(A54,[4]Sheet1!$AN:$AN, 0)) * 积分!AF54*'系数（护理）'!P5, "--")</f>
        <v>0</v>
      </c>
      <c r="AO54" s="7">
        <f>IFERROR(INDEX([4]Sheet1!$AI:$AI, MATCH(A54,[4]Sheet1!$AN:$AN, 0)) * 积分!AG54*'系数（护理）'!Q5, "--")</f>
        <v>0</v>
      </c>
      <c r="AP54" s="7">
        <f>IFERROR(INDEX([4]Sheet1!$AJ:$AJ, MATCH(A54,[4]Sheet1!$AN:$AN, 0)) * 积分!AH54*'系数（护理）'!R5, "--")</f>
        <v>0</v>
      </c>
      <c r="AQ54" s="7" t="s">
        <v>117</v>
      </c>
      <c r="AR54" s="7" t="s">
        <v>117</v>
      </c>
      <c r="AS54" s="7">
        <f>IFERROR(INDEX([4]Sheet1!$Y:$Y, MATCH(A54,[4]Sheet1!$AN:$AN, 0)) * 积分!AP54*'系数（护理）'!K5, "--")</f>
        <v>1040</v>
      </c>
      <c r="AT54" s="4">
        <v>600</v>
      </c>
      <c r="AU54" s="4">
        <f>IFERROR(INDEX([4]Sheet1!$AL:$AL, MATCH(A54,[4]Sheet1!$AN:$AN, 0)) * 积分!AR54*'系数（护理）'!I5, "--")</f>
        <v>36479.570000000007</v>
      </c>
      <c r="AV54" s="4">
        <f>IFERROR(INDEX([9]Sheet1!$H:$H, MATCH(A54,[9]Sheet1!$B:$B, 0)) * 积分!AS54*'系数（护理）'!H5, "--")</f>
        <v>0</v>
      </c>
      <c r="AW54" s="4">
        <f>IFERROR(INDEX([4]Sheet1!$AK:$AK, MATCH(A54,[4]Sheet1!$AN:$AN, 0)) * 积分!AT54*'系数（护理）'!G5, "--")</f>
        <v>240</v>
      </c>
      <c r="AX54" s="4">
        <f>IFERROR(INDEX([9]Sheet1!$G:$G, MATCH(A54,[9]Sheet1!$B:$B, 0)) * 积分!AU54*'系数（护理）'!F5, "--")</f>
        <v>10843.2</v>
      </c>
      <c r="AY54" s="4">
        <f>IFERROR(INDEX([9]Sheet1!$F:$F, MATCH(A54,[9]Sheet1!$B:$B, 0)) * 积分!AV54*'系数（护理）'!E5, "--")</f>
        <v>4896</v>
      </c>
      <c r="AZ54" s="4">
        <f>IFERROR(INDEX([9]Sheet1!$E:$E, MATCH(A54,[9]Sheet1!$B:$B, 0)) * 积分!AW54*'系数（护理）'!D5, "--")</f>
        <v>517</v>
      </c>
      <c r="BA54" s="4">
        <f>IFERROR(INDEX([9]Sheet1!$C:$C, MATCH(A54,[9]Sheet1!$B:$B, 0)) * 积分!AX54*'系数（护理）'!C5, "--")</f>
        <v>0</v>
      </c>
      <c r="BB54" s="4">
        <f>IFERROR(INDEX([9]Sheet1!$D:$D, MATCH(A54,[9]Sheet1!$B:$B, 0)) * 积分!AY54*'系数（护理）'!B5, "--")</f>
        <v>0</v>
      </c>
      <c r="BC54" s="4">
        <f>IFERROR(INDEX([9]Sheet1!$I:$I, MATCH(A54,[9]Sheet1!$B:$B, 0)) * 积分!AZ54 * '系数（护理）'!L5, "--")</f>
        <v>9791.6318499999998</v>
      </c>
    </row>
    <row r="55" spans="1:55" ht="17.399999999999999" x14ac:dyDescent="0.25">
      <c r="A55" s="5" t="s">
        <v>152</v>
      </c>
      <c r="B55" s="2">
        <f t="shared" si="10"/>
        <v>168904.27299999999</v>
      </c>
      <c r="C55" s="2">
        <v>0</v>
      </c>
      <c r="D55" s="2">
        <v>0</v>
      </c>
      <c r="E55" s="2">
        <v>0</v>
      </c>
      <c r="F55" s="12" t="s">
        <v>117</v>
      </c>
      <c r="G55" s="12" t="s">
        <v>117</v>
      </c>
      <c r="H55" s="12" t="s">
        <v>117</v>
      </c>
      <c r="I55" s="12" t="s">
        <v>117</v>
      </c>
      <c r="J55" s="12" t="s">
        <v>117</v>
      </c>
      <c r="K55" s="12" t="s">
        <v>117</v>
      </c>
      <c r="L55" s="12" t="s">
        <v>117</v>
      </c>
      <c r="M55" s="12" t="s">
        <v>117</v>
      </c>
      <c r="N55" s="12" t="s">
        <v>117</v>
      </c>
      <c r="O55" s="12" t="s">
        <v>117</v>
      </c>
      <c r="P55" s="12" t="s">
        <v>117</v>
      </c>
      <c r="Q55" s="12" t="s">
        <v>117</v>
      </c>
      <c r="R55" s="12" t="s">
        <v>117</v>
      </c>
      <c r="S55" s="12" t="s">
        <v>117</v>
      </c>
      <c r="T55" s="12" t="s">
        <v>117</v>
      </c>
      <c r="U55" s="12" t="s">
        <v>117</v>
      </c>
      <c r="V55" s="12" t="s">
        <v>117</v>
      </c>
      <c r="W55" s="12" t="s">
        <v>117</v>
      </c>
      <c r="X55" s="12" t="s">
        <v>117</v>
      </c>
      <c r="Y55" s="2" t="str" cm="1">
        <f t="array" ref="Y55">IFERROR(INDEX([7]Sheet1!$D:$D, MATCH(1, ([7]Sheet1!$B:$B=A55) * ([7]Sheet1!$C:$C="单位系数"), 0)) * 积分!P55, "--")</f>
        <v>--</v>
      </c>
      <c r="Z55" s="12" t="s">
        <v>117</v>
      </c>
      <c r="AA55" s="2" t="str" cm="1">
        <f t="array" ref="AA55">IFERROR(INDEX([7]Sheet1!$D:$D, MATCH(1, ([7]Sheet1!$B:$B=A55) * ([7]Sheet1!$C:$C="核算金额"), 0)) * 积分!R55, "--")</f>
        <v>--</v>
      </c>
      <c r="AB55" s="2" t="str" cm="1">
        <f t="array" ref="AB55">IFERROR(INDEX([7]Sheet1!$D:$D, MATCH(1, ([7]Sheet1!$B:$B=A55) * ([7]Sheet1!$C:$C="单据"), 0))* 积分!BA55, "--")</f>
        <v>--</v>
      </c>
      <c r="AC55" s="12" t="s">
        <v>117</v>
      </c>
      <c r="AD55" s="12" t="s">
        <v>117</v>
      </c>
      <c r="AE55" s="12" t="s">
        <v>117</v>
      </c>
      <c r="AF55" s="12" t="s">
        <v>117</v>
      </c>
      <c r="AG55" s="12" t="s">
        <v>117</v>
      </c>
      <c r="AH55" s="12" t="s">
        <v>117</v>
      </c>
      <c r="AI55" s="12" t="s">
        <v>117</v>
      </c>
      <c r="AJ55" s="12" t="s">
        <v>117</v>
      </c>
      <c r="AK55" s="12">
        <f>IFERROR(INDEX([4]Sheet1!$AE:$AE, MATCH(A55,[4]Sheet1!$AN:$AN, 0)) * 积分!AC55*'系数（护理）'!M6, "--")</f>
        <v>2489.4</v>
      </c>
      <c r="AL55" s="12">
        <f>IFERROR(INDEX([4]Sheet1!$AF:$AF, MATCH(A55,[4]Sheet1!$AN:$AN, 0)) * 积分!AD55*'系数（护理）'!N6, "--")</f>
        <v>31510.45</v>
      </c>
      <c r="AM55" s="12">
        <f>IFERROR(INDEX([4]Sheet1!$AG:$AG, MATCH(A55,[4]Sheet1!$AN:$AN, 0)) * 积分!AE55*'系数（护理）'!O6, "--")</f>
        <v>0</v>
      </c>
      <c r="AN55" s="12">
        <f>IFERROR(INDEX([4]Sheet1!$AH:$AH, MATCH(A55,[4]Sheet1!$AN:$AN, 0)) * 积分!AF55*'系数（护理）'!P6, "--")</f>
        <v>0</v>
      </c>
      <c r="AO55" s="12">
        <f>IFERROR(INDEX([4]Sheet1!$AI:$AI, MATCH(A55,[4]Sheet1!$AN:$AN, 0)) * 积分!AG55*'系数（护理）'!Q6, "--")</f>
        <v>0</v>
      </c>
      <c r="AP55" s="12">
        <f>IFERROR(INDEX([4]Sheet1!$AJ:$AJ, MATCH(A55,[4]Sheet1!$AN:$AN, 0)) * 积分!AH55*'系数（护理）'!R6, "--")</f>
        <v>0</v>
      </c>
      <c r="AQ55" s="12" t="s">
        <v>117</v>
      </c>
      <c r="AR55" s="12" t="s">
        <v>117</v>
      </c>
      <c r="AS55" s="12">
        <f>IFERROR(INDEX([4]Sheet1!$Y:$Y, MATCH(A55,[4]Sheet1!$AN:$AN, 0)) * 积分!AP55*'系数（护理）'!K6, "--")</f>
        <v>0</v>
      </c>
      <c r="AT55" s="2">
        <v>-25400.66</v>
      </c>
      <c r="AU55" s="2">
        <f>IFERROR(INDEX([4]Sheet1!$AL:$AL, MATCH(A55,[4]Sheet1!$AN:$AN, 0)) * 积分!AR55*'系数（护理）'!I6, "--")</f>
        <v>127161.57999999999</v>
      </c>
      <c r="AV55" s="2">
        <f>IFERROR(INDEX([9]Sheet1!$H:$H, MATCH(A55,[9]Sheet1!$B:$B, 0)) * 积分!AS55*'系数（护理）'!H6, "--")</f>
        <v>0</v>
      </c>
      <c r="AW55" s="2">
        <f>IFERROR(INDEX([4]Sheet1!$AK:$AK, MATCH(A55,[4]Sheet1!$AN:$AN, 0)) * 积分!AT55*'系数（护理）'!G6, "--")</f>
        <v>1720</v>
      </c>
      <c r="AX55" s="2">
        <f>IFERROR(INDEX([9]Sheet1!$G:$G, MATCH(A55,[9]Sheet1!$B:$B, 0)) * 积分!AU55*'系数（护理）'!F6, "--")</f>
        <v>10797.300000000001</v>
      </c>
      <c r="AY55" s="2">
        <f>IFERROR(INDEX([9]Sheet1!$F:$F, MATCH(A55,[9]Sheet1!$B:$B, 0)) * 积分!AV55*'系数（护理）'!E6, "--")</f>
        <v>10048</v>
      </c>
      <c r="AZ55" s="2">
        <f>IFERROR(INDEX([9]Sheet1!$E:$E, MATCH(A55,[9]Sheet1!$B:$B, 0)) * 积分!AW55*'系数（护理）'!D6, "--")</f>
        <v>539</v>
      </c>
      <c r="BA55" s="2">
        <f>IFERROR(INDEX([9]Sheet1!$C:$C, MATCH(A55,[9]Sheet1!$B:$B, 0)) * 积分!AX55*'系数（护理）'!C6, "--")</f>
        <v>0</v>
      </c>
      <c r="BB55" s="2">
        <f>IFERROR(INDEX([9]Sheet1!$D:$D, MATCH(A55,[9]Sheet1!$B:$B, 0)) * 积分!AY55*'系数（护理）'!B6, "--")</f>
        <v>0</v>
      </c>
      <c r="BC55" s="2">
        <f>IFERROR(INDEX([9]Sheet1!$I:$I, MATCH(A55,[9]Sheet1!$B:$B, 0)) * 积分!AZ55* '系数（护理）'!L6, "--")</f>
        <v>10039.202599999999</v>
      </c>
    </row>
    <row r="56" spans="1:55" ht="17.399999999999999" x14ac:dyDescent="0.25">
      <c r="A56" s="8" t="s">
        <v>134</v>
      </c>
      <c r="B56" s="4">
        <f t="shared" si="10"/>
        <v>126520.88800000001</v>
      </c>
      <c r="C56" s="4">
        <v>0</v>
      </c>
      <c r="D56" s="4">
        <v>0</v>
      </c>
      <c r="E56" s="4">
        <v>0</v>
      </c>
      <c r="F56" s="7" t="s">
        <v>117</v>
      </c>
      <c r="G56" s="7" t="s">
        <v>117</v>
      </c>
      <c r="H56" s="7" t="s">
        <v>117</v>
      </c>
      <c r="I56" s="7" t="s">
        <v>117</v>
      </c>
      <c r="J56" s="7" t="s">
        <v>117</v>
      </c>
      <c r="K56" s="7" t="s">
        <v>117</v>
      </c>
      <c r="L56" s="7" t="s">
        <v>117</v>
      </c>
      <c r="M56" s="7" t="s">
        <v>117</v>
      </c>
      <c r="N56" s="7" t="s">
        <v>117</v>
      </c>
      <c r="O56" s="7" t="s">
        <v>117</v>
      </c>
      <c r="P56" s="7" t="s">
        <v>117</v>
      </c>
      <c r="Q56" s="7" t="s">
        <v>117</v>
      </c>
      <c r="R56" s="7" t="s">
        <v>117</v>
      </c>
      <c r="S56" s="7" t="s">
        <v>117</v>
      </c>
      <c r="T56" s="7" t="s">
        <v>117</v>
      </c>
      <c r="U56" s="7" t="s">
        <v>117</v>
      </c>
      <c r="V56" s="7" t="s">
        <v>117</v>
      </c>
      <c r="W56" s="7" t="s">
        <v>117</v>
      </c>
      <c r="X56" s="7" t="s">
        <v>117</v>
      </c>
      <c r="Y56" s="4" t="str" cm="1">
        <f t="array" ref="Y56">IFERROR(INDEX([7]Sheet1!$D:$D, MATCH(1, ([7]Sheet1!$B:$B=A56) * ([7]Sheet1!$C:$C="单位系数"), 0)) * 积分!P56, "--")</f>
        <v>--</v>
      </c>
      <c r="Z56" s="7" t="s">
        <v>117</v>
      </c>
      <c r="AA56" s="4" t="str" cm="1">
        <f t="array" ref="AA56">IFERROR(INDEX([7]Sheet1!$D:$D, MATCH(1, ([7]Sheet1!$B:$B=A56) * ([7]Sheet1!$C:$C="核算金额"), 0)) * 积分!R56, "--")</f>
        <v>--</v>
      </c>
      <c r="AB56" s="4" t="str" cm="1">
        <f t="array" ref="AB56">IFERROR(INDEX([7]Sheet1!$D:$D, MATCH(1, ([7]Sheet1!$B:$B=A56) * ([7]Sheet1!$C:$C="单据"), 0))* 积分!BA56, "--")</f>
        <v>--</v>
      </c>
      <c r="AC56" s="7" t="s">
        <v>117</v>
      </c>
      <c r="AD56" s="7" t="s">
        <v>117</v>
      </c>
      <c r="AE56" s="7" t="s">
        <v>117</v>
      </c>
      <c r="AF56" s="7" t="s">
        <v>117</v>
      </c>
      <c r="AG56" s="7" t="s">
        <v>117</v>
      </c>
      <c r="AH56" s="7" t="s">
        <v>117</v>
      </c>
      <c r="AI56" s="7" t="s">
        <v>117</v>
      </c>
      <c r="AJ56" s="7" t="s">
        <v>117</v>
      </c>
      <c r="AK56" s="7">
        <f>IFERROR(INDEX([4]Sheet1!$AE:$AE, MATCH(A56,[4]Sheet1!$AN:$AN, 0)) * 积分!AC56*'系数（护理）'!M7, "--")</f>
        <v>5307.57</v>
      </c>
      <c r="AL56" s="7">
        <f>IFERROR(INDEX([4]Sheet1!$AF:$AF, MATCH(A56,[4]Sheet1!$AN:$AN, 0)) * 积分!AD56*'系数（护理）'!N7, "--")</f>
        <v>13270.2</v>
      </c>
      <c r="AM56" s="7">
        <f>IFERROR(INDEX([4]Sheet1!$AG:$AG, MATCH(A56,[4]Sheet1!$AN:$AN, 0)) * 积分!AE56*'系数（护理）'!O7, "--")</f>
        <v>0</v>
      </c>
      <c r="AN56" s="7">
        <f>IFERROR(INDEX([4]Sheet1!$AH:$AH, MATCH(A56,[4]Sheet1!$AN:$AN, 0)) * 积分!AF56*'系数（护理）'!P7, "--")</f>
        <v>0</v>
      </c>
      <c r="AO56" s="7">
        <f>IFERROR(INDEX([4]Sheet1!$AI:$AI, MATCH(A56,[4]Sheet1!$AN:$AN, 0)) * 积分!AG56*'系数（护理）'!Q7, "--")</f>
        <v>0</v>
      </c>
      <c r="AP56" s="7">
        <f>IFERROR(INDEX([4]Sheet1!$AJ:$AJ, MATCH(A56,[4]Sheet1!$AN:$AN, 0)) * 积分!AH56*'系数（护理）'!R7, "--")</f>
        <v>0</v>
      </c>
      <c r="AQ56" s="7" t="s">
        <v>117</v>
      </c>
      <c r="AR56" s="7" t="s">
        <v>117</v>
      </c>
      <c r="AS56" s="7">
        <f>IFERROR(INDEX([4]Sheet1!$Y:$Y, MATCH(A56,[4]Sheet1!$AN:$AN, 0)) * 积分!AP56*'系数（护理）'!K7, "--")</f>
        <v>0</v>
      </c>
      <c r="AT56" s="4">
        <v>-3388.76</v>
      </c>
      <c r="AU56" s="4">
        <f>IFERROR(INDEX([4]Sheet1!$AL:$AL, MATCH(A56,[4]Sheet1!$AN:$AN, 0)) * 积分!AR56*'系数（护理）'!I7, "--")</f>
        <v>74922.880000000005</v>
      </c>
      <c r="AV56" s="4">
        <f>IFERROR(INDEX([9]Sheet1!$H:$H, MATCH(A56,[9]Sheet1!$B:$B, 0)) * 积分!AS56*'系数（护理）'!H7, "--")</f>
        <v>0</v>
      </c>
      <c r="AW56" s="4">
        <f>IFERROR(INDEX([4]Sheet1!$AK:$AK, MATCH(A56,[4]Sheet1!$AN:$AN, 0)) * 积分!AT56*'系数（护理）'!G7, "--")</f>
        <v>280</v>
      </c>
      <c r="AX56" s="4">
        <f>IFERROR(INDEX([9]Sheet1!$G:$G, MATCH(A56,[9]Sheet1!$B:$B, 0)) * 积分!AU56*'系数（护理）'!F7, "--")</f>
        <v>18665.100000000002</v>
      </c>
      <c r="AY56" s="4">
        <f>IFERROR(INDEX([9]Sheet1!$F:$F, MATCH(A56,[9]Sheet1!$B:$B, 0)) * 积分!AV56*'系数（护理）'!E7, "--")</f>
        <v>8008</v>
      </c>
      <c r="AZ56" s="4">
        <f>IFERROR(INDEX([9]Sheet1!$E:$E, MATCH(A56,[9]Sheet1!$B:$B, 0)) * 积分!AW56*'系数（护理）'!D7, "--")</f>
        <v>1364</v>
      </c>
      <c r="BA56" s="4">
        <f>IFERROR(INDEX([9]Sheet1!$C:$C, MATCH(A56,[9]Sheet1!$B:$B, 0)) * 积分!AX56*'系数（护理）'!C7, "--")</f>
        <v>0</v>
      </c>
      <c r="BB56" s="4">
        <f>IFERROR(INDEX([9]Sheet1!$D:$D, MATCH(A56,[9]Sheet1!$B:$B, 0)) * 积分!AY56*'系数（护理）'!B7, "--")</f>
        <v>0</v>
      </c>
      <c r="BC56" s="4">
        <f>IFERROR(INDEX([9]Sheet1!$I:$I, MATCH(A56,[9]Sheet1!$B:$B, 0)) * 积分!AZ56 * '系数（护理）'!L7, "--")</f>
        <v>8091.8978000000006</v>
      </c>
    </row>
    <row r="57" spans="1:55" ht="17.399999999999999" x14ac:dyDescent="0.25">
      <c r="A57" s="5" t="s">
        <v>133</v>
      </c>
      <c r="B57" s="2">
        <f t="shared" si="10"/>
        <v>120116.405</v>
      </c>
      <c r="C57" s="2">
        <v>0</v>
      </c>
      <c r="D57" s="2">
        <v>0</v>
      </c>
      <c r="E57" s="2">
        <v>0</v>
      </c>
      <c r="F57" s="12" t="s">
        <v>117</v>
      </c>
      <c r="G57" s="12" t="s">
        <v>117</v>
      </c>
      <c r="H57" s="12" t="s">
        <v>117</v>
      </c>
      <c r="I57" s="12" t="s">
        <v>117</v>
      </c>
      <c r="J57" s="12" t="s">
        <v>117</v>
      </c>
      <c r="K57" s="12" t="s">
        <v>117</v>
      </c>
      <c r="L57" s="12" t="s">
        <v>117</v>
      </c>
      <c r="M57" s="12" t="s">
        <v>117</v>
      </c>
      <c r="N57" s="12" t="s">
        <v>117</v>
      </c>
      <c r="O57" s="12" t="s">
        <v>117</v>
      </c>
      <c r="P57" s="12" t="s">
        <v>117</v>
      </c>
      <c r="Q57" s="12" t="s">
        <v>117</v>
      </c>
      <c r="R57" s="12" t="s">
        <v>117</v>
      </c>
      <c r="S57" s="12" t="s">
        <v>117</v>
      </c>
      <c r="T57" s="12" t="s">
        <v>117</v>
      </c>
      <c r="U57" s="12" t="s">
        <v>117</v>
      </c>
      <c r="V57" s="12" t="s">
        <v>117</v>
      </c>
      <c r="W57" s="12" t="s">
        <v>117</v>
      </c>
      <c r="X57" s="12" t="s">
        <v>117</v>
      </c>
      <c r="Y57" s="2" t="str" cm="1">
        <f t="array" ref="Y57">IFERROR(INDEX([7]Sheet1!$D:$D, MATCH(1, ([7]Sheet1!$B:$B=A57) * ([7]Sheet1!$C:$C="单位系数"), 0)) * 积分!P57, "--")</f>
        <v>--</v>
      </c>
      <c r="Z57" s="12" t="s">
        <v>117</v>
      </c>
      <c r="AA57" s="2" t="str" cm="1">
        <f t="array" ref="AA57">IFERROR(INDEX([7]Sheet1!$D:$D, MATCH(1, ([7]Sheet1!$B:$B=A57) * ([7]Sheet1!$C:$C="核算金额"), 0)) * 积分!R57, "--")</f>
        <v>--</v>
      </c>
      <c r="AB57" s="2" t="str" cm="1">
        <f t="array" ref="AB57">IFERROR(INDEX([7]Sheet1!$D:$D, MATCH(1, ([7]Sheet1!$B:$B=A57) * ([7]Sheet1!$C:$C="单据"), 0))* 积分!BA57, "--")</f>
        <v>--</v>
      </c>
      <c r="AC57" s="12" t="s">
        <v>117</v>
      </c>
      <c r="AD57" s="12" t="s">
        <v>117</v>
      </c>
      <c r="AE57" s="12" t="s">
        <v>117</v>
      </c>
      <c r="AF57" s="12" t="s">
        <v>117</v>
      </c>
      <c r="AG57" s="12" t="s">
        <v>117</v>
      </c>
      <c r="AH57" s="12" t="s">
        <v>117</v>
      </c>
      <c r="AI57" s="12" t="s">
        <v>117</v>
      </c>
      <c r="AJ57" s="12" t="s">
        <v>117</v>
      </c>
      <c r="AK57" s="12">
        <f>IFERROR(INDEX([4]Sheet1!$AE:$AE, MATCH(A57,[4]Sheet1!$AN:$AN, 0)) * 积分!AC57*'系数（护理）'!M8, "--")</f>
        <v>5726.12</v>
      </c>
      <c r="AL57" s="12">
        <f>IFERROR(INDEX([4]Sheet1!$AF:$AF, MATCH(A57,[4]Sheet1!$AN:$AN, 0)) * 积分!AD57*'系数（护理）'!N8, "--")</f>
        <v>6183.04</v>
      </c>
      <c r="AM57" s="12">
        <f>IFERROR(INDEX([4]Sheet1!$AG:$AG, MATCH(A57,[4]Sheet1!$AN:$AN, 0)) * 积分!AE57*'系数（护理）'!O8, "--")</f>
        <v>0</v>
      </c>
      <c r="AN57" s="12">
        <f>IFERROR(INDEX([4]Sheet1!$AH:$AH, MATCH(A57,[4]Sheet1!$AN:$AN, 0)) * 积分!AF57*'系数（护理）'!P8, "--")</f>
        <v>0</v>
      </c>
      <c r="AO57" s="12">
        <f>IFERROR(INDEX([4]Sheet1!$AI:$AI, MATCH(A57,[4]Sheet1!$AN:$AN, 0)) * 积分!AG57*'系数（护理）'!Q8, "--")</f>
        <v>0</v>
      </c>
      <c r="AP57" s="12">
        <f>IFERROR(INDEX([4]Sheet1!$AJ:$AJ, MATCH(A57,[4]Sheet1!$AN:$AN, 0)) * 积分!AH57*'系数（护理）'!R8, "--")</f>
        <v>0</v>
      </c>
      <c r="AQ57" s="12" t="s">
        <v>117</v>
      </c>
      <c r="AR57" s="12" t="s">
        <v>117</v>
      </c>
      <c r="AS57" s="12">
        <f>IFERROR(INDEX([4]Sheet1!$Y:$Y, MATCH(A57,[4]Sheet1!$AN:$AN, 0)) * 积分!AP57*'系数（护理）'!K8, "--")</f>
        <v>0</v>
      </c>
      <c r="AT57" s="2">
        <v>-3012.56</v>
      </c>
      <c r="AU57" s="2">
        <f>IFERROR(INDEX([4]Sheet1!$AL:$AL, MATCH(A57,[4]Sheet1!$AN:$AN, 0)) * 积分!AR57*'系数（护理）'!I8, "--")</f>
        <v>67296</v>
      </c>
      <c r="AV57" s="2">
        <f>IFERROR(INDEX([9]Sheet1!$H:$H, MATCH(A57,[9]Sheet1!$B:$B, 0)) * 积分!AS57*'系数（护理）'!H8, "--")</f>
        <v>0</v>
      </c>
      <c r="AW57" s="2">
        <f>IFERROR(INDEX([4]Sheet1!$AK:$AK, MATCH(A57,[4]Sheet1!$AN:$AN, 0)) * 积分!AT57*'系数（护理）'!G8, "--")</f>
        <v>380</v>
      </c>
      <c r="AX57" s="2">
        <f>IFERROR(INDEX([9]Sheet1!$G:$G, MATCH(A57,[9]Sheet1!$B:$B, 0)) * 积分!AU57*'系数（护理）'!F8, "--")</f>
        <v>9845.5500000000011</v>
      </c>
      <c r="AY57" s="2">
        <f>IFERROR(INDEX([9]Sheet1!$F:$F, MATCH(A57,[9]Sheet1!$B:$B, 0)) * 积分!AV57*'系数（护理）'!E8, "--")</f>
        <v>8304</v>
      </c>
      <c r="AZ57" s="2">
        <f>IFERROR(INDEX([9]Sheet1!$E:$E, MATCH(A57,[9]Sheet1!$B:$B, 0)) * 积分!AW57*'系数（护理）'!D8, "--")</f>
        <v>1287</v>
      </c>
      <c r="BA57" s="2">
        <f>IFERROR(INDEX([9]Sheet1!$C:$C, MATCH(A57,[9]Sheet1!$B:$B, 0)) * 积分!AX57*'系数（护理）'!C8, "--")</f>
        <v>0</v>
      </c>
      <c r="BB57" s="2">
        <f>IFERROR(INDEX([9]Sheet1!$D:$D, MATCH(A57,[9]Sheet1!$B:$B, 0)) * 积分!AY57*'系数（护理）'!B8, "--")</f>
        <v>0</v>
      </c>
      <c r="BC57" s="2">
        <f>IFERROR(INDEX([9]Sheet1!$I:$I, MATCH(A57,[9]Sheet1!$B:$B, 0)) * 积分!AZ57* '系数（护理）'!L8, "--")</f>
        <v>24107.254559999998</v>
      </c>
    </row>
    <row r="58" spans="1:55" ht="17.399999999999999" x14ac:dyDescent="0.25">
      <c r="A58" s="8" t="s">
        <v>146</v>
      </c>
      <c r="B58" s="4">
        <f>ROUND(AK58+AL58+AM58+AN58+AO58+AP58+AS58 + AT58 + AU58 + AV58 + AW58 + AX58 + AY58 + AZ58 + BA58 + BB58 + BC58,3)</f>
        <v>76663.434999999998</v>
      </c>
      <c r="C58" s="4">
        <v>0</v>
      </c>
      <c r="D58" s="4">
        <v>0</v>
      </c>
      <c r="E58" s="4">
        <v>0</v>
      </c>
      <c r="F58" s="7" t="s">
        <v>117</v>
      </c>
      <c r="G58" s="7" t="s">
        <v>117</v>
      </c>
      <c r="H58" s="7" t="s">
        <v>117</v>
      </c>
      <c r="I58" s="7" t="s">
        <v>117</v>
      </c>
      <c r="J58" s="7" t="s">
        <v>117</v>
      </c>
      <c r="K58" s="7" t="s">
        <v>117</v>
      </c>
      <c r="L58" s="7" t="s">
        <v>117</v>
      </c>
      <c r="M58" s="7" t="s">
        <v>117</v>
      </c>
      <c r="N58" s="7" t="s">
        <v>117</v>
      </c>
      <c r="O58" s="7" t="s">
        <v>117</v>
      </c>
      <c r="P58" s="7" t="s">
        <v>117</v>
      </c>
      <c r="Q58" s="7" t="s">
        <v>117</v>
      </c>
      <c r="R58" s="7" t="s">
        <v>117</v>
      </c>
      <c r="S58" s="7" t="s">
        <v>117</v>
      </c>
      <c r="T58" s="7" t="s">
        <v>117</v>
      </c>
      <c r="U58" s="7" t="s">
        <v>117</v>
      </c>
      <c r="V58" s="7" t="s">
        <v>117</v>
      </c>
      <c r="W58" s="7" t="s">
        <v>117</v>
      </c>
      <c r="X58" s="7" t="s">
        <v>117</v>
      </c>
      <c r="Y58" s="4" t="str" cm="1">
        <f t="array" ref="Y58">IFERROR(INDEX([7]Sheet1!$D:$D, MATCH(1, ([7]Sheet1!$B:$B=A58) * ([7]Sheet1!$C:$C="单位系数"), 0)) * 积分!P58, "--")</f>
        <v>--</v>
      </c>
      <c r="Z58" s="7" t="s">
        <v>117</v>
      </c>
      <c r="AA58" s="4" t="str" cm="1">
        <f t="array" ref="AA58">IFERROR(INDEX([7]Sheet1!$D:$D, MATCH(1, ([7]Sheet1!$B:$B=A58) * ([7]Sheet1!$C:$C="核算金额"), 0)) * 积分!R58, "--")</f>
        <v>--</v>
      </c>
      <c r="AB58" s="4" t="str" cm="1">
        <f t="array" ref="AB58">IFERROR(INDEX([7]Sheet1!$D:$D, MATCH(1, ([7]Sheet1!$B:$B=A58) * ([7]Sheet1!$C:$C="单据"), 0))* 积分!BA58, "--")</f>
        <v>--</v>
      </c>
      <c r="AC58" s="7" t="s">
        <v>117</v>
      </c>
      <c r="AD58" s="7" t="s">
        <v>117</v>
      </c>
      <c r="AE58" s="7" t="s">
        <v>117</v>
      </c>
      <c r="AF58" s="7" t="s">
        <v>117</v>
      </c>
      <c r="AG58" s="7" t="s">
        <v>117</v>
      </c>
      <c r="AH58" s="7" t="s">
        <v>117</v>
      </c>
      <c r="AI58" s="7" t="s">
        <v>117</v>
      </c>
      <c r="AJ58" s="7" t="s">
        <v>117</v>
      </c>
      <c r="AK58" s="7">
        <f>IFERROR(INDEX([4]Sheet1!$AE:$AE, MATCH(A58,[4]Sheet1!$AN:$AN, 0)) * 积分!AC58*'系数（护理）'!M9, "--")</f>
        <v>5413.7</v>
      </c>
      <c r="AL58" s="7">
        <f>IFERROR(INDEX([4]Sheet1!$AF:$AF, MATCH(A58,[4]Sheet1!$AN:$AN, 0)) * 积分!AD58*'系数（护理）'!N9, "--")</f>
        <v>218.48</v>
      </c>
      <c r="AM58" s="7">
        <f>IFERROR(INDEX([4]Sheet1!$AG:$AG, MATCH(A58,[4]Sheet1!$AN:$AN, 0)) * 积分!AE58*'系数（护理）'!O9, "--")</f>
        <v>0</v>
      </c>
      <c r="AN58" s="7">
        <f>IFERROR(INDEX([4]Sheet1!$AH:$AH, MATCH(A58,[4]Sheet1!$AN:$AN, 0)) * 积分!AF58*'系数（护理）'!P9, "--")</f>
        <v>0</v>
      </c>
      <c r="AO58" s="7">
        <f>IFERROR(INDEX([4]Sheet1!$AI:$AI, MATCH(A58,[4]Sheet1!$AN:$AN, 0)) * 积分!AG58*'系数（护理）'!Q9, "--")</f>
        <v>0</v>
      </c>
      <c r="AP58" s="7">
        <f>IFERROR(INDEX([4]Sheet1!$AJ:$AJ, MATCH(A58,[4]Sheet1!$AN:$AN, 0)) * 积分!AH58*'系数（护理）'!R9, "--")</f>
        <v>0</v>
      </c>
      <c r="AQ58" s="7" t="s">
        <v>117</v>
      </c>
      <c r="AR58" s="7" t="s">
        <v>117</v>
      </c>
      <c r="AS58" s="7">
        <f>IFERROR(INDEX([4]Sheet1!$Y:$Y, MATCH(A58,[4]Sheet1!$AN:$AN, 0)) * 积分!AP58*'系数（护理）'!K9, "--")</f>
        <v>0</v>
      </c>
      <c r="AT58" s="4">
        <v>-2187.44</v>
      </c>
      <c r="AU58" s="4">
        <f>IFERROR(INDEX([4]Sheet1!$AL:$AL, MATCH(A58,[4]Sheet1!$AN:$AN, 0)) * 积分!AR58*'系数（护理）'!I9, "--")</f>
        <v>46126.44</v>
      </c>
      <c r="AV58" s="4">
        <f>IFERROR(INDEX([9]Sheet1!$H:$H, MATCH(A58,[9]Sheet1!$B:$B, 0)) * 积分!AS58*'系数（护理）'!H9, "--")</f>
        <v>0</v>
      </c>
      <c r="AW58" s="4">
        <f>IFERROR(INDEX([4]Sheet1!$AK:$AK, MATCH(A58,[4]Sheet1!$AN:$AN, 0)) * 积分!AT58*'系数（护理）'!G9, "--")</f>
        <v>900</v>
      </c>
      <c r="AX58" s="4">
        <f>IFERROR(INDEX([9]Sheet1!$G:$G, MATCH(A58,[9]Sheet1!$B:$B, 0)) * 积分!AU58*'系数（护理）'!F9, "--")</f>
        <v>6318</v>
      </c>
      <c r="AY58" s="4">
        <f>IFERROR(INDEX([9]Sheet1!$F:$F, MATCH(A58,[9]Sheet1!$B:$B, 0)) * 积分!AV58*'系数（护理）'!E9, "--")</f>
        <v>6264</v>
      </c>
      <c r="AZ58" s="4">
        <f>IFERROR(INDEX([9]Sheet1!$E:$E, MATCH(A58,[9]Sheet1!$B:$B, 0)) * 积分!AW58*'系数（护理）'!D9, "--")</f>
        <v>143</v>
      </c>
      <c r="BA58" s="4">
        <f>IFERROR(INDEX([9]Sheet1!$C:$C, MATCH(A58,[9]Sheet1!$B:$B, 0)) * 积分!AX58*'系数（护理）'!C9, "--")</f>
        <v>0</v>
      </c>
      <c r="BB58" s="4">
        <f>IFERROR(INDEX([9]Sheet1!$D:$D, MATCH(A58,[9]Sheet1!$B:$B, 0)) * 积分!AY58*'系数（护理）'!B9, "--")</f>
        <v>0</v>
      </c>
      <c r="BC58" s="4">
        <f>IFERROR(INDEX([9]Sheet1!$I:$I, MATCH(A58,[9]Sheet1!$B:$B, 0)) * 积分!AZ58 * '系数（护理）'!L9, "--")</f>
        <v>13467.255479999998</v>
      </c>
    </row>
    <row r="59" spans="1:55" ht="17.399999999999999" x14ac:dyDescent="0.25">
      <c r="A59" s="5" t="s">
        <v>145</v>
      </c>
      <c r="B59" s="2">
        <f t="shared" si="10"/>
        <v>119219.36599999999</v>
      </c>
      <c r="C59" s="2">
        <v>0</v>
      </c>
      <c r="D59" s="2">
        <v>0</v>
      </c>
      <c r="E59" s="2">
        <v>0</v>
      </c>
      <c r="F59" s="12" t="s">
        <v>117</v>
      </c>
      <c r="G59" s="12" t="s">
        <v>117</v>
      </c>
      <c r="H59" s="12" t="s">
        <v>117</v>
      </c>
      <c r="I59" s="12" t="s">
        <v>117</v>
      </c>
      <c r="J59" s="12" t="s">
        <v>117</v>
      </c>
      <c r="K59" s="12" t="s">
        <v>117</v>
      </c>
      <c r="L59" s="12" t="s">
        <v>117</v>
      </c>
      <c r="M59" s="12" t="s">
        <v>117</v>
      </c>
      <c r="N59" s="12" t="s">
        <v>117</v>
      </c>
      <c r="O59" s="12" t="s">
        <v>117</v>
      </c>
      <c r="P59" s="12" t="s">
        <v>117</v>
      </c>
      <c r="Q59" s="12" t="s">
        <v>117</v>
      </c>
      <c r="R59" s="12" t="s">
        <v>117</v>
      </c>
      <c r="S59" s="12" t="s">
        <v>117</v>
      </c>
      <c r="T59" s="12" t="s">
        <v>117</v>
      </c>
      <c r="U59" s="12" t="s">
        <v>117</v>
      </c>
      <c r="V59" s="12" t="s">
        <v>117</v>
      </c>
      <c r="W59" s="12" t="s">
        <v>117</v>
      </c>
      <c r="X59" s="12" t="s">
        <v>117</v>
      </c>
      <c r="Y59" s="2" t="str" cm="1">
        <f t="array" ref="Y59">IFERROR(INDEX([7]Sheet1!$D:$D, MATCH(1, ([7]Sheet1!$B:$B=A59) * ([7]Sheet1!$C:$C="单位系数"), 0)) * 积分!P59, "--")</f>
        <v>--</v>
      </c>
      <c r="Z59" s="12" t="s">
        <v>117</v>
      </c>
      <c r="AA59" s="2" t="str" cm="1">
        <f t="array" ref="AA59">IFERROR(INDEX([7]Sheet1!$D:$D, MATCH(1, ([7]Sheet1!$B:$B=A59) * ([7]Sheet1!$C:$C="核算金额"), 0)) * 积分!R59, "--")</f>
        <v>--</v>
      </c>
      <c r="AB59" s="2" t="str" cm="1">
        <f t="array" ref="AB59">IFERROR(INDEX([7]Sheet1!$D:$D, MATCH(1, ([7]Sheet1!$B:$B=A59) * ([7]Sheet1!$C:$C="单据"), 0))* 积分!BA59, "--")</f>
        <v>--</v>
      </c>
      <c r="AC59" s="12" t="s">
        <v>117</v>
      </c>
      <c r="AD59" s="12" t="s">
        <v>117</v>
      </c>
      <c r="AE59" s="12" t="s">
        <v>117</v>
      </c>
      <c r="AF59" s="12" t="s">
        <v>117</v>
      </c>
      <c r="AG59" s="12" t="s">
        <v>117</v>
      </c>
      <c r="AH59" s="12" t="s">
        <v>117</v>
      </c>
      <c r="AI59" s="12" t="s">
        <v>117</v>
      </c>
      <c r="AJ59" s="12" t="s">
        <v>117</v>
      </c>
      <c r="AK59" s="12">
        <f>IFERROR(INDEX([4]Sheet1!$AE:$AE, MATCH(A59,[4]Sheet1!$AN:$AN, 0)) * 积分!AC59*'系数（护理）'!M10, "--")</f>
        <v>12364.800000000001</v>
      </c>
      <c r="AL59" s="12">
        <f>IFERROR(INDEX([4]Sheet1!$AF:$AF, MATCH(A59,[4]Sheet1!$AN:$AN, 0)) * 积分!AD59*'系数（护理）'!N10, "--")</f>
        <v>2667.22</v>
      </c>
      <c r="AM59" s="12">
        <f>IFERROR(INDEX([4]Sheet1!$AG:$AG, MATCH(A59,[4]Sheet1!$AN:$AN, 0)) * 积分!AE59*'系数（护理）'!O10, "--")</f>
        <v>0</v>
      </c>
      <c r="AN59" s="12">
        <f>IFERROR(INDEX([4]Sheet1!$AH:$AH, MATCH(A59,[4]Sheet1!$AN:$AN, 0)) * 积分!AF59*'系数（护理）'!P10, "--")</f>
        <v>0</v>
      </c>
      <c r="AO59" s="12">
        <f>IFERROR(INDEX([4]Sheet1!$AI:$AI, MATCH(A59,[4]Sheet1!$AN:$AN, 0)) * 积分!AG59*'系数（护理）'!Q10, "--")</f>
        <v>0</v>
      </c>
      <c r="AP59" s="12">
        <f>IFERROR(INDEX([4]Sheet1!$AJ:$AJ, MATCH(A59,[4]Sheet1!$AN:$AN, 0)) * 积分!AH59*'系数（护理）'!R10, "--")</f>
        <v>0</v>
      </c>
      <c r="AQ59" s="12" t="s">
        <v>117</v>
      </c>
      <c r="AR59" s="12" t="s">
        <v>117</v>
      </c>
      <c r="AS59" s="12">
        <f>IFERROR(INDEX([4]Sheet1!$Y:$Y, MATCH(A59,[4]Sheet1!$AN:$AN, 0)) * 积分!AP59*'系数（护理）'!K10, "--")</f>
        <v>0</v>
      </c>
      <c r="AT59" s="2">
        <v>-3396.69</v>
      </c>
      <c r="AU59" s="2">
        <f>IFERROR(INDEX([4]Sheet1!$AL:$AL, MATCH(A59,[4]Sheet1!$AN:$AN, 0)) * 积分!AR59*'系数（护理）'!I10, "--")</f>
        <v>63556.11</v>
      </c>
      <c r="AV59" s="2">
        <f>IFERROR(INDEX([9]Sheet1!$H:$H, MATCH(A59,[9]Sheet1!$B:$B, 0)) * 积分!AS59*'系数（护理）'!H10, "--")</f>
        <v>0</v>
      </c>
      <c r="AW59" s="2">
        <f>IFERROR(INDEX([4]Sheet1!$AK:$AK, MATCH(A59,[4]Sheet1!$AN:$AN, 0)) * 积分!AT59*'系数（护理）'!G10, "--")</f>
        <v>1980</v>
      </c>
      <c r="AX59" s="2">
        <f>IFERROR(INDEX([9]Sheet1!$G:$G, MATCH(A59,[9]Sheet1!$B:$B, 0)) * 积分!AU59*'系数（护理）'!F10, "--")</f>
        <v>14640.750000000002</v>
      </c>
      <c r="AY59" s="2">
        <f>IFERROR(INDEX([9]Sheet1!$F:$F, MATCH(A59,[9]Sheet1!$B:$B, 0)) * 积分!AV59*'系数（护理）'!E10, "--")</f>
        <v>7664</v>
      </c>
      <c r="AZ59" s="2">
        <f>IFERROR(INDEX([9]Sheet1!$E:$E, MATCH(A59,[9]Sheet1!$B:$B, 0)) * 积分!AW59*'系数（护理）'!D10, "--")</f>
        <v>66</v>
      </c>
      <c r="BA59" s="2">
        <f>IFERROR(INDEX([9]Sheet1!$C:$C, MATCH(A59,[9]Sheet1!$B:$B, 0)) * 积分!AX59*'系数（护理）'!C10, "--")</f>
        <v>0</v>
      </c>
      <c r="BB59" s="2">
        <f>IFERROR(INDEX([9]Sheet1!$D:$D, MATCH(A59,[9]Sheet1!$B:$B, 0)) * 积分!AY59*'系数（护理）'!B10, "--")</f>
        <v>0</v>
      </c>
      <c r="BC59" s="2">
        <f>IFERROR(INDEX([9]Sheet1!$I:$I, MATCH(A59,[9]Sheet1!$B:$B, 0)) * 积分!AZ59* '系数（护理）'!L10, "--")</f>
        <v>19677.176200000002</v>
      </c>
    </row>
    <row r="60" spans="1:55" ht="17.399999999999999" x14ac:dyDescent="0.25">
      <c r="A60" s="8" t="s">
        <v>148</v>
      </c>
      <c r="B60" s="4">
        <f t="shared" si="10"/>
        <v>101159.304</v>
      </c>
      <c r="C60" s="4">
        <v>0</v>
      </c>
      <c r="D60" s="4">
        <v>0</v>
      </c>
      <c r="E60" s="4">
        <v>0</v>
      </c>
      <c r="F60" s="7" t="s">
        <v>117</v>
      </c>
      <c r="G60" s="7" t="s">
        <v>117</v>
      </c>
      <c r="H60" s="7" t="s">
        <v>117</v>
      </c>
      <c r="I60" s="7" t="s">
        <v>117</v>
      </c>
      <c r="J60" s="7" t="s">
        <v>117</v>
      </c>
      <c r="K60" s="7" t="s">
        <v>117</v>
      </c>
      <c r="L60" s="7" t="s">
        <v>117</v>
      </c>
      <c r="M60" s="7" t="s">
        <v>117</v>
      </c>
      <c r="N60" s="7" t="s">
        <v>117</v>
      </c>
      <c r="O60" s="7" t="s">
        <v>117</v>
      </c>
      <c r="P60" s="7" t="s">
        <v>117</v>
      </c>
      <c r="Q60" s="7" t="s">
        <v>117</v>
      </c>
      <c r="R60" s="7" t="s">
        <v>117</v>
      </c>
      <c r="S60" s="7" t="s">
        <v>117</v>
      </c>
      <c r="T60" s="7" t="s">
        <v>117</v>
      </c>
      <c r="U60" s="7" t="s">
        <v>117</v>
      </c>
      <c r="V60" s="7" t="s">
        <v>117</v>
      </c>
      <c r="W60" s="7" t="s">
        <v>117</v>
      </c>
      <c r="X60" s="7" t="s">
        <v>117</v>
      </c>
      <c r="Y60" s="4" t="str" cm="1">
        <f t="array" ref="Y60">IFERROR(INDEX([7]Sheet1!$D:$D, MATCH(1, ([7]Sheet1!$B:$B=A60) * ([7]Sheet1!$C:$C="单位系数"), 0)) * 积分!P60, "--")</f>
        <v>--</v>
      </c>
      <c r="Z60" s="7" t="s">
        <v>117</v>
      </c>
      <c r="AA60" s="4" t="str" cm="1">
        <f t="array" ref="AA60">IFERROR(INDEX([7]Sheet1!$D:$D, MATCH(1, ([7]Sheet1!$B:$B=A60) * ([7]Sheet1!$C:$C="核算金额"), 0)) * 积分!R60, "--")</f>
        <v>--</v>
      </c>
      <c r="AB60" s="4" t="str" cm="1">
        <f t="array" ref="AB60">IFERROR(INDEX([7]Sheet1!$D:$D, MATCH(1, ([7]Sheet1!$B:$B=A60) * ([7]Sheet1!$C:$C="单据"), 0))* 积分!BA60, "--")</f>
        <v>--</v>
      </c>
      <c r="AC60" s="7" t="s">
        <v>117</v>
      </c>
      <c r="AD60" s="7" t="s">
        <v>117</v>
      </c>
      <c r="AE60" s="7" t="s">
        <v>117</v>
      </c>
      <c r="AF60" s="7" t="s">
        <v>117</v>
      </c>
      <c r="AG60" s="7" t="s">
        <v>117</v>
      </c>
      <c r="AH60" s="7" t="s">
        <v>117</v>
      </c>
      <c r="AI60" s="7" t="s">
        <v>117</v>
      </c>
      <c r="AJ60" s="7" t="s">
        <v>117</v>
      </c>
      <c r="AK60" s="7">
        <f>IFERROR(INDEX([4]Sheet1!$AE:$AE, MATCH("妇瘤二科护理",[4]Sheet1!$AN:$AN, 0)) * 积分!AD60*'系数（护理）'!M11, "--")</f>
        <v>1195.96</v>
      </c>
      <c r="AL60" s="7">
        <f>IFERROR(INDEX([4]Sheet1!$AF:$AF, MATCH("妇瘤二科护理",[4]Sheet1!$AN:$AN, 0)) * 积分!AF60*'系数（护理）'!N11, "--")</f>
        <v>874.9</v>
      </c>
      <c r="AM60" s="7">
        <f>IFERROR(INDEX([4]Sheet1!$AE:$AE, MATCH("骨与软组织二科护理",[4]Sheet1!$AN:$AN, 0)) * 积分!AC60*'系数（护理）'!N11, "--")</f>
        <v>56.6</v>
      </c>
      <c r="AN60" s="7">
        <f>IFERROR(INDEX([4]Sheet1!$AF:$AF, MATCH("骨与软组织二科护理",[4]Sheet1!$AN:$AN, 0)) * 积分!AE60*'系数（护理）'!N11, "--")</f>
        <v>448.2</v>
      </c>
      <c r="AO60" s="7">
        <v>0</v>
      </c>
      <c r="AP60" s="7">
        <v>0</v>
      </c>
      <c r="AQ60" s="7" t="s">
        <v>117</v>
      </c>
      <c r="AR60" s="7" t="s">
        <v>117</v>
      </c>
      <c r="AS60" s="7">
        <f>IFERROR((INDEX([4]Sheet1!$Y:$Y, MATCH("骨与软组织二科护理",[4]Sheet1!$AN:$AN, 0)) +INDEX([4]Sheet1!$Y:$Y, MATCH("妇瘤二科护理",[4]Sheet1!$AN:$AN, 0)))* 积分!AP60*'系数（护理）'!K11, "--")</f>
        <v>1300</v>
      </c>
      <c r="AT60" s="4">
        <v>-15014.55</v>
      </c>
      <c r="AU60" s="4">
        <f>IFERROR((INDEX([4]Sheet1!$AL:$AL, MATCH("骨与软组织二科护理",[4]Sheet1!$AN:$AN, 0)) +INDEX([4]Sheet1!$AL:$AL, MATCH("妇瘤二科护理",[4]Sheet1!$AN:$AN, 0)))* 积分!AR60*'系数（护理）'!I11, "--")</f>
        <v>64179.68</v>
      </c>
      <c r="AV60" s="4">
        <f>IFERROR(INDEX([9]Sheet1!$H:$H, MATCH(A60,[9]Sheet1!$B:$B, 0)) * 积分!AS60*'系数（护理）'!H11, "--")</f>
        <v>0</v>
      </c>
      <c r="AW60" s="4">
        <f>IFERROR((INDEX([4]Sheet1!$AK:$AK, MATCH("骨与软组织二科护理",[4]Sheet1!$AN:$AN, 0)) +INDEX([4]Sheet1!$AK:$AK, MATCH("妇瘤二科护理",[4]Sheet1!$AN:$AN, 0)))* 积分!AT53*'系数（护理）'!G11, "--")</f>
        <v>740</v>
      </c>
      <c r="AX60" s="4">
        <f>IFERROR(INDEX([9]Sheet1!$G:$G, MATCH(A60,[9]Sheet1!$B:$B, 0)) * 积分!AU60*'系数（护理）'!F11, "--")</f>
        <v>12514.5</v>
      </c>
      <c r="AY60" s="4">
        <f>IFERROR(INDEX([9]Sheet1!$F:$F, MATCH(A60,[9]Sheet1!$B:$B, 0)) * 积分!AV60*'系数（护理）'!E11, "--")</f>
        <v>9824</v>
      </c>
      <c r="AZ60" s="4">
        <f>IFERROR(INDEX([9]Sheet1!$E:$E, MATCH(A60,[9]Sheet1!$B:$B, 0)) * 积分!AW60*'系数（护理）'!D11, "--")</f>
        <v>1078</v>
      </c>
      <c r="BA60" s="4">
        <f>IFERROR(INDEX([9]Sheet1!$C:$C, MATCH(A60,[9]Sheet1!$B:$B, 0)) * 积分!AX60*'系数（护理）'!C11, "--")</f>
        <v>0</v>
      </c>
      <c r="BB60" s="4">
        <f>IFERROR(INDEX([9]Sheet1!$D:$D, MATCH(A60,[9]Sheet1!$B:$B, 0)) * 积分!AY60*'系数（护理）'!B11, "--")</f>
        <v>0</v>
      </c>
      <c r="BC60" s="4">
        <f>IFERROR(INDEX([9]Sheet1!$I:$I, MATCH(A60,[9]Sheet1!$B:$B, 0)) * 积分!AZ60 * '系数（护理）'!L11, "--")</f>
        <v>23962.013999999996</v>
      </c>
    </row>
    <row r="61" spans="1:55" ht="17.399999999999999" x14ac:dyDescent="0.25">
      <c r="A61" s="5" t="s">
        <v>174</v>
      </c>
      <c r="B61" s="2">
        <f t="shared" si="10"/>
        <v>94868.467000000004</v>
      </c>
      <c r="C61" s="2">
        <v>0</v>
      </c>
      <c r="D61" s="2">
        <v>0</v>
      </c>
      <c r="E61" s="2">
        <v>0</v>
      </c>
      <c r="F61" s="12" t="s">
        <v>117</v>
      </c>
      <c r="G61" s="12" t="s">
        <v>117</v>
      </c>
      <c r="H61" s="12" t="s">
        <v>117</v>
      </c>
      <c r="I61" s="12" t="s">
        <v>117</v>
      </c>
      <c r="J61" s="12" t="s">
        <v>117</v>
      </c>
      <c r="K61" s="12" t="s">
        <v>117</v>
      </c>
      <c r="L61" s="12" t="s">
        <v>117</v>
      </c>
      <c r="M61" s="12" t="s">
        <v>117</v>
      </c>
      <c r="N61" s="12" t="s">
        <v>117</v>
      </c>
      <c r="O61" s="12" t="s">
        <v>117</v>
      </c>
      <c r="P61" s="12" t="s">
        <v>117</v>
      </c>
      <c r="Q61" s="12" t="s">
        <v>117</v>
      </c>
      <c r="R61" s="12" t="s">
        <v>117</v>
      </c>
      <c r="S61" s="12" t="s">
        <v>117</v>
      </c>
      <c r="T61" s="12" t="s">
        <v>117</v>
      </c>
      <c r="U61" s="12" t="s">
        <v>117</v>
      </c>
      <c r="V61" s="12" t="s">
        <v>117</v>
      </c>
      <c r="W61" s="12" t="s">
        <v>117</v>
      </c>
      <c r="X61" s="12" t="s">
        <v>117</v>
      </c>
      <c r="Y61" s="2" t="str" cm="1">
        <f t="array" ref="Y61">IFERROR(INDEX([7]Sheet1!$D:$D, MATCH(1, ([7]Sheet1!$B:$B=A61) * ([7]Sheet1!$C:$C="单位系数"), 0)) * 积分!P61, "--")</f>
        <v>--</v>
      </c>
      <c r="Z61" s="12" t="s">
        <v>117</v>
      </c>
      <c r="AA61" s="2" t="str" cm="1">
        <f t="array" ref="AA61">IFERROR(INDEX([7]Sheet1!$D:$D, MATCH(1, ([7]Sheet1!$B:$B=A61) * ([7]Sheet1!$C:$C="核算金额"), 0)) * 积分!R61, "--")</f>
        <v>--</v>
      </c>
      <c r="AB61" s="2" t="str" cm="1">
        <f t="array" ref="AB61">IFERROR(INDEX([7]Sheet1!$D:$D, MATCH(1, ([7]Sheet1!$B:$B=A61) * ([7]Sheet1!$C:$C="单据"), 0))* 积分!BA61, "--")</f>
        <v>--</v>
      </c>
      <c r="AC61" s="12" t="s">
        <v>117</v>
      </c>
      <c r="AD61" s="12" t="s">
        <v>117</v>
      </c>
      <c r="AE61" s="12" t="s">
        <v>117</v>
      </c>
      <c r="AF61" s="12" t="s">
        <v>117</v>
      </c>
      <c r="AG61" s="12" t="s">
        <v>117</v>
      </c>
      <c r="AH61" s="12" t="s">
        <v>117</v>
      </c>
      <c r="AI61" s="12" t="s">
        <v>117</v>
      </c>
      <c r="AJ61" s="12" t="s">
        <v>117</v>
      </c>
      <c r="AK61" s="12">
        <f>IFERROR(INDEX([4]Sheet1!$AE:$AE, MATCH(A61,[4]Sheet1!$AN:$AN, 0)) * 积分!AC61*'系数（护理）'!M12, "--")</f>
        <v>7875.36</v>
      </c>
      <c r="AL61" s="12">
        <f>IFERROR(INDEX([4]Sheet1!$AF:$AF, MATCH(A61,[4]Sheet1!$AN:$AN, 0)) * 积分!AD61*'系数（护理）'!N12, "--")</f>
        <v>1764.42</v>
      </c>
      <c r="AM61" s="12">
        <f>IFERROR(INDEX([4]Sheet1!$AG:$AG, MATCH(A61,[4]Sheet1!$AN:$AN, 0)) * 积分!AE61*'系数（护理）'!O12, "--")</f>
        <v>0</v>
      </c>
      <c r="AN61" s="12">
        <f>IFERROR(INDEX([4]Sheet1!$AH:$AH, MATCH(A61,[4]Sheet1!$AN:$AN, 0)) * 积分!AF61*'系数（护理）'!P12, "--")</f>
        <v>0</v>
      </c>
      <c r="AO61" s="12">
        <f>IFERROR(INDEX([4]Sheet1!$AI:$AI, MATCH(A61,[4]Sheet1!$AN:$AN, 0)) * 积分!AG61*'系数（护理）'!Q12, "--")</f>
        <v>0</v>
      </c>
      <c r="AP61" s="12">
        <f>IFERROR(INDEX([4]Sheet1!$AJ:$AJ, MATCH(A61,[4]Sheet1!$AN:$AN, 0)) * 积分!AH61*'系数（护理）'!R12, "--")</f>
        <v>0</v>
      </c>
      <c r="AQ61" s="12" t="s">
        <v>117</v>
      </c>
      <c r="AR61" s="12" t="s">
        <v>117</v>
      </c>
      <c r="AS61" s="12">
        <f>IFERROR(INDEX([4]Sheet1!$Y:$Y, MATCH(A61,[4]Sheet1!$AN:$AN, 0)) * 积分!AP61*'系数（护理）'!K12, "--")</f>
        <v>0</v>
      </c>
      <c r="AT61" s="2">
        <v>15277.11</v>
      </c>
      <c r="AU61" s="2">
        <f>IFERROR(INDEX([4]Sheet1!$AL:$AL, MATCH(A61,[4]Sheet1!$AN:$AN, 0)) * 积分!AR61*'系数（护理）'!I12, "--")</f>
        <v>41421.24</v>
      </c>
      <c r="AV61" s="2">
        <f>IFERROR(INDEX([9]Sheet1!$H:$H, MATCH(A61,[9]Sheet1!$B:$B, 0)) * 积分!AS61*'系数（护理）'!H12, "--")</f>
        <v>0</v>
      </c>
      <c r="AW61" s="2">
        <f>IFERROR(INDEX([4]Sheet1!$AK:$AK, MATCH(A61,[4]Sheet1!$AN:$AN, 0)) * 积分!AT61*'系数（护理）'!G12, "--")</f>
        <v>1100</v>
      </c>
      <c r="AX61" s="2">
        <f>IFERROR(INDEX([9]Sheet1!$G:$G, MATCH(A61,[9]Sheet1!$B:$B, 0)) * 积分!AU61*'系数（护理）'!F12, "--")</f>
        <v>19372.5</v>
      </c>
      <c r="AY61" s="2">
        <f>IFERROR(INDEX([9]Sheet1!$F:$F, MATCH(A61,[9]Sheet1!$B:$B, 0)) * 积分!AV61*'系数（护理）'!E12, "--")</f>
        <v>6816</v>
      </c>
      <c r="AZ61" s="2">
        <f>IFERROR(INDEX([9]Sheet1!$E:$E, MATCH(A61,[9]Sheet1!$B:$B, 0)) * 积分!AW61*'系数（护理）'!D12, "--")</f>
        <v>0</v>
      </c>
      <c r="BA61" s="2">
        <f>IFERROR(INDEX([9]Sheet1!$C:$C, MATCH(A61,[9]Sheet1!$B:$B, 0)) * 积分!AX61*'系数（护理）'!C12, "--")</f>
        <v>0</v>
      </c>
      <c r="BB61" s="2">
        <f>IFERROR(INDEX([9]Sheet1!$D:$D, MATCH(A61,[9]Sheet1!$B:$B, 0)) * 积分!AY61*'系数（护理）'!B12, "--")</f>
        <v>0</v>
      </c>
      <c r="BC61" s="2">
        <f>IFERROR(INDEX([9]Sheet1!$I:$I, MATCH(A61,[9]Sheet1!$B:$B, 0)) * 积分!AZ61* '系数（护理）'!L12, "--")</f>
        <v>1241.8367000000001</v>
      </c>
    </row>
    <row r="62" spans="1:55" ht="17.399999999999999" x14ac:dyDescent="0.25">
      <c r="A62" s="8" t="s">
        <v>147</v>
      </c>
      <c r="B62" s="4">
        <f t="shared" si="10"/>
        <v>155140.53599999999</v>
      </c>
      <c r="C62" s="4">
        <v>0</v>
      </c>
      <c r="D62" s="4">
        <v>0</v>
      </c>
      <c r="E62" s="4">
        <v>0</v>
      </c>
      <c r="F62" s="7" t="s">
        <v>117</v>
      </c>
      <c r="G62" s="7" t="s">
        <v>117</v>
      </c>
      <c r="H62" s="7" t="s">
        <v>117</v>
      </c>
      <c r="I62" s="7" t="s">
        <v>117</v>
      </c>
      <c r="J62" s="7" t="s">
        <v>117</v>
      </c>
      <c r="K62" s="7" t="s">
        <v>117</v>
      </c>
      <c r="L62" s="7" t="s">
        <v>117</v>
      </c>
      <c r="M62" s="7" t="s">
        <v>117</v>
      </c>
      <c r="N62" s="7" t="s">
        <v>117</v>
      </c>
      <c r="O62" s="7" t="s">
        <v>117</v>
      </c>
      <c r="P62" s="7" t="s">
        <v>117</v>
      </c>
      <c r="Q62" s="7" t="s">
        <v>117</v>
      </c>
      <c r="R62" s="7" t="s">
        <v>117</v>
      </c>
      <c r="S62" s="7" t="s">
        <v>117</v>
      </c>
      <c r="T62" s="7" t="s">
        <v>117</v>
      </c>
      <c r="U62" s="7" t="s">
        <v>117</v>
      </c>
      <c r="V62" s="7" t="s">
        <v>117</v>
      </c>
      <c r="W62" s="7" t="s">
        <v>117</v>
      </c>
      <c r="X62" s="7" t="s">
        <v>117</v>
      </c>
      <c r="Y62" s="4" t="str" cm="1">
        <f t="array" ref="Y62">IFERROR(INDEX([7]Sheet1!$D:$D, MATCH(1, ([7]Sheet1!$B:$B=A62) * ([7]Sheet1!$C:$C="单位系数"), 0)) * 积分!P62, "--")</f>
        <v>--</v>
      </c>
      <c r="Z62" s="7" t="s">
        <v>117</v>
      </c>
      <c r="AA62" s="4" t="str" cm="1">
        <f t="array" ref="AA62">IFERROR(INDEX([7]Sheet1!$D:$D, MATCH(1, ([7]Sheet1!$B:$B=A62) * ([7]Sheet1!$C:$C="核算金额"), 0)) * 积分!R62, "--")</f>
        <v>--</v>
      </c>
      <c r="AB62" s="4" t="str" cm="1">
        <f t="array" ref="AB62">IFERROR(INDEX([7]Sheet1!$D:$D, MATCH(1, ([7]Sheet1!$B:$B=A62) * ([7]Sheet1!$C:$C="单据"), 0))* 积分!BA62, "--")</f>
        <v>--</v>
      </c>
      <c r="AC62" s="7" t="s">
        <v>117</v>
      </c>
      <c r="AD62" s="7" t="s">
        <v>117</v>
      </c>
      <c r="AE62" s="7" t="s">
        <v>117</v>
      </c>
      <c r="AF62" s="7" t="s">
        <v>117</v>
      </c>
      <c r="AG62" s="7" t="s">
        <v>117</v>
      </c>
      <c r="AH62" s="7" t="s">
        <v>117</v>
      </c>
      <c r="AI62" s="7" t="s">
        <v>117</v>
      </c>
      <c r="AJ62" s="7" t="s">
        <v>117</v>
      </c>
      <c r="AK62" s="7">
        <f>IFERROR(INDEX([4]Sheet1!$AF:$AF, MATCH("肝胆胰肿瘤外科护理",[4]Sheet1!$AN:$AN, 0)) * 积分!AF62*'系数（护理）'!M13, "--")</f>
        <v>5474</v>
      </c>
      <c r="AL62" s="7">
        <f>IFERROR(INDEX([4]Sheet1!$AE:$AE, MATCH("肝胆胰肿瘤外科护理",[4]Sheet1!$AN:$AN, 0)) * 积分!AD62*'系数（护理）'!N13, "--")</f>
        <v>2588.69</v>
      </c>
      <c r="AM62" s="7">
        <f>IFERROR(INDEX([4]Sheet1!$AE:$AE, MATCH("泌尿外科护理",[4]Sheet1!$AN:$AN, 0)) * 积分!AC62*'系数（护理）'!O13, "--")</f>
        <v>1585.8000000000002</v>
      </c>
      <c r="AN62" s="7">
        <f>IFERROR(INDEX([4]Sheet1!$AF:$AF, MATCH("泌尿外科护理",[4]Sheet1!$AN:$AN, 0)) * 积分!AE62*'系数（护理）'!P13, "--")</f>
        <v>1228.5899999999999</v>
      </c>
      <c r="AO62" s="7">
        <v>0</v>
      </c>
      <c r="AP62" s="7">
        <v>0</v>
      </c>
      <c r="AQ62" s="7" t="s">
        <v>117</v>
      </c>
      <c r="AR62" s="7" t="s">
        <v>117</v>
      </c>
      <c r="AS62" s="7">
        <f>IFERROR((INDEX([4]Sheet1!$Y:$Y, MATCH("肝胆胰肿瘤外科护理",[4]Sheet1!$AN:$AN, 0)) +INDEX([4]Sheet1!$Y:$Y, MATCH("泌尿外科护理",[4]Sheet1!$AN:$AN, 0)))* 积分!AP62*'系数（护理）'!K13, "--")</f>
        <v>1300</v>
      </c>
      <c r="AT62" s="4">
        <v>-3396.69</v>
      </c>
      <c r="AU62" s="4">
        <f>IFERROR((INDEX([4]Sheet1!$AL:$AL, MATCH("肝胆胰肿瘤外科护理",[4]Sheet1!$AN:$AN, 0)) +INDEX([4]Sheet1!$AL:$AL, MATCH("泌尿外科护理",[4]Sheet1!$AN:$AN, 0)))* 积分!AR62*'系数（护理）'!I13, "--")</f>
        <v>92515.199999999997</v>
      </c>
      <c r="AV62" s="4">
        <f>IFERROR(INDEX([9]Sheet1!$H:$H, MATCH(A62,[9]Sheet1!$B:$B, 0)) * 积分!AS62*'系数（护理）'!H13, "--")</f>
        <v>0</v>
      </c>
      <c r="AW62" s="4">
        <f>IFERROR((INDEX([4]Sheet1!$AK:$AK, MATCH("肝胆胰肿瘤外科护理",[4]Sheet1!$AN:$AN, 0)) +INDEX([4]Sheet1!$AK:$AK, MATCH("泌尿外科护理",[4]Sheet1!$AN:$AN, 0)))* 积分!AT53*'系数（护理）'!G13, "--")</f>
        <v>1400</v>
      </c>
      <c r="AX62" s="4">
        <f>IFERROR(INDEX([9]Sheet1!$G:$G, MATCH(A62,[9]Sheet1!$B:$B, 0)) * 积分!AU62*'系数（护理）'!F13, "--")</f>
        <v>15295.500000000002</v>
      </c>
      <c r="AY62" s="4">
        <f>IFERROR(INDEX([9]Sheet1!$F:$F, MATCH(A62,[9]Sheet1!$B:$B, 0)) * 积分!AV62*'系数（护理）'!E13, "--")</f>
        <v>9520</v>
      </c>
      <c r="AZ62" s="4">
        <f>IFERROR(INDEX([9]Sheet1!$E:$E, MATCH(A62,[9]Sheet1!$B:$B, 0)) * 积分!AW62*'系数（护理）'!D13, "--")</f>
        <v>913</v>
      </c>
      <c r="BA62" s="4">
        <f>IFERROR(INDEX([9]Sheet1!$C:$C, MATCH(A62,[9]Sheet1!$B:$B, 0)) * 积分!AX62*'系数（护理）'!C13, "--")</f>
        <v>0</v>
      </c>
      <c r="BB62" s="4">
        <f>IFERROR(INDEX([9]Sheet1!$D:$D, MATCH(A62,[9]Sheet1!$B:$B, 0)) * 积分!AY62*'系数（护理）'!B13, "--")</f>
        <v>0</v>
      </c>
      <c r="BC62" s="4">
        <f>IFERROR(INDEX([9]Sheet1!$I:$I, MATCH(A62,[9]Sheet1!$B:$B, 0)) * 积分!AZ62 * '系数（护理）'!L13, "--")</f>
        <v>26716.446239999997</v>
      </c>
    </row>
    <row r="63" spans="1:55" ht="17.399999999999999" x14ac:dyDescent="0.25">
      <c r="A63" s="5" t="s">
        <v>143</v>
      </c>
      <c r="B63" s="2">
        <f t="shared" si="10"/>
        <v>63968.226000000002</v>
      </c>
      <c r="C63" s="2">
        <v>0</v>
      </c>
      <c r="D63" s="2">
        <v>0</v>
      </c>
      <c r="E63" s="2">
        <v>0</v>
      </c>
      <c r="F63" s="12" t="s">
        <v>117</v>
      </c>
      <c r="G63" s="12" t="s">
        <v>117</v>
      </c>
      <c r="H63" s="12" t="s">
        <v>117</v>
      </c>
      <c r="I63" s="12" t="s">
        <v>117</v>
      </c>
      <c r="J63" s="12" t="s">
        <v>117</v>
      </c>
      <c r="K63" s="12" t="s">
        <v>117</v>
      </c>
      <c r="L63" s="12" t="s">
        <v>117</v>
      </c>
      <c r="M63" s="12" t="s">
        <v>117</v>
      </c>
      <c r="N63" s="12" t="s">
        <v>117</v>
      </c>
      <c r="O63" s="12" t="s">
        <v>117</v>
      </c>
      <c r="P63" s="12" t="s">
        <v>117</v>
      </c>
      <c r="Q63" s="12" t="s">
        <v>117</v>
      </c>
      <c r="R63" s="12" t="s">
        <v>117</v>
      </c>
      <c r="S63" s="12" t="s">
        <v>117</v>
      </c>
      <c r="T63" s="12" t="s">
        <v>117</v>
      </c>
      <c r="U63" s="12" t="s">
        <v>117</v>
      </c>
      <c r="V63" s="12" t="s">
        <v>117</v>
      </c>
      <c r="W63" s="12" t="s">
        <v>117</v>
      </c>
      <c r="X63" s="12" t="s">
        <v>117</v>
      </c>
      <c r="Y63" s="2" t="str" cm="1">
        <f t="array" ref="Y63">IFERROR(INDEX([7]Sheet1!$D:$D, MATCH(1, ([7]Sheet1!$B:$B=A63) * ([7]Sheet1!$C:$C="单位系数"), 0)) * 积分!P63, "--")</f>
        <v>--</v>
      </c>
      <c r="Z63" s="12" t="s">
        <v>117</v>
      </c>
      <c r="AA63" s="2" t="str" cm="1">
        <f t="array" ref="AA63">IFERROR(INDEX([7]Sheet1!$D:$D, MATCH(1, ([7]Sheet1!$B:$B=A63) * ([7]Sheet1!$C:$C="核算金额"), 0)) * 积分!R63, "--")</f>
        <v>--</v>
      </c>
      <c r="AB63" s="2" t="str" cm="1">
        <f t="array" ref="AB63">IFERROR(INDEX([7]Sheet1!$D:$D, MATCH(1, ([7]Sheet1!$B:$B=A63) * ([7]Sheet1!$C:$C="单据"), 0))* 积分!BA63, "--")</f>
        <v>--</v>
      </c>
      <c r="AC63" s="12" t="s">
        <v>117</v>
      </c>
      <c r="AD63" s="12" t="s">
        <v>117</v>
      </c>
      <c r="AE63" s="12" t="s">
        <v>117</v>
      </c>
      <c r="AF63" s="12" t="s">
        <v>117</v>
      </c>
      <c r="AG63" s="12" t="s">
        <v>117</v>
      </c>
      <c r="AH63" s="12" t="s">
        <v>117</v>
      </c>
      <c r="AI63" s="12" t="s">
        <v>117</v>
      </c>
      <c r="AJ63" s="12" t="s">
        <v>117</v>
      </c>
      <c r="AK63" s="12">
        <f>IFERROR(INDEX([4]Sheet1!$AE:$AE, MATCH(A63,[4]Sheet1!$AN:$AN, 0)) * 积分!AC63*'系数（护理）'!M14, "--")</f>
        <v>2248.25</v>
      </c>
      <c r="AL63" s="12">
        <f>IFERROR(INDEX([4]Sheet1!$AF:$AF, MATCH(A63,[4]Sheet1!$AN:$AN, 0)) * 积分!AD63*'系数（护理）'!N14, "--")</f>
        <v>983.40000000000009</v>
      </c>
      <c r="AM63" s="12">
        <f>IFERROR(INDEX([4]Sheet1!$AG:$AG, MATCH(A63,[4]Sheet1!$AN:$AN, 0)) * 积分!AE63*'系数（护理）'!O14, "--")</f>
        <v>0</v>
      </c>
      <c r="AN63" s="12">
        <f>IFERROR(INDEX([4]Sheet1!$AH:$AH, MATCH(A63,[4]Sheet1!$AN:$AN, 0)) * 积分!AF63*'系数（护理）'!P14, "--")</f>
        <v>0</v>
      </c>
      <c r="AO63" s="12">
        <f>IFERROR(INDEX([4]Sheet1!$AI:$AI, MATCH(A63,[4]Sheet1!$AN:$AN, 0)) * 积分!AG63*'系数（护理）'!Q14, "--")</f>
        <v>0</v>
      </c>
      <c r="AP63" s="12">
        <f>IFERROR(INDEX([4]Sheet1!$AJ:$AJ, MATCH(A63,[4]Sheet1!$AN:$AN, 0)) * 积分!AH63*'系数（护理）'!R14, "--")</f>
        <v>0</v>
      </c>
      <c r="AQ63" s="12" t="s">
        <v>117</v>
      </c>
      <c r="AR63" s="12" t="s">
        <v>117</v>
      </c>
      <c r="AS63" s="12">
        <f>IFERROR(INDEX([4]Sheet1!$Y:$Y, MATCH(A63,[4]Sheet1!$AN:$AN, 0)) * 积分!AP63*'系数（护理）'!K14, "--")</f>
        <v>0</v>
      </c>
      <c r="AT63" s="2">
        <v>-3394.71</v>
      </c>
      <c r="AU63" s="2">
        <f>IFERROR(INDEX([4]Sheet1!$AL:$AL, MATCH(A63,[4]Sheet1!$AN:$AN, 0)) * 积分!AR63*'系数（护理）'!I14, "--")</f>
        <v>40830.75</v>
      </c>
      <c r="AV63" s="2">
        <f>IFERROR(INDEX([9]Sheet1!$H:$H, MATCH(A63,[9]Sheet1!$B:$B, 0)) * 积分!AS63*'系数（护理）'!H14, "--")</f>
        <v>0</v>
      </c>
      <c r="AW63" s="2">
        <f>IFERROR(INDEX([4]Sheet1!$AK:$AK, MATCH(A63,[4]Sheet1!$AN:$AN, 0)) * 积分!AT63*'系数（护理）'!G14, "--")</f>
        <v>900</v>
      </c>
      <c r="AX63" s="2">
        <f>IFERROR(INDEX([9]Sheet1!$G:$G, MATCH(A63,[9]Sheet1!$B:$B, 0)) * 积分!AU63*'系数（护理）'!F14, "--")</f>
        <v>1239.3000000000002</v>
      </c>
      <c r="AY63" s="2">
        <f>IFERROR(INDEX([9]Sheet1!$F:$F, MATCH(A63,[9]Sheet1!$B:$B, 0)) * 积分!AV63*'系数（护理）'!E14, "--")</f>
        <v>5328</v>
      </c>
      <c r="AZ63" s="2">
        <f>IFERROR(INDEX([9]Sheet1!$E:$E, MATCH(A63,[9]Sheet1!$B:$B, 0)) * 积分!AW63*'系数（护理）'!D14, "--")</f>
        <v>55</v>
      </c>
      <c r="BA63" s="2">
        <f>IFERROR(INDEX([9]Sheet1!$C:$C, MATCH(A63,[9]Sheet1!$B:$B, 0)) * 积分!AX63*'系数（护理）'!C14, "--")</f>
        <v>0</v>
      </c>
      <c r="BB63" s="2">
        <f>IFERROR(INDEX([9]Sheet1!$D:$D, MATCH(A63,[9]Sheet1!$B:$B, 0)) * 积分!AY63*'系数（护理）'!B14, "--")</f>
        <v>0</v>
      </c>
      <c r="BC63" s="2">
        <f>IFERROR(INDEX([9]Sheet1!$I:$I, MATCH(A63,[9]Sheet1!$B:$B, 0)) * 积分!AZ63* '系数（护理）'!L14, "--")</f>
        <v>15778.236159999999</v>
      </c>
    </row>
    <row r="64" spans="1:55" ht="17.399999999999999" x14ac:dyDescent="0.25">
      <c r="A64" s="8" t="s">
        <v>149</v>
      </c>
      <c r="B64" s="4">
        <f t="shared" si="10"/>
        <v>103041.969</v>
      </c>
      <c r="C64" s="4">
        <v>0</v>
      </c>
      <c r="D64" s="4">
        <v>0</v>
      </c>
      <c r="E64" s="4">
        <v>0</v>
      </c>
      <c r="F64" s="7" t="s">
        <v>117</v>
      </c>
      <c r="G64" s="7" t="s">
        <v>117</v>
      </c>
      <c r="H64" s="7" t="s">
        <v>117</v>
      </c>
      <c r="I64" s="7" t="s">
        <v>117</v>
      </c>
      <c r="J64" s="7" t="s">
        <v>117</v>
      </c>
      <c r="K64" s="7" t="s">
        <v>117</v>
      </c>
      <c r="L64" s="7" t="s">
        <v>117</v>
      </c>
      <c r="M64" s="7" t="s">
        <v>117</v>
      </c>
      <c r="N64" s="7" t="s">
        <v>117</v>
      </c>
      <c r="O64" s="7" t="s">
        <v>117</v>
      </c>
      <c r="P64" s="7" t="s">
        <v>117</v>
      </c>
      <c r="Q64" s="7" t="s">
        <v>117</v>
      </c>
      <c r="R64" s="7" t="s">
        <v>117</v>
      </c>
      <c r="S64" s="7" t="s">
        <v>117</v>
      </c>
      <c r="T64" s="7" t="s">
        <v>117</v>
      </c>
      <c r="U64" s="7" t="s">
        <v>117</v>
      </c>
      <c r="V64" s="7" t="s">
        <v>117</v>
      </c>
      <c r="W64" s="7" t="s">
        <v>117</v>
      </c>
      <c r="X64" s="7" t="s">
        <v>117</v>
      </c>
      <c r="Y64" s="4" t="str" cm="1">
        <f t="array" ref="Y64">IFERROR(INDEX([7]Sheet1!$D:$D, MATCH(1, ([7]Sheet1!$B:$B=A64) * ([7]Sheet1!$C:$C="单位系数"), 0)) * 积分!P64, "--")</f>
        <v>--</v>
      </c>
      <c r="Z64" s="7" t="s">
        <v>117</v>
      </c>
      <c r="AA64" s="4" t="str" cm="1">
        <f t="array" ref="AA64">IFERROR(INDEX([7]Sheet1!$D:$D, MATCH(1, ([7]Sheet1!$B:$B=A64) * ([7]Sheet1!$C:$C="核算金额"), 0)) * 积分!R64, "--")</f>
        <v>--</v>
      </c>
      <c r="AB64" s="4" t="str" cm="1">
        <f t="array" ref="AB64">IFERROR(INDEX([7]Sheet1!$D:$D, MATCH(1, ([7]Sheet1!$B:$B=A64) * ([7]Sheet1!$C:$C="单据"), 0))* 积分!BA64, "--")</f>
        <v>--</v>
      </c>
      <c r="AC64" s="7" t="s">
        <v>117</v>
      </c>
      <c r="AD64" s="7" t="s">
        <v>117</v>
      </c>
      <c r="AE64" s="7" t="s">
        <v>117</v>
      </c>
      <c r="AF64" s="7" t="s">
        <v>117</v>
      </c>
      <c r="AG64" s="7" t="s">
        <v>117</v>
      </c>
      <c r="AH64" s="7" t="s">
        <v>117</v>
      </c>
      <c r="AI64" s="7" t="s">
        <v>117</v>
      </c>
      <c r="AJ64" s="7" t="s">
        <v>117</v>
      </c>
      <c r="AK64" s="7">
        <f>IFERROR(INDEX([4]Sheet1!$AE:$AE, MATCH(A64,[4]Sheet1!$AN:$AN, 0)) * 积分!AC64*'系数（护理）'!M15, "--")</f>
        <v>1247.58</v>
      </c>
      <c r="AL64" s="7">
        <f>IFERROR(INDEX([4]Sheet1!$AF:$AF, MATCH(A64,[4]Sheet1!$AN:$AN, 0)) * 积分!AD64*'系数（护理）'!N15, "--")</f>
        <v>9148.92</v>
      </c>
      <c r="AM64" s="7">
        <f>IFERROR(INDEX([4]Sheet1!$AG:$AG, MATCH(A64,[4]Sheet1!$AN:$AN, 0)) * 积分!AE64*'系数（护理）'!O15, "--")</f>
        <v>0</v>
      </c>
      <c r="AN64" s="7">
        <f>IFERROR(INDEX([4]Sheet1!$AH:$AH, MATCH(A64,[4]Sheet1!$AN:$AN, 0)) * 积分!AF64*'系数（护理）'!P15, "--")</f>
        <v>0</v>
      </c>
      <c r="AO64" s="7">
        <f>IFERROR(INDEX([4]Sheet1!$AI:$AI, MATCH(A64,[4]Sheet1!$AN:$AN, 0)) * 积分!AG64*'系数（护理）'!Q15, "--")</f>
        <v>0</v>
      </c>
      <c r="AP64" s="7">
        <f>IFERROR(INDEX([4]Sheet1!$AJ:$AJ, MATCH(A64,[4]Sheet1!$AN:$AN, 0)) * 积分!AH64*'系数（护理）'!R15, "--")</f>
        <v>0</v>
      </c>
      <c r="AQ64" s="7" t="s">
        <v>117</v>
      </c>
      <c r="AR64" s="7" t="s">
        <v>117</v>
      </c>
      <c r="AS64" s="7">
        <f>IFERROR(INDEX([4]Sheet1!$Y:$Y, MATCH(A64,[4]Sheet1!$AN:$AN, 0)) * 积分!AP64*'系数（护理）'!K15, "--")</f>
        <v>1625</v>
      </c>
      <c r="AT64" s="4">
        <v>-2986.78</v>
      </c>
      <c r="AU64" s="4">
        <f>IFERROR(INDEX([4]Sheet1!$AL:$AL, MATCH(A64,[4]Sheet1!$AN:$AN, 0)) * 积分!AR64*'系数（护理）'!I15, "--")</f>
        <v>66872.400000000009</v>
      </c>
      <c r="AV64" s="4">
        <f>IFERROR(INDEX([9]Sheet1!$H:$H, MATCH(A64,[9]Sheet1!$B:$B, 0)) * 积分!AS64*'系数（护理）'!H15, "--")</f>
        <v>0</v>
      </c>
      <c r="AW64" s="4">
        <f>IFERROR(INDEX([4]Sheet1!$AK:$AK, MATCH(A64,[4]Sheet1!$AN:$AN, 0)) * 积分!AT64*'系数（护理）'!G15, "--")</f>
        <v>880</v>
      </c>
      <c r="AX64" s="4">
        <f>IFERROR(INDEX([9]Sheet1!$G:$G, MATCH(A64,[9]Sheet1!$B:$B, 0)) * 积分!AU64*'系数（护理）'!F15, "--")</f>
        <v>675</v>
      </c>
      <c r="AY64" s="4">
        <f>IFERROR(INDEX([9]Sheet1!$F:$F, MATCH(A64,[9]Sheet1!$B:$B, 0)) * 积分!AV64*'系数（护理）'!E15, "--")</f>
        <v>6576</v>
      </c>
      <c r="AZ64" s="4">
        <f>IFERROR(INDEX([9]Sheet1!$E:$E, MATCH(A64,[9]Sheet1!$B:$B, 0)) * 积分!AW64*'系数（护理）'!D15, "--")</f>
        <v>385</v>
      </c>
      <c r="BA64" s="4">
        <f>IFERROR(INDEX([9]Sheet1!$C:$C, MATCH(A64,[9]Sheet1!$B:$B, 0)) * 积分!AX64*'系数（护理）'!C15, "--")</f>
        <v>0</v>
      </c>
      <c r="BB64" s="4">
        <f>IFERROR(INDEX([9]Sheet1!$D:$D, MATCH(A64,[9]Sheet1!$B:$B, 0)) * 积分!AY64*'系数（护理）'!B15, "--")</f>
        <v>0</v>
      </c>
      <c r="BC64" s="4">
        <f>IFERROR(INDEX([9]Sheet1!$I:$I, MATCH(A64,[9]Sheet1!$B:$B, 0)) * 积分!AZ64 * '系数（护理）'!L15, "--")</f>
        <v>18618.849479999997</v>
      </c>
    </row>
    <row r="65" spans="1:55" ht="17.399999999999999" x14ac:dyDescent="0.25">
      <c r="A65" s="5" t="s">
        <v>257</v>
      </c>
      <c r="B65" s="2" t="e">
        <f t="shared" si="10"/>
        <v>#VALUE!</v>
      </c>
      <c r="C65" s="2">
        <v>0</v>
      </c>
      <c r="D65" s="2">
        <v>0</v>
      </c>
      <c r="E65" s="2">
        <v>0</v>
      </c>
      <c r="F65" s="12" t="s">
        <v>117</v>
      </c>
      <c r="G65" s="12" t="s">
        <v>117</v>
      </c>
      <c r="H65" s="12" t="s">
        <v>117</v>
      </c>
      <c r="I65" s="12" t="s">
        <v>117</v>
      </c>
      <c r="J65" s="12" t="s">
        <v>117</v>
      </c>
      <c r="K65" s="12" t="s">
        <v>117</v>
      </c>
      <c r="L65" s="12" t="s">
        <v>117</v>
      </c>
      <c r="M65" s="12" t="s">
        <v>117</v>
      </c>
      <c r="N65" s="12" t="s">
        <v>117</v>
      </c>
      <c r="O65" s="12" t="s">
        <v>117</v>
      </c>
      <c r="P65" s="12" t="s">
        <v>117</v>
      </c>
      <c r="Q65" s="12" t="s">
        <v>117</v>
      </c>
      <c r="R65" s="12" t="s">
        <v>117</v>
      </c>
      <c r="S65" s="12" t="s">
        <v>117</v>
      </c>
      <c r="T65" s="12" t="s">
        <v>117</v>
      </c>
      <c r="U65" s="12" t="s">
        <v>117</v>
      </c>
      <c r="V65" s="12" t="s">
        <v>117</v>
      </c>
      <c r="W65" s="12" t="s">
        <v>117</v>
      </c>
      <c r="X65" s="12" t="s">
        <v>117</v>
      </c>
      <c r="Y65" s="2" t="str" cm="1">
        <f t="array" ref="Y65">IFERROR(INDEX([7]Sheet1!$D:$D, MATCH(1, ([7]Sheet1!$B:$B=A65) * ([7]Sheet1!$C:$C="单位系数"), 0)) * 积分!P65, "--")</f>
        <v>--</v>
      </c>
      <c r="Z65" s="12" t="s">
        <v>117</v>
      </c>
      <c r="AA65" s="2" t="str" cm="1">
        <f t="array" ref="AA65">IFERROR(INDEX([7]Sheet1!$D:$D, MATCH(1, ([7]Sheet1!$B:$B=A65) * ([7]Sheet1!$C:$C="核算金额"), 0)) * 积分!R65, "--")</f>
        <v>--</v>
      </c>
      <c r="AB65" s="2" t="str" cm="1">
        <f t="array" ref="AB65">IFERROR(INDEX([7]Sheet1!$D:$D, MATCH(1, ([7]Sheet1!$B:$B=A65) * ([7]Sheet1!$C:$C="单据"), 0))* 积分!BA65, "--")</f>
        <v>--</v>
      </c>
      <c r="AC65" s="12" t="s">
        <v>117</v>
      </c>
      <c r="AD65" s="12" t="s">
        <v>117</v>
      </c>
      <c r="AE65" s="12" t="s">
        <v>117</v>
      </c>
      <c r="AF65" s="12" t="s">
        <v>117</v>
      </c>
      <c r="AG65" s="12" t="s">
        <v>117</v>
      </c>
      <c r="AH65" s="12" t="s">
        <v>117</v>
      </c>
      <c r="AI65" s="12" t="s">
        <v>117</v>
      </c>
      <c r="AJ65" s="12" t="s">
        <v>117</v>
      </c>
      <c r="AK65" s="12" t="str">
        <f>IFERROR(INDEX([4]Sheet1!$AE:$AE, MATCH(A65,[4]Sheet1!$AN:$AN, 0)) * 积分!AC65*'系数（护理）'!M16, "--")</f>
        <v>--</v>
      </c>
      <c r="AL65" s="12" t="str">
        <f>IFERROR(INDEX([4]Sheet1!$AF:$AF, MATCH(A65,[4]Sheet1!$AN:$AN, 0)) * 积分!AD65*'系数（护理）'!N16, "--")</f>
        <v>--</v>
      </c>
      <c r="AM65" s="12" t="str">
        <f>IFERROR(INDEX([4]Sheet1!$AG:$AG, MATCH(A65,[4]Sheet1!$AN:$AN, 0)) * 积分!AE65*'系数（护理）'!O16, "--")</f>
        <v>--</v>
      </c>
      <c r="AN65" s="12" t="str">
        <f>IFERROR(INDEX([4]Sheet1!$AH:$AH, MATCH(A65,[4]Sheet1!$AN:$AN, 0)) * 积分!AF65*'系数（护理）'!P16, "--")</f>
        <v>--</v>
      </c>
      <c r="AO65" s="12" t="str">
        <f>IFERROR(INDEX([4]Sheet1!$AI:$AI, MATCH(A65,[4]Sheet1!$AN:$AN, 0)) * 积分!AG65*'系数（护理）'!Q16, "--")</f>
        <v>--</v>
      </c>
      <c r="AP65" s="12" t="str">
        <f>IFERROR(INDEX([4]Sheet1!$AJ:$AJ, MATCH(A65,[4]Sheet1!$AN:$AN, 0)) * 积分!AH65*'系数（护理）'!R16, "--")</f>
        <v>--</v>
      </c>
      <c r="AQ65" s="12" t="s">
        <v>117</v>
      </c>
      <c r="AR65" s="12" t="s">
        <v>117</v>
      </c>
      <c r="AS65" s="12" t="str">
        <f>IFERROR(INDEX([4]Sheet1!$Y:$Y, MATCH(A65,[4]Sheet1!$AN:$AN, 0)) * 积分!AP65*'系数（护理）'!K16, "--")</f>
        <v>--</v>
      </c>
      <c r="AT65" s="2">
        <v>2700</v>
      </c>
      <c r="AU65" s="2" t="str">
        <f>IFERROR(INDEX([4]Sheet1!$AL:$AL, MATCH(A65,[4]Sheet1!$AN:$AN, 0)) * 积分!AR65*'系数（护理）'!I16, "--")</f>
        <v>--</v>
      </c>
      <c r="AV65" s="2" t="str">
        <f>IFERROR(INDEX([9]Sheet1!$H:$H, MATCH(A65,[9]Sheet1!$B:$B, 0)) * 积分!AS65*'系数（护理）'!H16, "--")</f>
        <v>--</v>
      </c>
      <c r="AW65" s="2" t="str">
        <f>IFERROR(INDEX([4]Sheet1!$AK:$AK, MATCH(A65,[4]Sheet1!$AN:$AN, 0)) * 积分!AT65*'系数（护理）'!G16, "--")</f>
        <v>--</v>
      </c>
      <c r="AX65" s="2" t="str">
        <f>IFERROR(INDEX([9]Sheet1!$G:$G, MATCH(A65,[9]Sheet1!$B:$B, 0)) * 积分!AU65*'系数（护理）'!F16, "--")</f>
        <v>--</v>
      </c>
      <c r="AY65" s="2" t="str">
        <f>IFERROR(INDEX([9]Sheet1!$F:$F, MATCH(A65,[9]Sheet1!$B:$B, 0)) * 积分!AV65*'系数（护理）'!E16, "--")</f>
        <v>--</v>
      </c>
      <c r="AZ65" s="2" t="str">
        <f>IFERROR(INDEX([9]Sheet1!$E:$E, MATCH(A65,[9]Sheet1!$B:$B, 0)) * 积分!AW65*'系数（护理）'!D16, "--")</f>
        <v>--</v>
      </c>
      <c r="BA65" s="2" t="str">
        <f>IFERROR(INDEX([9]Sheet1!$C:$C, MATCH(A65,[9]Sheet1!$B:$B, 0)) * 积分!AX65*'系数（护理）'!C16, "--")</f>
        <v>--</v>
      </c>
      <c r="BB65" s="2" t="str">
        <f>IFERROR(INDEX([9]Sheet1!$D:$D, MATCH(A65,[9]Sheet1!$B:$B, 0)) * 积分!AY65*'系数（护理）'!B16, "--")</f>
        <v>--</v>
      </c>
      <c r="BC65" s="2" t="str">
        <f>IFERROR(INDEX([9]Sheet1!$I:$I, MATCH(A65,[9]Sheet1!$B:$B, 0)) * 积分!AZ65* '系数（护理）'!L16, "--")</f>
        <v>--</v>
      </c>
    </row>
    <row r="66" spans="1:55" ht="17.399999999999999" x14ac:dyDescent="0.25">
      <c r="A66" s="5" t="s">
        <v>258</v>
      </c>
      <c r="B66" s="2" t="e">
        <f t="shared" ref="B66:B67" si="11">ROUND(AK66+AL66+AM66+AN66+AO66+AP66+AS66 + AT66 + AU66 + AV66 + AW66 + AX66 + AY66 + AZ66 + BA66 + BB66 + BC66,3)</f>
        <v>#VALUE!</v>
      </c>
      <c r="C66" s="2">
        <v>0</v>
      </c>
      <c r="D66" s="2">
        <v>0</v>
      </c>
      <c r="E66" s="2">
        <v>0</v>
      </c>
      <c r="F66" s="12" t="s">
        <v>117</v>
      </c>
      <c r="G66" s="12" t="s">
        <v>117</v>
      </c>
      <c r="H66" s="12" t="s">
        <v>117</v>
      </c>
      <c r="I66" s="12" t="s">
        <v>117</v>
      </c>
      <c r="J66" s="12" t="s">
        <v>117</v>
      </c>
      <c r="K66" s="12" t="s">
        <v>117</v>
      </c>
      <c r="L66" s="12" t="s">
        <v>117</v>
      </c>
      <c r="M66" s="12" t="s">
        <v>117</v>
      </c>
      <c r="N66" s="12" t="s">
        <v>117</v>
      </c>
      <c r="O66" s="12" t="s">
        <v>117</v>
      </c>
      <c r="P66" s="12" t="s">
        <v>117</v>
      </c>
      <c r="Q66" s="12" t="s">
        <v>117</v>
      </c>
      <c r="R66" s="12" t="s">
        <v>117</v>
      </c>
      <c r="S66" s="12" t="s">
        <v>117</v>
      </c>
      <c r="T66" s="12" t="s">
        <v>117</v>
      </c>
      <c r="U66" s="12" t="s">
        <v>117</v>
      </c>
      <c r="V66" s="12" t="s">
        <v>117</v>
      </c>
      <c r="W66" s="12" t="s">
        <v>117</v>
      </c>
      <c r="X66" s="12" t="s">
        <v>117</v>
      </c>
      <c r="Y66" s="2" t="str" cm="1">
        <f t="array" ref="Y66">IFERROR(INDEX([7]Sheet1!$D:$D, MATCH(1, ([7]Sheet1!$B:$B=A66) * ([7]Sheet1!$C:$C="单位系数"), 0)) * 积分!P66, "--")</f>
        <v>--</v>
      </c>
      <c r="Z66" s="12" t="s">
        <v>117</v>
      </c>
      <c r="AA66" s="2" t="str" cm="1">
        <f t="array" ref="AA66">IFERROR(INDEX([7]Sheet1!$D:$D, MATCH(1, ([7]Sheet1!$B:$B=A66) * ([7]Sheet1!$C:$C="核算金额"), 0)) * 积分!R66, "--")</f>
        <v>--</v>
      </c>
      <c r="AB66" s="2" t="str" cm="1">
        <f t="array" ref="AB66">IFERROR(INDEX([7]Sheet1!$D:$D, MATCH(1, ([7]Sheet1!$B:$B=A66) * ([7]Sheet1!$C:$C="单据"), 0))* 积分!BA66, "--")</f>
        <v>--</v>
      </c>
      <c r="AC66" s="12" t="s">
        <v>117</v>
      </c>
      <c r="AD66" s="12" t="s">
        <v>117</v>
      </c>
      <c r="AE66" s="12" t="s">
        <v>117</v>
      </c>
      <c r="AF66" s="12" t="s">
        <v>117</v>
      </c>
      <c r="AG66" s="12" t="s">
        <v>117</v>
      </c>
      <c r="AH66" s="12" t="s">
        <v>117</v>
      </c>
      <c r="AI66" s="12" t="s">
        <v>117</v>
      </c>
      <c r="AJ66" s="12" t="s">
        <v>117</v>
      </c>
      <c r="AK66" s="12" t="str">
        <f>IFERROR(INDEX([4]Sheet1!$AE:$AE, MATCH(A66,[4]Sheet1!$AN:$AN, 0)) * 积分!AC66*'系数（护理）'!M17, "--")</f>
        <v>--</v>
      </c>
      <c r="AL66" s="12" t="str">
        <f>IFERROR(INDEX([4]Sheet1!$AF:$AF, MATCH(A66,[4]Sheet1!$AN:$AN, 0)) * 积分!AD66*'系数（护理）'!N17, "--")</f>
        <v>--</v>
      </c>
      <c r="AM66" s="12" t="str">
        <f>IFERROR(INDEX([4]Sheet1!$AG:$AG, MATCH(A66,[4]Sheet1!$AN:$AN, 0)) * 积分!AE66*'系数（护理）'!O17, "--")</f>
        <v>--</v>
      </c>
      <c r="AN66" s="12" t="str">
        <f>IFERROR(INDEX([4]Sheet1!$AH:$AH, MATCH(A66,[4]Sheet1!$AN:$AN, 0)) * 积分!AF66*'系数（护理）'!P17, "--")</f>
        <v>--</v>
      </c>
      <c r="AO66" s="12" t="str">
        <f>IFERROR(INDEX([4]Sheet1!$AI:$AI, MATCH(A66,[4]Sheet1!$AN:$AN, 0)) * 积分!AG66*'系数（护理）'!Q17, "--")</f>
        <v>--</v>
      </c>
      <c r="AP66" s="12" t="str">
        <f>IFERROR(INDEX([4]Sheet1!$AJ:$AJ, MATCH(A66,[4]Sheet1!$AN:$AN, 0)) * 积分!AH66*'系数（护理）'!R17, "--")</f>
        <v>--</v>
      </c>
      <c r="AQ66" s="12" t="s">
        <v>117</v>
      </c>
      <c r="AR66" s="12" t="s">
        <v>117</v>
      </c>
      <c r="AS66" s="12" t="str">
        <f>IFERROR(INDEX([4]Sheet1!$Y:$Y, MATCH(A66,[4]Sheet1!$AN:$AN, 0)) * 积分!AP66*'系数（护理）'!K17, "--")</f>
        <v>--</v>
      </c>
      <c r="AT66" s="2">
        <v>2701</v>
      </c>
      <c r="AU66" s="2" t="str">
        <f>IFERROR(INDEX([4]Sheet1!$AL:$AL, MATCH(A66,[4]Sheet1!$AN:$AN, 0)) * 积分!AR66*'系数（护理）'!I17, "--")</f>
        <v>--</v>
      </c>
      <c r="AV66" s="2" t="str">
        <f>IFERROR(INDEX([9]Sheet1!$H:$H, MATCH(A66,[9]Sheet1!$B:$B, 0)) * 积分!AS66*'系数（护理）'!H17, "--")</f>
        <v>--</v>
      </c>
      <c r="AW66" s="2" t="str">
        <f>IFERROR(INDEX([4]Sheet1!$AK:$AK, MATCH(A66,[4]Sheet1!$AN:$AN, 0)) * 积分!AT66*'系数（护理）'!G17, "--")</f>
        <v>--</v>
      </c>
      <c r="AX66" s="2" t="str">
        <f>IFERROR(INDEX([9]Sheet1!$G:$G, MATCH(A66,[9]Sheet1!$B:$B, 0)) * 积分!AU66*'系数（护理）'!F17, "--")</f>
        <v>--</v>
      </c>
      <c r="AY66" s="2" t="str">
        <f>IFERROR(INDEX([9]Sheet1!$F:$F, MATCH(A66,[9]Sheet1!$B:$B, 0)) * 积分!AV66*'系数（护理）'!E17, "--")</f>
        <v>--</v>
      </c>
      <c r="AZ66" s="2" t="str">
        <f>IFERROR(INDEX([9]Sheet1!$E:$E, MATCH(A66,[9]Sheet1!$B:$B, 0)) * 积分!AW66*'系数（护理）'!D17, "--")</f>
        <v>--</v>
      </c>
      <c r="BA66" s="2" t="str">
        <f>IFERROR(INDEX([9]Sheet1!$C:$C, MATCH(A66,[9]Sheet1!$B:$B, 0)) * 积分!AX66*'系数（护理）'!C17, "--")</f>
        <v>--</v>
      </c>
      <c r="BB66" s="2" t="str">
        <f>IFERROR(INDEX([9]Sheet1!$D:$D, MATCH(A66,[9]Sheet1!$B:$B, 0)) * 积分!AY66*'系数（护理）'!B17, "--")</f>
        <v>--</v>
      </c>
      <c r="BC66" s="2" t="str">
        <f>IFERROR(INDEX([9]Sheet1!$I:$I, MATCH(A66,[9]Sheet1!$B:$B, 0)) * 积分!AZ66* '系数（护理）'!L17, "--")</f>
        <v>--</v>
      </c>
    </row>
    <row r="67" spans="1:55" ht="17.399999999999999" x14ac:dyDescent="0.25">
      <c r="A67" s="5" t="s">
        <v>259</v>
      </c>
      <c r="B67" s="2" t="e">
        <f t="shared" si="11"/>
        <v>#VALUE!</v>
      </c>
      <c r="C67" s="2">
        <v>0</v>
      </c>
      <c r="D67" s="2">
        <v>0</v>
      </c>
      <c r="E67" s="2">
        <v>0</v>
      </c>
      <c r="F67" s="12" t="s">
        <v>117</v>
      </c>
      <c r="G67" s="12" t="s">
        <v>117</v>
      </c>
      <c r="H67" s="12" t="s">
        <v>117</v>
      </c>
      <c r="I67" s="12" t="s">
        <v>117</v>
      </c>
      <c r="J67" s="12" t="s">
        <v>117</v>
      </c>
      <c r="K67" s="12" t="s">
        <v>117</v>
      </c>
      <c r="L67" s="12" t="s">
        <v>117</v>
      </c>
      <c r="M67" s="12" t="s">
        <v>117</v>
      </c>
      <c r="N67" s="12" t="s">
        <v>117</v>
      </c>
      <c r="O67" s="12" t="s">
        <v>117</v>
      </c>
      <c r="P67" s="12" t="s">
        <v>117</v>
      </c>
      <c r="Q67" s="12" t="s">
        <v>117</v>
      </c>
      <c r="R67" s="12" t="s">
        <v>117</v>
      </c>
      <c r="S67" s="12" t="s">
        <v>117</v>
      </c>
      <c r="T67" s="12" t="s">
        <v>117</v>
      </c>
      <c r="U67" s="12" t="s">
        <v>117</v>
      </c>
      <c r="V67" s="12" t="s">
        <v>117</v>
      </c>
      <c r="W67" s="12" t="s">
        <v>117</v>
      </c>
      <c r="X67" s="12" t="s">
        <v>117</v>
      </c>
      <c r="Y67" s="2" t="str" cm="1">
        <f t="array" ref="Y67">IFERROR(INDEX([7]Sheet1!$D:$D, MATCH(1, ([7]Sheet1!$B:$B=A67) * ([7]Sheet1!$C:$C="单位系数"), 0)) * 积分!P67, "--")</f>
        <v>--</v>
      </c>
      <c r="Z67" s="12" t="s">
        <v>117</v>
      </c>
      <c r="AA67" s="2" t="str" cm="1">
        <f t="array" ref="AA67">IFERROR(INDEX([7]Sheet1!$D:$D, MATCH(1, ([7]Sheet1!$B:$B=A67) * ([7]Sheet1!$C:$C="核算金额"), 0)) * 积分!R67, "--")</f>
        <v>--</v>
      </c>
      <c r="AB67" s="2" t="str" cm="1">
        <f t="array" ref="AB67">IFERROR(INDEX([7]Sheet1!$D:$D, MATCH(1, ([7]Sheet1!$B:$B=A67) * ([7]Sheet1!$C:$C="单据"), 0))* 积分!BA67, "--")</f>
        <v>--</v>
      </c>
      <c r="AC67" s="12" t="s">
        <v>117</v>
      </c>
      <c r="AD67" s="12" t="s">
        <v>117</v>
      </c>
      <c r="AE67" s="12" t="s">
        <v>117</v>
      </c>
      <c r="AF67" s="12" t="s">
        <v>117</v>
      </c>
      <c r="AG67" s="12" t="s">
        <v>117</v>
      </c>
      <c r="AH67" s="12" t="s">
        <v>117</v>
      </c>
      <c r="AI67" s="12" t="s">
        <v>117</v>
      </c>
      <c r="AJ67" s="12" t="s">
        <v>117</v>
      </c>
      <c r="AK67" s="12" t="str">
        <f>IFERROR(INDEX([4]Sheet1!$AE:$AE, MATCH(A67,[4]Sheet1!$AN:$AN, 0)) * 积分!AC67*'系数（护理）'!M18, "--")</f>
        <v>--</v>
      </c>
      <c r="AL67" s="12" t="str">
        <f>IFERROR(INDEX([4]Sheet1!$AF:$AF, MATCH(A67,[4]Sheet1!$AN:$AN, 0)) * 积分!AD67*'系数（护理）'!N18, "--")</f>
        <v>--</v>
      </c>
      <c r="AM67" s="12" t="str">
        <f>IFERROR(INDEX([4]Sheet1!$AG:$AG, MATCH(A67,[4]Sheet1!$AN:$AN, 0)) * 积分!AE67*'系数（护理）'!O18, "--")</f>
        <v>--</v>
      </c>
      <c r="AN67" s="12" t="str">
        <f>IFERROR(INDEX([4]Sheet1!$AH:$AH, MATCH(A67,[4]Sheet1!$AN:$AN, 0)) * 积分!AF67*'系数（护理）'!P18, "--")</f>
        <v>--</v>
      </c>
      <c r="AO67" s="12" t="str">
        <f>IFERROR(INDEX([4]Sheet1!$AI:$AI, MATCH(A67,[4]Sheet1!$AN:$AN, 0)) * 积分!AG67*'系数（护理）'!Q18, "--")</f>
        <v>--</v>
      </c>
      <c r="AP67" s="12" t="str">
        <f>IFERROR(INDEX([4]Sheet1!$AJ:$AJ, MATCH(A67,[4]Sheet1!$AN:$AN, 0)) * 积分!AH67*'系数（护理）'!R18, "--")</f>
        <v>--</v>
      </c>
      <c r="AQ67" s="12" t="s">
        <v>117</v>
      </c>
      <c r="AR67" s="12" t="s">
        <v>117</v>
      </c>
      <c r="AS67" s="12" t="str">
        <f>IFERROR(INDEX([4]Sheet1!$Y:$Y, MATCH(A67,[4]Sheet1!$AN:$AN, 0)) * 积分!AP67*'系数（护理）'!K18, "--")</f>
        <v>--</v>
      </c>
      <c r="AT67" s="2">
        <v>2702</v>
      </c>
      <c r="AU67" s="2" t="str">
        <f>IFERROR(INDEX([4]Sheet1!$AL:$AL, MATCH(A67,[4]Sheet1!$AN:$AN, 0)) * 积分!AR67*'系数（护理）'!I18, "--")</f>
        <v>--</v>
      </c>
      <c r="AV67" s="2" t="str">
        <f>IFERROR(INDEX([9]Sheet1!$H:$H, MATCH(A67,[9]Sheet1!$B:$B, 0)) * 积分!AS67*'系数（护理）'!H18, "--")</f>
        <v>--</v>
      </c>
      <c r="AW67" s="2" t="str">
        <f>IFERROR(INDEX([4]Sheet1!$AK:$AK, MATCH(A67,[4]Sheet1!$AN:$AN, 0)) * 积分!AT67*'系数（护理）'!G18, "--")</f>
        <v>--</v>
      </c>
      <c r="AX67" s="2" t="str">
        <f>IFERROR(INDEX([9]Sheet1!$G:$G, MATCH(A67,[9]Sheet1!$B:$B, 0)) * 积分!AU67*'系数（护理）'!F18, "--")</f>
        <v>--</v>
      </c>
      <c r="AY67" s="2" t="str">
        <f>IFERROR(INDEX([9]Sheet1!$F:$F, MATCH(A67,[9]Sheet1!$B:$B, 0)) * 积分!AV67*'系数（护理）'!E18, "--")</f>
        <v>--</v>
      </c>
      <c r="AZ67" s="2" t="str">
        <f>IFERROR(INDEX([9]Sheet1!$E:$E, MATCH(A67,[9]Sheet1!$B:$B, 0)) * 积分!AW67*'系数（护理）'!D18, "--")</f>
        <v>--</v>
      </c>
      <c r="BA67" s="2" t="str">
        <f>IFERROR(INDEX([9]Sheet1!$C:$C, MATCH(A67,[9]Sheet1!$B:$B, 0)) * 积分!AX67*'系数（护理）'!C18, "--")</f>
        <v>--</v>
      </c>
      <c r="BB67" s="2" t="str">
        <f>IFERROR(INDEX([9]Sheet1!$D:$D, MATCH(A67,[9]Sheet1!$B:$B, 0)) * 积分!AY67*'系数（护理）'!B18, "--")</f>
        <v>--</v>
      </c>
      <c r="BC67" s="2" t="str">
        <f>IFERROR(INDEX([9]Sheet1!$I:$I, MATCH(A67,[9]Sheet1!$B:$B, 0)) * 积分!AZ67* '系数（护理）'!L18, "--")</f>
        <v>--</v>
      </c>
    </row>
    <row r="68" spans="1:55" ht="17.399999999999999" x14ac:dyDescent="0.25">
      <c r="A68" s="8" t="s">
        <v>136</v>
      </c>
      <c r="B68" s="4">
        <f t="shared" si="10"/>
        <v>111393.59</v>
      </c>
      <c r="C68" s="4">
        <v>0</v>
      </c>
      <c r="D68" s="4">
        <v>0</v>
      </c>
      <c r="E68" s="4">
        <v>0</v>
      </c>
      <c r="F68" s="7" t="s">
        <v>117</v>
      </c>
      <c r="G68" s="7" t="s">
        <v>117</v>
      </c>
      <c r="H68" s="7" t="s">
        <v>117</v>
      </c>
      <c r="I68" s="7" t="s">
        <v>117</v>
      </c>
      <c r="J68" s="7" t="s">
        <v>117</v>
      </c>
      <c r="K68" s="7" t="s">
        <v>117</v>
      </c>
      <c r="L68" s="7" t="s">
        <v>117</v>
      </c>
      <c r="M68" s="7" t="s">
        <v>117</v>
      </c>
      <c r="N68" s="7" t="s">
        <v>117</v>
      </c>
      <c r="O68" s="7" t="s">
        <v>117</v>
      </c>
      <c r="P68" s="7" t="s">
        <v>117</v>
      </c>
      <c r="Q68" s="7" t="s">
        <v>117</v>
      </c>
      <c r="R68" s="7" t="s">
        <v>117</v>
      </c>
      <c r="S68" s="7" t="s">
        <v>117</v>
      </c>
      <c r="T68" s="7" t="s">
        <v>117</v>
      </c>
      <c r="U68" s="7" t="s">
        <v>117</v>
      </c>
      <c r="V68" s="7" t="s">
        <v>117</v>
      </c>
      <c r="W68" s="7" t="s">
        <v>117</v>
      </c>
      <c r="X68" s="7" t="s">
        <v>117</v>
      </c>
      <c r="Y68" s="4" t="str" cm="1">
        <f t="array" ref="Y68">IFERROR(INDEX([7]Sheet1!$D:$D, MATCH(1, ([7]Sheet1!$B:$B=A68) * ([7]Sheet1!$C:$C="单位系数"), 0)) * 积分!P68, "--")</f>
        <v>--</v>
      </c>
      <c r="Z68" s="7" t="s">
        <v>117</v>
      </c>
      <c r="AA68" s="4" t="str" cm="1">
        <f t="array" ref="AA68">IFERROR(INDEX([7]Sheet1!$D:$D, MATCH(1, ([7]Sheet1!$B:$B=A68) * ([7]Sheet1!$C:$C="核算金额"), 0)) * 积分!R68, "--")</f>
        <v>--</v>
      </c>
      <c r="AB68" s="4" t="str" cm="1">
        <f t="array" ref="AB68">IFERROR(INDEX([7]Sheet1!$D:$D, MATCH(1, ([7]Sheet1!$B:$B=A68) * ([7]Sheet1!$C:$C="单据"), 0))* 积分!BA68, "--")</f>
        <v>--</v>
      </c>
      <c r="AC68" s="7" t="s">
        <v>117</v>
      </c>
      <c r="AD68" s="7" t="s">
        <v>117</v>
      </c>
      <c r="AE68" s="7" t="s">
        <v>117</v>
      </c>
      <c r="AF68" s="7" t="s">
        <v>117</v>
      </c>
      <c r="AG68" s="7" t="s">
        <v>117</v>
      </c>
      <c r="AH68" s="7" t="s">
        <v>117</v>
      </c>
      <c r="AI68" s="7" t="s">
        <v>117</v>
      </c>
      <c r="AJ68" s="7" t="s">
        <v>117</v>
      </c>
      <c r="AK68" s="7">
        <f>IFERROR(INDEX([4]Sheet1!$AE:$AE, MATCH(A68,[4]Sheet1!$AN:$AN, 0)) * 积分!AC68*'系数（护理）'!M19, "--")</f>
        <v>8288.7999999999993</v>
      </c>
      <c r="AL68" s="7">
        <f>IFERROR(INDEX([4]Sheet1!$AF:$AF, MATCH(A68,[4]Sheet1!$AN:$AN, 0)) * 积分!AD68*'系数（护理）'!N19, "--")</f>
        <v>1637.55</v>
      </c>
      <c r="AM68" s="7">
        <f>IFERROR(INDEX([4]Sheet1!$AG:$AG, MATCH(A68,[4]Sheet1!$AN:$AN, 0)) * 积分!AE68*'系数（护理）'!O19, "--")</f>
        <v>0</v>
      </c>
      <c r="AN68" s="7">
        <f>IFERROR(INDEX([4]Sheet1!$AH:$AH, MATCH(A68,[4]Sheet1!$AN:$AN, 0)) * 积分!AF68*'系数（护理）'!P19, "--")</f>
        <v>0</v>
      </c>
      <c r="AO68" s="7">
        <f>IFERROR(INDEX([4]Sheet1!$AI:$AI, MATCH(A68,[4]Sheet1!$AN:$AN, 0)) * 积分!AG68*'系数（护理）'!Q19, "--")</f>
        <v>0</v>
      </c>
      <c r="AP68" s="7">
        <f>IFERROR(INDEX([4]Sheet1!$AJ:$AJ, MATCH(A68,[4]Sheet1!$AN:$AN, 0)) * 积分!AH68*'系数（护理）'!R19, "--")</f>
        <v>0</v>
      </c>
      <c r="AQ68" s="7" t="s">
        <v>117</v>
      </c>
      <c r="AR68" s="7" t="s">
        <v>117</v>
      </c>
      <c r="AS68" s="7">
        <f>IFERROR(INDEX([4]Sheet1!$Y:$Y, MATCH(A68,[4]Sheet1!$AN:$AN, 0)) * 积分!AP68*'系数（护理）'!K19, "--")</f>
        <v>0</v>
      </c>
      <c r="AT68" s="4">
        <v>-2974.88</v>
      </c>
      <c r="AU68" s="4">
        <f>IFERROR(INDEX([4]Sheet1!$AL:$AL, MATCH(A68,[4]Sheet1!$AN:$AN, 0)) * 积分!AR68*'系数（护理）'!I19, "--")</f>
        <v>59677.21</v>
      </c>
      <c r="AV68" s="4">
        <f>IFERROR(INDEX([9]Sheet1!$H:$H, MATCH(A68,[9]Sheet1!$B:$B, 0)) * 积分!AS68*'系数（护理）'!H19, "--")</f>
        <v>0</v>
      </c>
      <c r="AW68" s="4">
        <f>IFERROR(INDEX([4]Sheet1!$AK:$AK, MATCH(A68,[4]Sheet1!$AN:$AN, 0)) * 积分!AT68*'系数（护理）'!G19, "--")</f>
        <v>380</v>
      </c>
      <c r="AX68" s="4">
        <f>IFERROR(INDEX([9]Sheet1!$G:$G, MATCH(A68,[9]Sheet1!$B:$B, 0)) * 积分!AU68*'系数（护理）'!F19, "--")</f>
        <v>31721.49</v>
      </c>
      <c r="AY68" s="4">
        <f>IFERROR(INDEX([9]Sheet1!$F:$F, MATCH(A68,[9]Sheet1!$B:$B, 0)) * 积分!AV68*'系数（护理）'!E19, "--")</f>
        <v>6848</v>
      </c>
      <c r="AZ68" s="4">
        <f>IFERROR(INDEX([9]Sheet1!$E:$E, MATCH(A68,[9]Sheet1!$B:$B, 0)) * 积分!AW68*'系数（护理）'!D19, "--")</f>
        <v>1573</v>
      </c>
      <c r="BA68" s="4">
        <f>IFERROR(INDEX([9]Sheet1!$C:$C, MATCH(A68,[9]Sheet1!$B:$B, 0)) * 积分!AX68*'系数（护理）'!C19, "--")</f>
        <v>0</v>
      </c>
      <c r="BB68" s="4">
        <f>IFERROR(INDEX([9]Sheet1!$D:$D, MATCH(A68,[9]Sheet1!$B:$B, 0)) * 积分!AY68*'系数（护理）'!B19, "--")</f>
        <v>0</v>
      </c>
      <c r="BC68" s="4">
        <f>IFERROR(INDEX([9]Sheet1!$I:$I, MATCH(A68,[9]Sheet1!$B:$B, 0)) * 积分!AZ68 * '系数（护理）'!L19, "--")</f>
        <v>4242.42</v>
      </c>
    </row>
    <row r="69" spans="1:55" ht="17.399999999999999" x14ac:dyDescent="0.25">
      <c r="A69" s="5" t="s">
        <v>142</v>
      </c>
      <c r="B69" s="2">
        <f t="shared" si="10"/>
        <v>132423.424</v>
      </c>
      <c r="C69" s="2">
        <v>0</v>
      </c>
      <c r="D69" s="2">
        <v>0</v>
      </c>
      <c r="E69" s="2">
        <v>0</v>
      </c>
      <c r="F69" s="12" t="s">
        <v>117</v>
      </c>
      <c r="G69" s="12" t="s">
        <v>117</v>
      </c>
      <c r="H69" s="12" t="s">
        <v>117</v>
      </c>
      <c r="I69" s="12" t="s">
        <v>117</v>
      </c>
      <c r="J69" s="12" t="s">
        <v>117</v>
      </c>
      <c r="K69" s="12" t="s">
        <v>117</v>
      </c>
      <c r="L69" s="12" t="s">
        <v>117</v>
      </c>
      <c r="M69" s="12" t="s">
        <v>117</v>
      </c>
      <c r="N69" s="12" t="s">
        <v>117</v>
      </c>
      <c r="O69" s="12" t="s">
        <v>117</v>
      </c>
      <c r="P69" s="12" t="s">
        <v>117</v>
      </c>
      <c r="Q69" s="12" t="s">
        <v>117</v>
      </c>
      <c r="R69" s="12" t="s">
        <v>117</v>
      </c>
      <c r="S69" s="12" t="s">
        <v>117</v>
      </c>
      <c r="T69" s="12" t="s">
        <v>117</v>
      </c>
      <c r="U69" s="12" t="s">
        <v>117</v>
      </c>
      <c r="V69" s="12" t="s">
        <v>117</v>
      </c>
      <c r="W69" s="12" t="s">
        <v>117</v>
      </c>
      <c r="X69" s="12" t="s">
        <v>117</v>
      </c>
      <c r="Y69" s="2" t="str" cm="1">
        <f t="array" ref="Y69">IFERROR(INDEX([7]Sheet1!$D:$D, MATCH(1, ([7]Sheet1!$B:$B=A69) * ([7]Sheet1!$C:$C="单位系数"), 0)) * 积分!P69, "--")</f>
        <v>--</v>
      </c>
      <c r="Z69" s="12" t="s">
        <v>117</v>
      </c>
      <c r="AA69" s="2" t="str" cm="1">
        <f t="array" ref="AA69">IFERROR(INDEX([7]Sheet1!$D:$D, MATCH(1, ([7]Sheet1!$B:$B=A69) * ([7]Sheet1!$C:$C="核算金额"), 0)) * 积分!R69, "--")</f>
        <v>--</v>
      </c>
      <c r="AB69" s="2" t="str" cm="1">
        <f t="array" ref="AB69">IFERROR(INDEX([7]Sheet1!$D:$D, MATCH(1, ([7]Sheet1!$B:$B=A69) * ([7]Sheet1!$C:$C="单据"), 0))* 积分!BA69, "--")</f>
        <v>--</v>
      </c>
      <c r="AC69" s="12" t="s">
        <v>117</v>
      </c>
      <c r="AD69" s="12" t="s">
        <v>117</v>
      </c>
      <c r="AE69" s="12" t="s">
        <v>117</v>
      </c>
      <c r="AF69" s="12" t="s">
        <v>117</v>
      </c>
      <c r="AG69" s="12" t="s">
        <v>117</v>
      </c>
      <c r="AH69" s="12" t="s">
        <v>117</v>
      </c>
      <c r="AI69" s="12" t="s">
        <v>117</v>
      </c>
      <c r="AJ69" s="12" t="s">
        <v>117</v>
      </c>
      <c r="AK69" s="12">
        <f>IFERROR((INDEX([4]Sheet1!$AE:$AE, MATCH("中西医结合科护理",[4]Sheet1!$AN:$AN, 0))+INDEX([4]Sheet1!$AE:$AE, MATCH("乳腺内科护理",[4]Sheet1!$AN:$AN, 0))) * 积分!AC69*'系数（护理）'!M20, "--")</f>
        <v>6181.12</v>
      </c>
      <c r="AL69" s="12">
        <f>IFERROR(INDEX([4]Sheet1!$AF:$AF, MATCH("中西医结合科护理",[4]Sheet1!$AN:$AN, 0)) * 积分!AD69*'系数（护理）'!N20, "--")</f>
        <v>2669.44</v>
      </c>
      <c r="AM69" s="12">
        <v>0</v>
      </c>
      <c r="AN69" s="12">
        <v>0</v>
      </c>
      <c r="AO69" s="12">
        <v>0</v>
      </c>
      <c r="AP69" s="12">
        <v>0</v>
      </c>
      <c r="AQ69" s="12" t="s">
        <v>117</v>
      </c>
      <c r="AR69" s="12" t="s">
        <v>117</v>
      </c>
      <c r="AS69" s="12">
        <f>IFERROR((INDEX([4]Sheet1!$Y:$Y, MATCH("中西医结合科护理",[4]Sheet1!$AN:$AN, 0)) +INDEX([4]Sheet1!$Y:$Y, MATCH("乳腺内科护理",[4]Sheet1!$AN:$AN, 0)))* 积分!AP69*'系数（护理）'!K20, "--")</f>
        <v>0</v>
      </c>
      <c r="AT69" s="2">
        <v>-3626.45</v>
      </c>
      <c r="AU69" s="2">
        <f>IFERROR((INDEX([4]Sheet1!$AL:$AL, MATCH("中西医结合科护理",[4]Sheet1!$AN:$AN, 0)) +INDEX([4]Sheet1!$AL:$AL, MATCH("乳腺内科护理",[4]Sheet1!$AN:$AN, 0)))* 积分!AR69*'系数（护理）'!I20, "--")</f>
        <v>74312.72</v>
      </c>
      <c r="AV69" s="2">
        <f>IFERROR(INDEX([9]Sheet1!$H:$H, MATCH(A69,[9]Sheet1!$B:$B, 0)) * 积分!AS69*'系数（护理）'!H20, "--")</f>
        <v>0</v>
      </c>
      <c r="AW69" s="2">
        <f>IFERROR((INDEX([4]Sheet1!$AK:$AK, MATCH("中西医结合科护理",[4]Sheet1!$AN:$AN, 0)) +INDEX([4]Sheet1!$AK:$AK, MATCH("乳腺内科护理",[4]Sheet1!$AN:$AN, 0)))* 积分!AT53*'系数（护理）'!G20, "--")</f>
        <v>1400</v>
      </c>
      <c r="AX69" s="2">
        <f>IFERROR(INDEX([9]Sheet1!$G:$G, MATCH(A69,[9]Sheet1!$B:$B, 0)) * 积分!AU69*'系数（护理）'!F20, "--")</f>
        <v>15833.61</v>
      </c>
      <c r="AY69" s="2">
        <f>IFERROR(INDEX([9]Sheet1!$F:$F, MATCH(A69,[9]Sheet1!$B:$B, 0)) * 积分!AV69*'系数（护理）'!E20, "--")</f>
        <v>9552</v>
      </c>
      <c r="AZ69" s="2">
        <f>IFERROR(INDEX([9]Sheet1!$E:$E, MATCH(A69,[9]Sheet1!$B:$B, 0)) * 积分!AW69*'系数（护理）'!D20, "--")</f>
        <v>924</v>
      </c>
      <c r="BA69" s="2">
        <f>IFERROR(INDEX([9]Sheet1!$C:$C, MATCH(A69,[9]Sheet1!$B:$B, 0)) * 积分!AX69*'系数（护理）'!C20, "--")</f>
        <v>0</v>
      </c>
      <c r="BB69" s="2">
        <f>IFERROR(INDEX([9]Sheet1!$D:$D, MATCH(A69,[9]Sheet1!$B:$B, 0)) * 积分!AY69*'系数（护理）'!B20, "--")</f>
        <v>0</v>
      </c>
      <c r="BC69" s="2">
        <f>IFERROR(INDEX([9]Sheet1!$I:$I, MATCH(A69,[9]Sheet1!$B:$B, 0)) * 积分!AZ69* '系数（护理）'!L20, "--")</f>
        <v>25176.984209999999</v>
      </c>
    </row>
    <row r="70" spans="1:55" ht="17.399999999999999" x14ac:dyDescent="0.25">
      <c r="A70" s="8" t="s">
        <v>135</v>
      </c>
      <c r="B70" s="4">
        <f t="shared" si="10"/>
        <v>152992.58900000001</v>
      </c>
      <c r="C70" s="4">
        <v>0</v>
      </c>
      <c r="D70" s="4">
        <v>0</v>
      </c>
      <c r="E70" s="4">
        <v>0</v>
      </c>
      <c r="F70" s="7" t="s">
        <v>117</v>
      </c>
      <c r="G70" s="7" t="s">
        <v>117</v>
      </c>
      <c r="H70" s="7" t="s">
        <v>117</v>
      </c>
      <c r="I70" s="7" t="s">
        <v>117</v>
      </c>
      <c r="J70" s="7" t="s">
        <v>117</v>
      </c>
      <c r="K70" s="7" t="s">
        <v>117</v>
      </c>
      <c r="L70" s="7" t="s">
        <v>117</v>
      </c>
      <c r="M70" s="7" t="s">
        <v>117</v>
      </c>
      <c r="N70" s="7" t="s">
        <v>117</v>
      </c>
      <c r="O70" s="7" t="s">
        <v>117</v>
      </c>
      <c r="P70" s="7" t="s">
        <v>117</v>
      </c>
      <c r="Q70" s="7" t="s">
        <v>117</v>
      </c>
      <c r="R70" s="7" t="s">
        <v>117</v>
      </c>
      <c r="S70" s="7" t="s">
        <v>117</v>
      </c>
      <c r="T70" s="7" t="s">
        <v>117</v>
      </c>
      <c r="U70" s="7" t="s">
        <v>117</v>
      </c>
      <c r="V70" s="7" t="s">
        <v>117</v>
      </c>
      <c r="W70" s="7" t="s">
        <v>117</v>
      </c>
      <c r="X70" s="7" t="s">
        <v>117</v>
      </c>
      <c r="Y70" s="4" t="str" cm="1">
        <f t="array" ref="Y70">IFERROR(INDEX([7]Sheet1!$D:$D, MATCH(1, ([7]Sheet1!$B:$B=A70) * ([7]Sheet1!$C:$C="单位系数"), 0)) * 积分!P70, "--")</f>
        <v>--</v>
      </c>
      <c r="Z70" s="7" t="s">
        <v>117</v>
      </c>
      <c r="AA70" s="4" t="str" cm="1">
        <f t="array" ref="AA70">IFERROR(INDEX([7]Sheet1!$D:$D, MATCH(1, ([7]Sheet1!$B:$B=A70) * ([7]Sheet1!$C:$C="核算金额"), 0)) * 积分!R70, "--")</f>
        <v>--</v>
      </c>
      <c r="AB70" s="4" t="str" cm="1">
        <f t="array" ref="AB70">IFERROR(INDEX([7]Sheet1!$D:$D, MATCH(1, ([7]Sheet1!$B:$B=A70) * ([7]Sheet1!$C:$C="单据"), 0))* 积分!BA70, "--")</f>
        <v>--</v>
      </c>
      <c r="AC70" s="7" t="s">
        <v>117</v>
      </c>
      <c r="AD70" s="7" t="s">
        <v>117</v>
      </c>
      <c r="AE70" s="7" t="s">
        <v>117</v>
      </c>
      <c r="AF70" s="7" t="s">
        <v>117</v>
      </c>
      <c r="AG70" s="7" t="s">
        <v>117</v>
      </c>
      <c r="AH70" s="7" t="s">
        <v>117</v>
      </c>
      <c r="AI70" s="7" t="s">
        <v>117</v>
      </c>
      <c r="AJ70" s="7" t="s">
        <v>117</v>
      </c>
      <c r="AK70" s="7">
        <f>IFERROR(INDEX([4]Sheet1!$AE:$AE, MATCH(A70,[4]Sheet1!$AN:$AN, 0)) * 积分!AC70*'系数（护理）'!M21, "--")</f>
        <v>8813.2800000000007</v>
      </c>
      <c r="AL70" s="7">
        <f>IFERROR(INDEX([4]Sheet1!$AF:$AF, MATCH(A70,[4]Sheet1!$AN:$AN, 0)) * 积分!AD70*'系数（护理）'!N21, "--")</f>
        <v>3616.7999999999997</v>
      </c>
      <c r="AM70" s="7">
        <f>IFERROR(INDEX([4]Sheet1!$AG:$AG, MATCH(A70,[4]Sheet1!$AN:$AN, 0)) * 积分!AE70*'系数（护理）'!O21, "--")</f>
        <v>0</v>
      </c>
      <c r="AN70" s="7">
        <f>IFERROR(INDEX([4]Sheet1!$AH:$AH, MATCH(A70,[4]Sheet1!$AN:$AN, 0)) * 积分!AF70*'系数（护理）'!P21, "--")</f>
        <v>0</v>
      </c>
      <c r="AO70" s="7">
        <f>IFERROR(INDEX([4]Sheet1!$AI:$AI, MATCH(A70,[4]Sheet1!$AN:$AN, 0)) * 积分!AG70*'系数（护理）'!Q21, "--")</f>
        <v>0</v>
      </c>
      <c r="AP70" s="7">
        <f>IFERROR(INDEX([4]Sheet1!$AJ:$AJ, MATCH(A70,[4]Sheet1!$AN:$AN, 0)) * 积分!AH70*'系数（护理）'!R21, "--")</f>
        <v>0</v>
      </c>
      <c r="AQ70" s="7" t="s">
        <v>117</v>
      </c>
      <c r="AR70" s="7" t="s">
        <v>117</v>
      </c>
      <c r="AS70" s="7">
        <f>IFERROR(INDEX([4]Sheet1!$Y:$Y, MATCH(A70,[4]Sheet1!$AN:$AN, 0)) * 积分!AP70*'系数（护理）'!K21, "--")</f>
        <v>0</v>
      </c>
      <c r="AT70" s="4">
        <v>-3560.33</v>
      </c>
      <c r="AU70" s="4">
        <f>IFERROR(INDEX([4]Sheet1!$AL:$AL, MATCH(A70,[4]Sheet1!$AN:$AN, 0)) * 积分!AR70*'系数（护理）'!I21, "--")</f>
        <v>92090.72</v>
      </c>
      <c r="AV70" s="4">
        <f>IFERROR(INDEX([9]Sheet1!$H:$H, MATCH(A70,[9]Sheet1!$B:$B, 0)) * 积分!AS70*'系数（护理）'!H21, "--")</f>
        <v>0</v>
      </c>
      <c r="AW70" s="4">
        <f>IFERROR(INDEX([4]Sheet1!$AK:$AK, MATCH(A70,[4]Sheet1!$AN:$AN, 0)) * 积分!AT70*'系数（护理）'!G21, "--")</f>
        <v>400</v>
      </c>
      <c r="AX70" s="4">
        <f>IFERROR(INDEX([9]Sheet1!$G:$G, MATCH(A70,[9]Sheet1!$B:$B, 0)) * 积分!AU70*'系数（护理）'!F21, "--")</f>
        <v>10615.050000000001</v>
      </c>
      <c r="AY70" s="4">
        <f>IFERROR(INDEX([9]Sheet1!$F:$F, MATCH(A70,[9]Sheet1!$B:$B, 0)) * 积分!AV70*'系数（护理）'!E21, "--")</f>
        <v>8568</v>
      </c>
      <c r="AZ70" s="4">
        <f>IFERROR(INDEX([9]Sheet1!$E:$E, MATCH(A70,[9]Sheet1!$B:$B, 0)) * 积分!AW70*'系数（护理）'!D21, "--")</f>
        <v>1177</v>
      </c>
      <c r="BA70" s="4">
        <f>IFERROR(INDEX([9]Sheet1!$C:$C, MATCH(A70,[9]Sheet1!$B:$B, 0)) * 积分!AX70*'系数（护理）'!C21, "--")</f>
        <v>131.1</v>
      </c>
      <c r="BB70" s="4">
        <f>IFERROR(INDEX([9]Sheet1!$D:$D, MATCH(A70,[9]Sheet1!$B:$B, 0)) * 积分!AY70*'系数（护理）'!B21, "--")</f>
        <v>0</v>
      </c>
      <c r="BC70" s="4">
        <f>IFERROR(INDEX([9]Sheet1!$I:$I, MATCH(A70,[9]Sheet1!$B:$B, 0)) * 积分!AZ70 * '系数（护理）'!L21, "--")</f>
        <v>31140.968799999999</v>
      </c>
    </row>
    <row r="71" spans="1:55" ht="17.399999999999999" x14ac:dyDescent="0.25">
      <c r="A71" s="5" t="s">
        <v>140</v>
      </c>
      <c r="B71" s="2">
        <f t="shared" si="10"/>
        <v>158550.984</v>
      </c>
      <c r="C71" s="2">
        <v>0</v>
      </c>
      <c r="D71" s="2">
        <v>0</v>
      </c>
      <c r="E71" s="2">
        <v>0</v>
      </c>
      <c r="F71" s="12" t="s">
        <v>117</v>
      </c>
      <c r="G71" s="12" t="s">
        <v>117</v>
      </c>
      <c r="H71" s="12" t="s">
        <v>117</v>
      </c>
      <c r="I71" s="12" t="s">
        <v>117</v>
      </c>
      <c r="J71" s="12" t="s">
        <v>117</v>
      </c>
      <c r="K71" s="12" t="s">
        <v>117</v>
      </c>
      <c r="L71" s="12" t="s">
        <v>117</v>
      </c>
      <c r="M71" s="12" t="s">
        <v>117</v>
      </c>
      <c r="N71" s="12" t="s">
        <v>117</v>
      </c>
      <c r="O71" s="12" t="s">
        <v>117</v>
      </c>
      <c r="P71" s="12" t="s">
        <v>117</v>
      </c>
      <c r="Q71" s="12" t="s">
        <v>117</v>
      </c>
      <c r="R71" s="12" t="s">
        <v>117</v>
      </c>
      <c r="S71" s="12" t="s">
        <v>117</v>
      </c>
      <c r="T71" s="12" t="s">
        <v>117</v>
      </c>
      <c r="U71" s="12" t="s">
        <v>117</v>
      </c>
      <c r="V71" s="12" t="s">
        <v>117</v>
      </c>
      <c r="W71" s="12" t="s">
        <v>117</v>
      </c>
      <c r="X71" s="12" t="s">
        <v>117</v>
      </c>
      <c r="Y71" s="2" t="str" cm="1">
        <f t="array" ref="Y71">IFERROR(INDEX([7]Sheet1!$D:$D, MATCH(1, ([7]Sheet1!$B:$B=A71) * ([7]Sheet1!$C:$C="单位系数"), 0)) * 积分!P71, "--")</f>
        <v>--</v>
      </c>
      <c r="Z71" s="12" t="s">
        <v>117</v>
      </c>
      <c r="AA71" s="2" t="str" cm="1">
        <f t="array" ref="AA71">IFERROR(INDEX([7]Sheet1!$D:$D, MATCH(1, ([7]Sheet1!$B:$B=A71) * ([7]Sheet1!$C:$C="核算金额"), 0)) * 积分!R71, "--")</f>
        <v>--</v>
      </c>
      <c r="AB71" s="2" t="str" cm="1">
        <f t="array" ref="AB71">IFERROR(INDEX([7]Sheet1!$D:$D, MATCH(1, ([7]Sheet1!$B:$B=A71) * ([7]Sheet1!$C:$C="单据"), 0))* 积分!BA71, "--")</f>
        <v>--</v>
      </c>
      <c r="AC71" s="12" t="s">
        <v>117</v>
      </c>
      <c r="AD71" s="12" t="s">
        <v>117</v>
      </c>
      <c r="AE71" s="12" t="s">
        <v>117</v>
      </c>
      <c r="AF71" s="12" t="s">
        <v>117</v>
      </c>
      <c r="AG71" s="12" t="s">
        <v>117</v>
      </c>
      <c r="AH71" s="12" t="s">
        <v>117</v>
      </c>
      <c r="AI71" s="12" t="s">
        <v>117</v>
      </c>
      <c r="AJ71" s="12" t="s">
        <v>117</v>
      </c>
      <c r="AK71" s="12">
        <v>0</v>
      </c>
      <c r="AL71" s="12">
        <f>IFERROR(INDEX([4]Sheet1!$AE:$AE, MATCH(A71,[4]Sheet1!$AN:$AN, 0)) * 积分!AD71*'系数（护理）'!N22, "--")</f>
        <v>22143.75</v>
      </c>
      <c r="AM71" s="12">
        <f>IFERROR(INDEX([4]Sheet1!$AF:$AF, MATCH(A71,[4]Sheet1!$AN:$AN, 0)) * 积分!AE71*'系数（护理）'!O22, "--")</f>
        <v>831.72</v>
      </c>
      <c r="AN71" s="12">
        <f>IFERROR(INDEX([4]Sheet1!$AH:$AH, MATCH(A71,[4]Sheet1!$AN:$AN, 0)) * 积分!AF71*'系数（护理）'!P22, "--")</f>
        <v>0</v>
      </c>
      <c r="AO71" s="12">
        <f>IFERROR(INDEX([4]Sheet1!$AI:$AI, MATCH(A71,[4]Sheet1!$AN:$AN, 0)) * 积分!AG71*'系数（护理）'!Q22, "--")</f>
        <v>0</v>
      </c>
      <c r="AP71" s="12">
        <f>IFERROR(INDEX([4]Sheet1!$AJ:$AJ, MATCH(A71,[4]Sheet1!$AN:$AN, 0)) * 积分!AH71*'系数（护理）'!R22, "--")</f>
        <v>0</v>
      </c>
      <c r="AQ71" s="12" t="s">
        <v>117</v>
      </c>
      <c r="AR71" s="12" t="s">
        <v>117</v>
      </c>
      <c r="AS71" s="12">
        <f>IFERROR(INDEX([4]Sheet1!$Y:$Y, MATCH(A71,[4]Sheet1!$AN:$AN, 0)) * 积分!AP71*'系数（护理）'!K22, "--")</f>
        <v>0</v>
      </c>
      <c r="AT71" s="2">
        <v>1000</v>
      </c>
      <c r="AU71" s="2">
        <f>IFERROR(INDEX([4]Sheet1!$AL:$AL, MATCH(A71,[4]Sheet1!$AN:$AN, 0)) * 积分!AR71*'系数（护理）'!I22, "--")</f>
        <v>92515.199999999997</v>
      </c>
      <c r="AV71" s="2">
        <f>IFERROR(INDEX([9]Sheet1!$H:$H, MATCH(A71,[9]Sheet1!$B:$B, 0)) * 积分!AS71*'系数（护理）'!H22, "--")</f>
        <v>0</v>
      </c>
      <c r="AW71" s="2">
        <f>IFERROR(INDEX([4]Sheet1!$AK:$AK, MATCH(A71,[4]Sheet1!$AN:$AN, 0)) * 积分!AT71*'系数（护理）'!G22, "--")</f>
        <v>1200</v>
      </c>
      <c r="AX71" s="2">
        <f>IFERROR(INDEX([9]Sheet1!$G:$G, MATCH(A71,[9]Sheet1!$B:$B, 0)) * 积分!AU71*'系数（护理）'!F22, "--")</f>
        <v>29174.04</v>
      </c>
      <c r="AY71" s="2">
        <f>IFERROR(INDEX([9]Sheet1!$F:$F, MATCH(A71,[9]Sheet1!$B:$B, 0)) * 积分!AV71*'系数（护理）'!E22, "--")</f>
        <v>8584</v>
      </c>
      <c r="AZ71" s="2">
        <f>IFERROR(INDEX([9]Sheet1!$E:$E, MATCH(A71,[9]Sheet1!$B:$B, 0)) * 积分!AW71*'系数（护理）'!D22, "--")</f>
        <v>418</v>
      </c>
      <c r="BA71" s="2">
        <f>IFERROR(INDEX([9]Sheet1!$C:$C, MATCH(A71,[9]Sheet1!$B:$B, 0)) * 积分!AX71*'系数（护理）'!C22, "--")</f>
        <v>0</v>
      </c>
      <c r="BB71" s="2">
        <f>IFERROR(INDEX([9]Sheet1!$D:$D, MATCH(A71,[9]Sheet1!$B:$B, 0)) * 积分!AY71*'系数（护理）'!B22, "--")</f>
        <v>0</v>
      </c>
      <c r="BC71" s="2">
        <f>IFERROR(INDEX([9]Sheet1!$I:$I, MATCH(A71,[9]Sheet1!$B:$B, 0)) * 积分!AZ71* '系数（护理）'!L22, "--")</f>
        <v>2684.27432</v>
      </c>
    </row>
  </sheetData>
  <mergeCells count="55">
    <mergeCell ref="F1:F2"/>
    <mergeCell ref="G1:G2"/>
    <mergeCell ref="A1:A2"/>
    <mergeCell ref="B1:B2"/>
    <mergeCell ref="C1:C2"/>
    <mergeCell ref="D1:D2"/>
    <mergeCell ref="E1:E2"/>
    <mergeCell ref="T1:T2"/>
    <mergeCell ref="U1:U2"/>
    <mergeCell ref="V1:V2"/>
    <mergeCell ref="H1:H2"/>
    <mergeCell ref="I1:I2"/>
    <mergeCell ref="Q1:Q2"/>
    <mergeCell ref="R1:R2"/>
    <mergeCell ref="S1:S2"/>
    <mergeCell ref="L1:L2"/>
    <mergeCell ref="M1:M2"/>
    <mergeCell ref="N1:N2"/>
    <mergeCell ref="O1:O2"/>
    <mergeCell ref="P1:P2"/>
    <mergeCell ref="K1:K2"/>
    <mergeCell ref="J1:J2"/>
    <mergeCell ref="W1:W2"/>
    <mergeCell ref="X1:X2"/>
    <mergeCell ref="Y1:Y2"/>
    <mergeCell ref="Z1:Z2"/>
    <mergeCell ref="AA1:AA2"/>
    <mergeCell ref="AB1:AB2"/>
    <mergeCell ref="AF1:AF2"/>
    <mergeCell ref="AG1:AG2"/>
    <mergeCell ref="AH1:AH2"/>
    <mergeCell ref="AC1:AC2"/>
    <mergeCell ref="AD1:AD2"/>
    <mergeCell ref="AI1:AI2"/>
    <mergeCell ref="AE1:AE2"/>
    <mergeCell ref="AO1:AO2"/>
    <mergeCell ref="AP1:AP2"/>
    <mergeCell ref="AJ1:AJ2"/>
    <mergeCell ref="AK1:AK2"/>
    <mergeCell ref="AL1:AL2"/>
    <mergeCell ref="AM1:AM2"/>
    <mergeCell ref="AN1:AN2"/>
    <mergeCell ref="AQ1:AQ2"/>
    <mergeCell ref="AR1:AR2"/>
    <mergeCell ref="AS1:AS2"/>
    <mergeCell ref="AT1:AT2"/>
    <mergeCell ref="AU1:AU2"/>
    <mergeCell ref="BA1:BA2"/>
    <mergeCell ref="BB1:BB2"/>
    <mergeCell ref="BC1:BC2"/>
    <mergeCell ref="AV1:AV2"/>
    <mergeCell ref="AW1:AW2"/>
    <mergeCell ref="AX1:AX2"/>
    <mergeCell ref="AY1:AY2"/>
    <mergeCell ref="AZ1:AZ2"/>
  </mergeCells>
  <phoneticPr fontId="1" type="noConversion"/>
  <pageMargins left="0.38888889999999998" right="0.38888889999999998" top="0.79166669999999995" bottom="0.79166669999999995" header="0.3" footer="0.3"/>
  <pageSetup paperSize="256" scale="1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760C2-628C-40CB-82A6-40D74B2847E1}">
  <sheetPr codeName="Sheet2"/>
  <dimension ref="A1:BA71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65" sqref="A65"/>
    </sheetView>
  </sheetViews>
  <sheetFormatPr defaultRowHeight="13.8" x14ac:dyDescent="0.25"/>
  <cols>
    <col min="1" max="1" width="28.875" customWidth="1"/>
    <col min="2" max="2" width="11.875" bestFit="1" customWidth="1"/>
    <col min="3" max="3" width="10.625" bestFit="1" customWidth="1"/>
    <col min="4" max="4" width="11.5" customWidth="1"/>
    <col min="5" max="5" width="11.5" bestFit="1" customWidth="1"/>
    <col min="6" max="6" width="12.375" bestFit="1" customWidth="1"/>
    <col min="7" max="7" width="14" bestFit="1" customWidth="1"/>
    <col min="8" max="8" width="11.875" bestFit="1" customWidth="1"/>
    <col min="9" max="10" width="17.5" bestFit="1" customWidth="1"/>
    <col min="11" max="11" width="20.25" bestFit="1" customWidth="1"/>
    <col min="12" max="12" width="14.625" bestFit="1" customWidth="1"/>
    <col min="13" max="13" width="23" bestFit="1" customWidth="1"/>
    <col min="14" max="14" width="17.5" bestFit="1" customWidth="1"/>
    <col min="15" max="15" width="23" bestFit="1" customWidth="1"/>
    <col min="16" max="16" width="11.875" bestFit="1" customWidth="1"/>
    <col min="17" max="17" width="29.375" bestFit="1" customWidth="1"/>
    <col min="18" max="20" width="11.875" bestFit="1" customWidth="1"/>
    <col min="21" max="21" width="14.625" bestFit="1" customWidth="1"/>
    <col min="22" max="24" width="34.125" bestFit="1" customWidth="1"/>
    <col min="25" max="28" width="16.375" bestFit="1" customWidth="1"/>
    <col min="29" max="34" width="14.5" bestFit="1" customWidth="1"/>
    <col min="35" max="38" width="24.5" bestFit="1" customWidth="1"/>
    <col min="39" max="39" width="36.25" bestFit="1" customWidth="1"/>
    <col min="40" max="40" width="24.5" bestFit="1" customWidth="1"/>
    <col min="41" max="41" width="36.25" bestFit="1" customWidth="1"/>
    <col min="42" max="42" width="29.25" bestFit="1" customWidth="1"/>
    <col min="43" max="43" width="33.125" bestFit="1" customWidth="1"/>
    <col min="44" max="44" width="22.375" customWidth="1"/>
    <col min="45" max="45" width="27.625" bestFit="1" customWidth="1"/>
    <col min="46" max="46" width="17" bestFit="1" customWidth="1"/>
    <col min="47" max="47" width="33.125" bestFit="1" customWidth="1"/>
    <col min="48" max="51" width="22.375" bestFit="1" customWidth="1"/>
    <col min="52" max="52" width="33.125" bestFit="1" customWidth="1"/>
    <col min="53" max="53" width="33.125" customWidth="1"/>
  </cols>
  <sheetData>
    <row r="1" spans="1:53" ht="13.8" customHeight="1" x14ac:dyDescent="0.25">
      <c r="A1" s="35" t="s">
        <v>76</v>
      </c>
      <c r="B1" s="35" t="s">
        <v>4</v>
      </c>
      <c r="C1" s="33" t="s">
        <v>5</v>
      </c>
      <c r="D1" s="33" t="s">
        <v>6</v>
      </c>
      <c r="E1" s="33" t="s">
        <v>7</v>
      </c>
      <c r="F1" s="33" t="s">
        <v>8</v>
      </c>
      <c r="G1" s="33" t="s">
        <v>9</v>
      </c>
      <c r="H1" s="33" t="s">
        <v>10</v>
      </c>
      <c r="I1" s="33" t="s">
        <v>11</v>
      </c>
      <c r="J1" s="33" t="s">
        <v>12</v>
      </c>
      <c r="K1" s="33" t="s">
        <v>13</v>
      </c>
      <c r="L1" s="33" t="s">
        <v>14</v>
      </c>
      <c r="M1" s="33" t="s">
        <v>15</v>
      </c>
      <c r="N1" s="33" t="s">
        <v>21</v>
      </c>
      <c r="O1" s="33" t="s">
        <v>22</v>
      </c>
      <c r="P1" s="33" t="s">
        <v>23</v>
      </c>
      <c r="Q1" s="33" t="s">
        <v>24</v>
      </c>
      <c r="R1" s="33" t="s">
        <v>25</v>
      </c>
      <c r="S1" s="33" t="s">
        <v>26</v>
      </c>
      <c r="T1" s="33" t="s">
        <v>27</v>
      </c>
      <c r="U1" s="33" t="s">
        <v>28</v>
      </c>
      <c r="V1" s="33" t="s">
        <v>29</v>
      </c>
      <c r="W1" s="33" t="s">
        <v>30</v>
      </c>
      <c r="X1" s="33" t="s">
        <v>31</v>
      </c>
      <c r="Y1" s="33" t="s">
        <v>32</v>
      </c>
      <c r="Z1" s="33" t="s">
        <v>33</v>
      </c>
      <c r="AA1" s="33" t="s">
        <v>34</v>
      </c>
      <c r="AB1" s="33" t="s">
        <v>35</v>
      </c>
      <c r="AC1" s="33" t="s">
        <v>70</v>
      </c>
      <c r="AD1" s="33" t="s">
        <v>71</v>
      </c>
      <c r="AE1" s="33" t="s">
        <v>72</v>
      </c>
      <c r="AF1" s="33" t="s">
        <v>73</v>
      </c>
      <c r="AG1" s="33" t="s">
        <v>74</v>
      </c>
      <c r="AH1" s="33" t="s">
        <v>75</v>
      </c>
      <c r="AI1" s="33" t="s">
        <v>16</v>
      </c>
      <c r="AJ1" s="33" t="s">
        <v>17</v>
      </c>
      <c r="AK1" s="33" t="s">
        <v>18</v>
      </c>
      <c r="AL1" s="33" t="s">
        <v>19</v>
      </c>
      <c r="AM1" s="33" t="s">
        <v>20</v>
      </c>
      <c r="AN1" s="33" t="s">
        <v>131</v>
      </c>
      <c r="AO1" s="33" t="s">
        <v>132</v>
      </c>
      <c r="AP1" s="33" t="s">
        <v>177</v>
      </c>
      <c r="AQ1" s="33" t="s">
        <v>158</v>
      </c>
      <c r="AR1" s="33" t="s">
        <v>159</v>
      </c>
      <c r="AS1" s="33" t="s">
        <v>160</v>
      </c>
      <c r="AT1" s="33" t="s">
        <v>161</v>
      </c>
      <c r="AU1" s="33" t="s">
        <v>162</v>
      </c>
      <c r="AV1" s="33" t="s">
        <v>163</v>
      </c>
      <c r="AW1" s="33" t="s">
        <v>164</v>
      </c>
      <c r="AX1" s="33" t="s">
        <v>165</v>
      </c>
      <c r="AY1" s="33" t="s">
        <v>166</v>
      </c>
      <c r="AZ1" s="33" t="s">
        <v>167</v>
      </c>
      <c r="BA1" s="38" t="s">
        <v>116</v>
      </c>
    </row>
    <row r="2" spans="1:53" ht="14.4" customHeight="1" x14ac:dyDescent="0.25">
      <c r="A2" s="36"/>
      <c r="B2" s="36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8"/>
    </row>
    <row r="3" spans="1:53" ht="17.399999999999999" x14ac:dyDescent="0.25">
      <c r="A3" s="1" t="s">
        <v>36</v>
      </c>
      <c r="B3" s="2">
        <v>169.11</v>
      </c>
      <c r="C3" s="2">
        <v>20</v>
      </c>
      <c r="D3" s="2">
        <v>30</v>
      </c>
      <c r="E3" s="2">
        <v>80</v>
      </c>
      <c r="F3" s="2">
        <v>160</v>
      </c>
      <c r="G3" s="2">
        <v>600</v>
      </c>
      <c r="H3" s="2">
        <v>10</v>
      </c>
      <c r="I3" s="2">
        <v>22</v>
      </c>
      <c r="J3" s="2">
        <v>13.8</v>
      </c>
      <c r="K3" s="2">
        <v>9.1999999999999993</v>
      </c>
      <c r="L3" s="2">
        <v>30</v>
      </c>
      <c r="M3" s="2">
        <v>0.09</v>
      </c>
      <c r="N3" s="2">
        <v>150</v>
      </c>
      <c r="O3" s="2">
        <v>24.79</v>
      </c>
      <c r="P3" s="2">
        <v>0</v>
      </c>
      <c r="Q3" s="2">
        <v>10</v>
      </c>
      <c r="R3" s="2">
        <v>0</v>
      </c>
      <c r="S3" s="2">
        <v>50</v>
      </c>
      <c r="T3" s="2">
        <v>22</v>
      </c>
      <c r="U3" s="2">
        <v>1</v>
      </c>
      <c r="V3" s="2">
        <v>1</v>
      </c>
      <c r="W3" s="2">
        <v>0</v>
      </c>
      <c r="X3" s="2">
        <v>0</v>
      </c>
      <c r="Y3" s="2">
        <v>15</v>
      </c>
      <c r="Z3" s="2">
        <v>40</v>
      </c>
      <c r="AA3" s="2">
        <v>80</v>
      </c>
      <c r="AB3" s="2">
        <v>300</v>
      </c>
      <c r="AC3" s="2">
        <v>4.3600000000000003</v>
      </c>
      <c r="AD3" s="2">
        <v>3.9</v>
      </c>
      <c r="AE3" s="2">
        <v>0</v>
      </c>
      <c r="AF3" s="2">
        <v>0</v>
      </c>
      <c r="AG3" s="2">
        <v>0</v>
      </c>
      <c r="AH3" s="2">
        <v>0</v>
      </c>
      <c r="AI3" s="2">
        <v>0</v>
      </c>
      <c r="AJ3" s="2">
        <v>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2">
        <v>0</v>
      </c>
      <c r="AX3" s="2">
        <v>0</v>
      </c>
      <c r="AY3" s="2">
        <v>0</v>
      </c>
      <c r="AZ3" s="2">
        <v>0</v>
      </c>
      <c r="BA3" s="15">
        <v>1</v>
      </c>
    </row>
    <row r="4" spans="1:53" ht="17.399999999999999" x14ac:dyDescent="0.25">
      <c r="A4" s="3" t="s">
        <v>37</v>
      </c>
      <c r="B4" s="4">
        <v>183.97</v>
      </c>
      <c r="C4" s="4">
        <v>20</v>
      </c>
      <c r="D4" s="4">
        <v>30</v>
      </c>
      <c r="E4" s="4">
        <v>80</v>
      </c>
      <c r="F4" s="4">
        <v>160</v>
      </c>
      <c r="G4" s="4">
        <v>600</v>
      </c>
      <c r="H4" s="4">
        <v>10</v>
      </c>
      <c r="I4" s="4">
        <v>22</v>
      </c>
      <c r="J4" s="4">
        <v>13.8</v>
      </c>
      <c r="K4" s="4">
        <v>9.1999999999999993</v>
      </c>
      <c r="L4" s="4">
        <v>30</v>
      </c>
      <c r="M4" s="4">
        <v>0.09</v>
      </c>
      <c r="N4" s="4">
        <v>150</v>
      </c>
      <c r="O4" s="4">
        <v>24.79</v>
      </c>
      <c r="P4" s="4">
        <v>0</v>
      </c>
      <c r="Q4" s="4">
        <v>10</v>
      </c>
      <c r="R4" s="4">
        <v>0</v>
      </c>
      <c r="S4" s="4">
        <v>50</v>
      </c>
      <c r="T4" s="4">
        <v>22</v>
      </c>
      <c r="U4" s="4">
        <v>1</v>
      </c>
      <c r="V4" s="4">
        <v>1</v>
      </c>
      <c r="W4" s="4">
        <v>0</v>
      </c>
      <c r="X4" s="4">
        <v>0</v>
      </c>
      <c r="Y4" s="4">
        <v>15</v>
      </c>
      <c r="Z4" s="4">
        <v>40</v>
      </c>
      <c r="AA4" s="4">
        <v>80</v>
      </c>
      <c r="AB4" s="4">
        <v>300</v>
      </c>
      <c r="AC4" s="4">
        <v>14.48</v>
      </c>
      <c r="AD4" s="4">
        <v>27.16</v>
      </c>
      <c r="AE4" s="4">
        <v>0</v>
      </c>
      <c r="AF4" s="4">
        <v>0</v>
      </c>
      <c r="AG4" s="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4">
        <v>0</v>
      </c>
      <c r="AS4" s="4">
        <v>0</v>
      </c>
      <c r="AT4" s="4">
        <v>0</v>
      </c>
      <c r="AU4" s="4">
        <v>0</v>
      </c>
      <c r="AV4" s="4">
        <v>0</v>
      </c>
      <c r="AW4" s="4">
        <v>0</v>
      </c>
      <c r="AX4" s="4">
        <v>0</v>
      </c>
      <c r="AY4" s="4">
        <v>0</v>
      </c>
      <c r="AZ4" s="4">
        <v>0</v>
      </c>
      <c r="BA4" s="16">
        <v>1</v>
      </c>
    </row>
    <row r="5" spans="1:53" ht="17.399999999999999" x14ac:dyDescent="0.25">
      <c r="A5" s="1" t="s">
        <v>38</v>
      </c>
      <c r="B5" s="2">
        <v>130.02000000000001</v>
      </c>
      <c r="C5" s="2">
        <v>20</v>
      </c>
      <c r="D5" s="2">
        <v>30</v>
      </c>
      <c r="E5" s="2">
        <v>80</v>
      </c>
      <c r="F5" s="2">
        <v>160</v>
      </c>
      <c r="G5" s="2">
        <v>1100</v>
      </c>
      <c r="H5" s="2">
        <v>14.4</v>
      </c>
      <c r="I5" s="2">
        <v>22</v>
      </c>
      <c r="J5" s="2">
        <v>13.8</v>
      </c>
      <c r="K5" s="2">
        <v>9.1999999999999993</v>
      </c>
      <c r="L5" s="2">
        <v>30</v>
      </c>
      <c r="M5" s="2">
        <v>0.09</v>
      </c>
      <c r="N5" s="2">
        <v>150</v>
      </c>
      <c r="O5" s="2">
        <v>24.79</v>
      </c>
      <c r="P5" s="2">
        <v>0</v>
      </c>
      <c r="Q5" s="2">
        <v>10</v>
      </c>
      <c r="R5" s="2">
        <v>0</v>
      </c>
      <c r="S5" s="2">
        <v>50</v>
      </c>
      <c r="T5" s="2">
        <v>22</v>
      </c>
      <c r="U5" s="2">
        <v>1</v>
      </c>
      <c r="V5" s="2">
        <v>1</v>
      </c>
      <c r="W5" s="2">
        <v>0</v>
      </c>
      <c r="X5" s="2">
        <v>0</v>
      </c>
      <c r="Y5" s="2">
        <v>15</v>
      </c>
      <c r="Z5" s="2">
        <v>40</v>
      </c>
      <c r="AA5" s="2">
        <v>80</v>
      </c>
      <c r="AB5" s="2">
        <v>550</v>
      </c>
      <c r="AC5" s="2">
        <v>187.71</v>
      </c>
      <c r="AD5" s="2">
        <v>160.97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</v>
      </c>
      <c r="AW5" s="2">
        <v>0</v>
      </c>
      <c r="AX5" s="2">
        <v>0</v>
      </c>
      <c r="AY5" s="2">
        <v>0</v>
      </c>
      <c r="AZ5" s="2">
        <v>0</v>
      </c>
      <c r="BA5" s="15">
        <v>1</v>
      </c>
    </row>
    <row r="6" spans="1:53" ht="17.399999999999999" x14ac:dyDescent="0.25">
      <c r="A6" s="3" t="s">
        <v>39</v>
      </c>
      <c r="B6" s="4">
        <v>130.02000000000001</v>
      </c>
      <c r="C6" s="4">
        <v>20</v>
      </c>
      <c r="D6" s="4">
        <v>30</v>
      </c>
      <c r="E6" s="4">
        <v>80</v>
      </c>
      <c r="F6" s="4">
        <v>160</v>
      </c>
      <c r="G6" s="4">
        <v>1100</v>
      </c>
      <c r="H6" s="4">
        <v>13.72</v>
      </c>
      <c r="I6" s="4">
        <v>22</v>
      </c>
      <c r="J6" s="4">
        <v>13.8</v>
      </c>
      <c r="K6" s="4">
        <v>9.1999999999999993</v>
      </c>
      <c r="L6" s="4">
        <v>30</v>
      </c>
      <c r="M6" s="4">
        <v>0.09</v>
      </c>
      <c r="N6" s="4">
        <v>150</v>
      </c>
      <c r="O6" s="4">
        <v>24.79</v>
      </c>
      <c r="P6" s="4">
        <v>0</v>
      </c>
      <c r="Q6" s="4">
        <v>10</v>
      </c>
      <c r="R6" s="4">
        <v>0</v>
      </c>
      <c r="S6" s="4">
        <v>50</v>
      </c>
      <c r="T6" s="4">
        <v>22</v>
      </c>
      <c r="U6" s="4">
        <v>1</v>
      </c>
      <c r="V6" s="4">
        <v>1</v>
      </c>
      <c r="W6" s="4">
        <v>0</v>
      </c>
      <c r="X6" s="4">
        <v>0</v>
      </c>
      <c r="Y6" s="4">
        <v>15</v>
      </c>
      <c r="Z6" s="4">
        <v>40</v>
      </c>
      <c r="AA6" s="4">
        <v>80</v>
      </c>
      <c r="AB6" s="4">
        <v>550</v>
      </c>
      <c r="AC6" s="4">
        <v>20.16</v>
      </c>
      <c r="AD6" s="4">
        <v>16.45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16">
        <v>1</v>
      </c>
    </row>
    <row r="7" spans="1:53" ht="17.399999999999999" x14ac:dyDescent="0.25">
      <c r="A7" s="1" t="s">
        <v>40</v>
      </c>
      <c r="B7" s="2">
        <v>248.82</v>
      </c>
      <c r="C7" s="2">
        <v>20</v>
      </c>
      <c r="D7" s="2">
        <v>0</v>
      </c>
      <c r="E7" s="2">
        <v>0</v>
      </c>
      <c r="F7" s="2">
        <v>0</v>
      </c>
      <c r="G7" s="2">
        <v>0</v>
      </c>
      <c r="H7" s="2">
        <v>22.3</v>
      </c>
      <c r="I7" s="2">
        <v>22</v>
      </c>
      <c r="J7" s="2">
        <v>13.8</v>
      </c>
      <c r="K7" s="2">
        <v>9.1999999999999993</v>
      </c>
      <c r="L7" s="2">
        <v>10</v>
      </c>
      <c r="M7" s="2">
        <v>0.09</v>
      </c>
      <c r="N7" s="2">
        <v>150</v>
      </c>
      <c r="O7" s="2">
        <v>24.79</v>
      </c>
      <c r="P7" s="2">
        <v>0</v>
      </c>
      <c r="Q7" s="2">
        <v>10</v>
      </c>
      <c r="R7" s="2">
        <v>0</v>
      </c>
      <c r="S7" s="2">
        <v>50</v>
      </c>
      <c r="T7" s="2">
        <v>22</v>
      </c>
      <c r="U7" s="2">
        <v>1</v>
      </c>
      <c r="V7" s="2">
        <v>1</v>
      </c>
      <c r="W7" s="2">
        <v>0</v>
      </c>
      <c r="X7" s="2">
        <v>0</v>
      </c>
      <c r="Y7" s="2">
        <v>15</v>
      </c>
      <c r="Z7" s="2">
        <v>40</v>
      </c>
      <c r="AA7" s="2">
        <v>240</v>
      </c>
      <c r="AB7" s="2">
        <v>700</v>
      </c>
      <c r="AC7" s="2">
        <v>182.99</v>
      </c>
      <c r="AD7" s="2">
        <v>240.67</v>
      </c>
      <c r="AE7" s="2">
        <v>0</v>
      </c>
      <c r="AF7" s="2">
        <v>0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0</v>
      </c>
      <c r="AX7" s="2">
        <v>0</v>
      </c>
      <c r="AY7" s="2">
        <v>0</v>
      </c>
      <c r="AZ7" s="2">
        <v>0</v>
      </c>
      <c r="BA7" s="15">
        <v>1</v>
      </c>
    </row>
    <row r="8" spans="1:53" ht="17.399999999999999" x14ac:dyDescent="0.25">
      <c r="A8" s="3" t="s">
        <v>41</v>
      </c>
      <c r="B8" s="4">
        <v>248.82</v>
      </c>
      <c r="C8" s="4">
        <v>20</v>
      </c>
      <c r="D8" s="4">
        <v>30</v>
      </c>
      <c r="E8" s="4">
        <v>80</v>
      </c>
      <c r="F8" s="4">
        <v>480</v>
      </c>
      <c r="G8" s="4">
        <v>1400</v>
      </c>
      <c r="H8" s="4">
        <v>17.27</v>
      </c>
      <c r="I8" s="4">
        <v>22</v>
      </c>
      <c r="J8" s="4">
        <v>13.8</v>
      </c>
      <c r="K8" s="4">
        <v>9.1999999999999993</v>
      </c>
      <c r="L8" s="4">
        <v>30</v>
      </c>
      <c r="M8" s="4">
        <v>0.09</v>
      </c>
      <c r="N8" s="4">
        <v>150</v>
      </c>
      <c r="O8" s="4">
        <v>24.79</v>
      </c>
      <c r="P8" s="7" t="s">
        <v>78</v>
      </c>
      <c r="Q8" s="4">
        <v>10</v>
      </c>
      <c r="R8" s="4">
        <v>0</v>
      </c>
      <c r="S8" s="4">
        <v>50</v>
      </c>
      <c r="T8" s="4">
        <v>22</v>
      </c>
      <c r="U8" s="4">
        <v>1</v>
      </c>
      <c r="V8" s="4">
        <v>1</v>
      </c>
      <c r="W8" s="4">
        <v>0</v>
      </c>
      <c r="X8" s="4">
        <v>0</v>
      </c>
      <c r="Y8" s="4">
        <v>15</v>
      </c>
      <c r="Z8" s="4">
        <v>40</v>
      </c>
      <c r="AA8" s="4">
        <v>240</v>
      </c>
      <c r="AB8" s="4">
        <v>700</v>
      </c>
      <c r="AC8" s="4">
        <v>120.17</v>
      </c>
      <c r="AD8" s="4">
        <v>126.88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4">
        <v>0</v>
      </c>
      <c r="AW8" s="4">
        <v>0</v>
      </c>
      <c r="AX8" s="4">
        <v>0</v>
      </c>
      <c r="AY8" s="4">
        <v>0</v>
      </c>
      <c r="AZ8" s="4">
        <v>0</v>
      </c>
      <c r="BA8" s="16">
        <v>1</v>
      </c>
    </row>
    <row r="9" spans="1:53" ht="17.399999999999999" x14ac:dyDescent="0.25">
      <c r="A9" s="1" t="s">
        <v>42</v>
      </c>
      <c r="B9" s="2">
        <v>110.83</v>
      </c>
      <c r="C9" s="2">
        <v>20</v>
      </c>
      <c r="D9" s="2">
        <v>30</v>
      </c>
      <c r="E9" s="2">
        <v>80</v>
      </c>
      <c r="F9" s="2">
        <v>320</v>
      </c>
      <c r="G9" s="2">
        <v>1320</v>
      </c>
      <c r="H9" s="2">
        <v>10</v>
      </c>
      <c r="I9" s="2">
        <v>22</v>
      </c>
      <c r="J9" s="2">
        <v>13.8</v>
      </c>
      <c r="K9" s="2">
        <v>9.1999999999999993</v>
      </c>
      <c r="L9" s="2">
        <v>30</v>
      </c>
      <c r="M9" s="2">
        <v>0.09</v>
      </c>
      <c r="N9" s="2">
        <v>150</v>
      </c>
      <c r="O9" s="2">
        <v>24.79</v>
      </c>
      <c r="P9" s="2">
        <v>0</v>
      </c>
      <c r="Q9" s="2">
        <v>10</v>
      </c>
      <c r="R9" s="2">
        <v>0</v>
      </c>
      <c r="S9" s="2">
        <v>50</v>
      </c>
      <c r="T9" s="2">
        <v>22</v>
      </c>
      <c r="U9" s="2">
        <v>1</v>
      </c>
      <c r="V9" s="2">
        <v>1</v>
      </c>
      <c r="W9" s="2">
        <v>0</v>
      </c>
      <c r="X9" s="2">
        <v>0</v>
      </c>
      <c r="Y9" s="2">
        <v>15</v>
      </c>
      <c r="Z9" s="2">
        <v>40</v>
      </c>
      <c r="AA9" s="2">
        <v>160</v>
      </c>
      <c r="AB9" s="2">
        <v>660</v>
      </c>
      <c r="AC9" s="2">
        <v>24.31</v>
      </c>
      <c r="AD9" s="2">
        <v>25.99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0</v>
      </c>
      <c r="BA9" s="15">
        <v>1</v>
      </c>
    </row>
    <row r="10" spans="1:53" ht="17.399999999999999" x14ac:dyDescent="0.25">
      <c r="A10" s="3" t="s">
        <v>43</v>
      </c>
      <c r="B10" s="4">
        <v>110.83</v>
      </c>
      <c r="C10" s="4">
        <v>20</v>
      </c>
      <c r="D10" s="4">
        <v>30</v>
      </c>
      <c r="E10" s="4">
        <v>80</v>
      </c>
      <c r="F10" s="4">
        <v>320</v>
      </c>
      <c r="G10" s="4">
        <v>1320</v>
      </c>
      <c r="H10" s="4">
        <v>10</v>
      </c>
      <c r="I10" s="4">
        <v>22</v>
      </c>
      <c r="J10" s="4">
        <v>13.8</v>
      </c>
      <c r="K10" s="4">
        <v>9.1999999999999993</v>
      </c>
      <c r="L10" s="4">
        <v>30</v>
      </c>
      <c r="M10" s="4">
        <v>0.09</v>
      </c>
      <c r="N10" s="4">
        <v>150</v>
      </c>
      <c r="O10" s="4">
        <v>24.79</v>
      </c>
      <c r="P10" s="4">
        <v>0</v>
      </c>
      <c r="Q10" s="4">
        <v>10</v>
      </c>
      <c r="R10" s="4">
        <v>0</v>
      </c>
      <c r="S10" s="4">
        <v>50</v>
      </c>
      <c r="T10" s="4">
        <v>22</v>
      </c>
      <c r="U10" s="4">
        <v>1</v>
      </c>
      <c r="V10" s="4">
        <v>1</v>
      </c>
      <c r="W10" s="4">
        <v>0</v>
      </c>
      <c r="X10" s="4">
        <v>0</v>
      </c>
      <c r="Y10" s="4">
        <v>15</v>
      </c>
      <c r="Z10" s="4">
        <v>40</v>
      </c>
      <c r="AA10" s="4">
        <v>160</v>
      </c>
      <c r="AB10" s="4">
        <v>660</v>
      </c>
      <c r="AC10" s="4">
        <v>35.630000000000003</v>
      </c>
      <c r="AD10" s="4">
        <v>33.880000000000003</v>
      </c>
      <c r="AE10" s="4">
        <v>0</v>
      </c>
      <c r="AF10" s="4">
        <v>0</v>
      </c>
      <c r="AG10" s="4">
        <v>0</v>
      </c>
      <c r="AH10" s="4">
        <v>0</v>
      </c>
      <c r="AI10" s="4">
        <v>0</v>
      </c>
      <c r="AJ10" s="4">
        <v>0</v>
      </c>
      <c r="AK10" s="4">
        <v>0</v>
      </c>
      <c r="AL10" s="4">
        <v>0</v>
      </c>
      <c r="AM10" s="4">
        <v>0</v>
      </c>
      <c r="AN10" s="4">
        <v>0</v>
      </c>
      <c r="AO10" s="4">
        <v>0</v>
      </c>
      <c r="AP10" s="4">
        <v>0</v>
      </c>
      <c r="AQ10" s="4">
        <v>0</v>
      </c>
      <c r="AR10" s="4">
        <v>0</v>
      </c>
      <c r="AS10" s="4">
        <v>0</v>
      </c>
      <c r="AT10" s="4">
        <v>0</v>
      </c>
      <c r="AU10" s="4">
        <v>0</v>
      </c>
      <c r="AV10" s="4">
        <v>0</v>
      </c>
      <c r="AW10" s="4">
        <v>0</v>
      </c>
      <c r="AX10" s="4">
        <v>0</v>
      </c>
      <c r="AY10" s="4">
        <v>0</v>
      </c>
      <c r="AZ10" s="4">
        <v>0</v>
      </c>
      <c r="BA10" s="16">
        <v>1</v>
      </c>
    </row>
    <row r="11" spans="1:53" ht="17.399999999999999" x14ac:dyDescent="0.25">
      <c r="A11" s="1" t="s">
        <v>44</v>
      </c>
      <c r="B11" s="2">
        <v>156.09</v>
      </c>
      <c r="C11" s="2">
        <v>20</v>
      </c>
      <c r="D11" s="2">
        <v>30</v>
      </c>
      <c r="E11" s="2">
        <v>80</v>
      </c>
      <c r="F11" s="2">
        <v>160</v>
      </c>
      <c r="G11" s="2">
        <v>1260</v>
      </c>
      <c r="H11" s="2">
        <v>26.81</v>
      </c>
      <c r="I11" s="2">
        <v>22</v>
      </c>
      <c r="J11" s="2">
        <v>13.8</v>
      </c>
      <c r="K11" s="2">
        <v>9.1999999999999993</v>
      </c>
      <c r="L11" s="2">
        <v>30</v>
      </c>
      <c r="M11" s="2">
        <v>0.09</v>
      </c>
      <c r="N11" s="2">
        <v>150</v>
      </c>
      <c r="O11" s="2">
        <v>24.79</v>
      </c>
      <c r="P11" s="2">
        <v>0</v>
      </c>
      <c r="Q11" s="2">
        <v>10</v>
      </c>
      <c r="R11" s="2">
        <v>0</v>
      </c>
      <c r="S11" s="2">
        <v>50</v>
      </c>
      <c r="T11" s="2">
        <v>22</v>
      </c>
      <c r="U11" s="2">
        <v>1</v>
      </c>
      <c r="V11" s="2">
        <v>1</v>
      </c>
      <c r="W11" s="2">
        <v>0</v>
      </c>
      <c r="X11" s="2">
        <v>0</v>
      </c>
      <c r="Y11" s="2">
        <v>15</v>
      </c>
      <c r="Z11" s="2">
        <v>40</v>
      </c>
      <c r="AA11" s="2">
        <v>80</v>
      </c>
      <c r="AB11" s="2">
        <v>630</v>
      </c>
      <c r="AC11" s="2">
        <v>205.95</v>
      </c>
      <c r="AD11" s="2">
        <v>146.46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2">
        <v>0</v>
      </c>
      <c r="AP11" s="2">
        <v>0</v>
      </c>
      <c r="AQ11" s="2">
        <v>0</v>
      </c>
      <c r="AR11" s="2">
        <v>0</v>
      </c>
      <c r="AS11" s="2">
        <v>0</v>
      </c>
      <c r="AT11" s="2">
        <v>0</v>
      </c>
      <c r="AU11" s="2">
        <v>0</v>
      </c>
      <c r="AV11" s="2">
        <v>0</v>
      </c>
      <c r="AW11" s="2">
        <v>0</v>
      </c>
      <c r="AX11" s="2">
        <v>0</v>
      </c>
      <c r="AY11" s="2">
        <v>0</v>
      </c>
      <c r="AZ11" s="2">
        <v>0</v>
      </c>
      <c r="BA11" s="15">
        <v>1</v>
      </c>
    </row>
    <row r="12" spans="1:53" ht="17.399999999999999" x14ac:dyDescent="0.25">
      <c r="A12" s="3" t="s">
        <v>45</v>
      </c>
      <c r="B12" s="4">
        <v>156.09</v>
      </c>
      <c r="C12" s="4">
        <v>20</v>
      </c>
      <c r="D12" s="4">
        <v>30</v>
      </c>
      <c r="E12" s="4">
        <v>80</v>
      </c>
      <c r="F12" s="4">
        <v>160</v>
      </c>
      <c r="G12" s="4">
        <v>1260</v>
      </c>
      <c r="H12" s="4">
        <v>18.79</v>
      </c>
      <c r="I12" s="4">
        <v>22</v>
      </c>
      <c r="J12" s="4">
        <v>13.8</v>
      </c>
      <c r="K12" s="4">
        <v>9.1999999999999993</v>
      </c>
      <c r="L12" s="4">
        <v>30</v>
      </c>
      <c r="M12" s="4">
        <v>0.09</v>
      </c>
      <c r="N12" s="4">
        <v>150</v>
      </c>
      <c r="O12" s="4">
        <v>24.79</v>
      </c>
      <c r="P12" s="4">
        <v>0</v>
      </c>
      <c r="Q12" s="4">
        <v>10</v>
      </c>
      <c r="R12" s="4">
        <v>0</v>
      </c>
      <c r="S12" s="4">
        <v>50</v>
      </c>
      <c r="T12" s="4">
        <v>22</v>
      </c>
      <c r="U12" s="4">
        <v>1</v>
      </c>
      <c r="V12" s="4">
        <v>1</v>
      </c>
      <c r="W12" s="4">
        <v>0</v>
      </c>
      <c r="X12" s="4">
        <v>0</v>
      </c>
      <c r="Y12" s="4">
        <v>15</v>
      </c>
      <c r="Z12" s="4">
        <v>40</v>
      </c>
      <c r="AA12" s="4">
        <v>80</v>
      </c>
      <c r="AB12" s="4">
        <v>630</v>
      </c>
      <c r="AC12" s="4">
        <v>298.60000000000002</v>
      </c>
      <c r="AD12" s="4">
        <v>125.21</v>
      </c>
      <c r="AE12" s="4">
        <v>0</v>
      </c>
      <c r="AF12" s="4">
        <v>0</v>
      </c>
      <c r="AG12" s="4">
        <v>0</v>
      </c>
      <c r="AH12" s="4">
        <v>0</v>
      </c>
      <c r="AI12" s="4">
        <v>0</v>
      </c>
      <c r="AJ12" s="4">
        <v>0</v>
      </c>
      <c r="AK12" s="4">
        <v>0</v>
      </c>
      <c r="AL12" s="4">
        <v>0</v>
      </c>
      <c r="AM12" s="4">
        <v>0</v>
      </c>
      <c r="AN12" s="4">
        <v>0</v>
      </c>
      <c r="AO12" s="4">
        <v>0</v>
      </c>
      <c r="AP12" s="4">
        <v>0</v>
      </c>
      <c r="AQ12" s="4">
        <v>0</v>
      </c>
      <c r="AR12" s="4">
        <v>0</v>
      </c>
      <c r="AS12" s="4">
        <v>0</v>
      </c>
      <c r="AT12" s="4">
        <v>0</v>
      </c>
      <c r="AU12" s="4">
        <v>0</v>
      </c>
      <c r="AV12" s="4">
        <v>0</v>
      </c>
      <c r="AW12" s="4">
        <v>0</v>
      </c>
      <c r="AX12" s="4">
        <v>0</v>
      </c>
      <c r="AY12" s="4">
        <v>0</v>
      </c>
      <c r="AZ12" s="4">
        <v>0</v>
      </c>
      <c r="BA12" s="16">
        <v>1</v>
      </c>
    </row>
    <row r="13" spans="1:53" ht="17.399999999999999" x14ac:dyDescent="0.25">
      <c r="A13" s="1" t="s">
        <v>46</v>
      </c>
      <c r="B13" s="2">
        <v>239.59</v>
      </c>
      <c r="C13" s="2">
        <v>20</v>
      </c>
      <c r="D13" s="2">
        <v>30</v>
      </c>
      <c r="E13" s="2">
        <v>80</v>
      </c>
      <c r="F13" s="2">
        <v>160</v>
      </c>
      <c r="G13" s="2">
        <v>1750</v>
      </c>
      <c r="H13" s="2">
        <v>21.85</v>
      </c>
      <c r="I13" s="2">
        <v>22</v>
      </c>
      <c r="J13" s="2">
        <v>13.8</v>
      </c>
      <c r="K13" s="2">
        <v>9.1999999999999993</v>
      </c>
      <c r="L13" s="2">
        <v>30</v>
      </c>
      <c r="M13" s="2">
        <v>0.09</v>
      </c>
      <c r="N13" s="2">
        <v>150</v>
      </c>
      <c r="O13" s="2">
        <v>24.79</v>
      </c>
      <c r="P13" s="2">
        <v>0</v>
      </c>
      <c r="Q13" s="2">
        <v>10</v>
      </c>
      <c r="R13" s="2">
        <v>0</v>
      </c>
      <c r="S13" s="2">
        <v>50</v>
      </c>
      <c r="T13" s="2">
        <v>22</v>
      </c>
      <c r="U13" s="2">
        <v>1</v>
      </c>
      <c r="V13" s="2">
        <v>1</v>
      </c>
      <c r="W13" s="2">
        <v>0</v>
      </c>
      <c r="X13" s="2">
        <v>0</v>
      </c>
      <c r="Y13" s="2">
        <v>15</v>
      </c>
      <c r="Z13" s="2">
        <v>40</v>
      </c>
      <c r="AA13" s="2">
        <v>80</v>
      </c>
      <c r="AB13" s="2">
        <v>875</v>
      </c>
      <c r="AC13" s="2">
        <v>8.65</v>
      </c>
      <c r="AD13" s="2">
        <v>10.15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2">
        <v>0</v>
      </c>
      <c r="AP13" s="2">
        <v>0</v>
      </c>
      <c r="AQ13" s="2">
        <v>0</v>
      </c>
      <c r="AR13" s="2">
        <v>0</v>
      </c>
      <c r="AS13" s="2">
        <v>0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0</v>
      </c>
      <c r="BA13" s="15">
        <v>1</v>
      </c>
    </row>
    <row r="14" spans="1:53" ht="17.399999999999999" x14ac:dyDescent="0.25">
      <c r="A14" s="3" t="s">
        <v>47</v>
      </c>
      <c r="B14" s="4">
        <v>304.5</v>
      </c>
      <c r="C14" s="4">
        <v>20</v>
      </c>
      <c r="D14" s="4">
        <v>30</v>
      </c>
      <c r="E14" s="4">
        <v>80</v>
      </c>
      <c r="F14" s="4">
        <v>160</v>
      </c>
      <c r="G14" s="4">
        <v>1890</v>
      </c>
      <c r="H14" s="4">
        <v>27.21</v>
      </c>
      <c r="I14" s="4">
        <v>22</v>
      </c>
      <c r="J14" s="4">
        <v>13.8</v>
      </c>
      <c r="K14" s="4">
        <v>9.1999999999999993</v>
      </c>
      <c r="L14" s="4">
        <v>30</v>
      </c>
      <c r="M14" s="4">
        <v>0.09</v>
      </c>
      <c r="N14" s="4">
        <v>150</v>
      </c>
      <c r="O14" s="4">
        <v>24.79</v>
      </c>
      <c r="P14" s="4">
        <v>0</v>
      </c>
      <c r="Q14" s="4">
        <v>10</v>
      </c>
      <c r="R14" s="4">
        <v>0</v>
      </c>
      <c r="S14" s="4">
        <v>50</v>
      </c>
      <c r="T14" s="4">
        <v>22</v>
      </c>
      <c r="U14" s="4">
        <v>1</v>
      </c>
      <c r="V14" s="4">
        <v>1</v>
      </c>
      <c r="W14" s="4">
        <v>0</v>
      </c>
      <c r="X14" s="4">
        <v>0</v>
      </c>
      <c r="Y14" s="4">
        <v>15</v>
      </c>
      <c r="Z14" s="4">
        <v>40</v>
      </c>
      <c r="AA14" s="4">
        <v>80</v>
      </c>
      <c r="AB14" s="4">
        <v>945</v>
      </c>
      <c r="AC14" s="4">
        <v>274.26</v>
      </c>
      <c r="AD14" s="4">
        <v>150.79</v>
      </c>
      <c r="AE14" s="4">
        <v>0</v>
      </c>
      <c r="AF14" s="4">
        <v>0</v>
      </c>
      <c r="AG14" s="4">
        <v>0</v>
      </c>
      <c r="AH14" s="4">
        <v>0</v>
      </c>
      <c r="AI14" s="4">
        <v>0</v>
      </c>
      <c r="AJ14" s="4">
        <v>0</v>
      </c>
      <c r="AK14" s="4">
        <v>0</v>
      </c>
      <c r="AL14" s="4">
        <v>0</v>
      </c>
      <c r="AM14" s="4">
        <v>0</v>
      </c>
      <c r="AN14" s="4">
        <v>0</v>
      </c>
      <c r="AO14" s="4">
        <v>0</v>
      </c>
      <c r="AP14" s="4">
        <v>0</v>
      </c>
      <c r="AQ14" s="4">
        <v>0</v>
      </c>
      <c r="AR14" s="4">
        <v>0</v>
      </c>
      <c r="AS14" s="4">
        <v>0</v>
      </c>
      <c r="AT14" s="4">
        <v>0</v>
      </c>
      <c r="AU14" s="4">
        <v>0</v>
      </c>
      <c r="AV14" s="4">
        <v>0</v>
      </c>
      <c r="AW14" s="4">
        <v>0</v>
      </c>
      <c r="AX14" s="4">
        <v>0</v>
      </c>
      <c r="AY14" s="4">
        <v>0</v>
      </c>
      <c r="AZ14" s="4">
        <v>0</v>
      </c>
      <c r="BA14" s="16">
        <v>1</v>
      </c>
    </row>
    <row r="15" spans="1:53" ht="17.399999999999999" x14ac:dyDescent="0.25">
      <c r="A15" s="1" t="s">
        <v>48</v>
      </c>
      <c r="B15" s="2">
        <v>342.93</v>
      </c>
      <c r="C15" s="2">
        <v>20</v>
      </c>
      <c r="D15" s="2">
        <v>30</v>
      </c>
      <c r="E15" s="2">
        <v>80</v>
      </c>
      <c r="F15" s="2">
        <v>160</v>
      </c>
      <c r="G15" s="2">
        <v>1750</v>
      </c>
      <c r="H15" s="2">
        <v>16.78</v>
      </c>
      <c r="I15" s="2">
        <v>22</v>
      </c>
      <c r="J15" s="2">
        <v>13.8</v>
      </c>
      <c r="K15" s="2">
        <v>9.1999999999999993</v>
      </c>
      <c r="L15" s="2">
        <v>30</v>
      </c>
      <c r="M15" s="2">
        <v>0.09</v>
      </c>
      <c r="N15" s="2">
        <v>150</v>
      </c>
      <c r="O15" s="2">
        <v>24.79</v>
      </c>
      <c r="P15" s="2">
        <v>0</v>
      </c>
      <c r="Q15" s="2">
        <v>10</v>
      </c>
      <c r="R15" s="2">
        <v>0</v>
      </c>
      <c r="S15" s="2">
        <v>50</v>
      </c>
      <c r="T15" s="2">
        <v>22</v>
      </c>
      <c r="U15" s="2">
        <v>1</v>
      </c>
      <c r="V15" s="2">
        <v>1</v>
      </c>
      <c r="W15" s="2">
        <v>0</v>
      </c>
      <c r="X15" s="2">
        <v>0</v>
      </c>
      <c r="Y15" s="2">
        <v>15</v>
      </c>
      <c r="Z15" s="2">
        <v>40</v>
      </c>
      <c r="AA15" s="2">
        <v>80</v>
      </c>
      <c r="AB15" s="2">
        <v>875</v>
      </c>
      <c r="AC15" s="2">
        <v>86.09</v>
      </c>
      <c r="AD15" s="2">
        <v>88.92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0</v>
      </c>
      <c r="AO15" s="2">
        <v>0</v>
      </c>
      <c r="AP15" s="2">
        <v>0</v>
      </c>
      <c r="AQ15" s="2">
        <v>0</v>
      </c>
      <c r="AR15" s="2">
        <v>0</v>
      </c>
      <c r="AS15" s="2">
        <v>0</v>
      </c>
      <c r="AT15" s="2">
        <v>0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0</v>
      </c>
      <c r="BA15" s="15">
        <v>1</v>
      </c>
    </row>
    <row r="16" spans="1:53" ht="17.399999999999999" x14ac:dyDescent="0.25">
      <c r="A16" s="3" t="s">
        <v>49</v>
      </c>
      <c r="B16" s="4">
        <v>192.47</v>
      </c>
      <c r="C16" s="4">
        <v>20</v>
      </c>
      <c r="D16" s="4">
        <v>30</v>
      </c>
      <c r="E16" s="4">
        <v>80</v>
      </c>
      <c r="F16" s="4">
        <v>160</v>
      </c>
      <c r="G16" s="4">
        <v>1680</v>
      </c>
      <c r="H16" s="4">
        <v>30</v>
      </c>
      <c r="I16" s="4">
        <v>22</v>
      </c>
      <c r="J16" s="4">
        <v>13.8</v>
      </c>
      <c r="K16" s="4">
        <v>9.1999999999999993</v>
      </c>
      <c r="L16" s="4">
        <v>30</v>
      </c>
      <c r="M16" s="4">
        <v>0.09</v>
      </c>
      <c r="N16" s="4">
        <v>150</v>
      </c>
      <c r="O16" s="4">
        <v>24.79</v>
      </c>
      <c r="P16" s="4">
        <v>0</v>
      </c>
      <c r="Q16" s="4">
        <v>10</v>
      </c>
      <c r="R16" s="4">
        <v>0</v>
      </c>
      <c r="S16" s="4">
        <v>50</v>
      </c>
      <c r="T16" s="4">
        <v>22</v>
      </c>
      <c r="U16" s="4">
        <v>1</v>
      </c>
      <c r="V16" s="4">
        <v>1</v>
      </c>
      <c r="W16" s="4">
        <v>0</v>
      </c>
      <c r="X16" s="4">
        <v>0</v>
      </c>
      <c r="Y16" s="4">
        <v>15</v>
      </c>
      <c r="Z16" s="4">
        <v>40</v>
      </c>
      <c r="AA16" s="4">
        <v>80</v>
      </c>
      <c r="AB16" s="4">
        <v>840</v>
      </c>
      <c r="AC16" s="4">
        <v>206.27</v>
      </c>
      <c r="AD16" s="4">
        <v>178.15</v>
      </c>
      <c r="AE16" s="4">
        <v>0</v>
      </c>
      <c r="AF16" s="4">
        <v>0</v>
      </c>
      <c r="AG16" s="4">
        <v>0</v>
      </c>
      <c r="AH16" s="4">
        <v>0</v>
      </c>
      <c r="AI16" s="4">
        <v>0</v>
      </c>
      <c r="AJ16" s="4">
        <v>0</v>
      </c>
      <c r="AK16" s="4">
        <v>0</v>
      </c>
      <c r="AL16" s="4">
        <v>0</v>
      </c>
      <c r="AM16" s="4">
        <v>0</v>
      </c>
      <c r="AN16" s="4">
        <v>0</v>
      </c>
      <c r="AO16" s="4">
        <v>0</v>
      </c>
      <c r="AP16" s="4">
        <v>0</v>
      </c>
      <c r="AQ16" s="4">
        <v>0</v>
      </c>
      <c r="AR16" s="4">
        <v>0</v>
      </c>
      <c r="AS16" s="4">
        <v>0</v>
      </c>
      <c r="AT16" s="4">
        <v>0</v>
      </c>
      <c r="AU16" s="4">
        <v>0</v>
      </c>
      <c r="AV16" s="4">
        <v>0</v>
      </c>
      <c r="AW16" s="4">
        <v>0</v>
      </c>
      <c r="AX16" s="4">
        <v>0</v>
      </c>
      <c r="AY16" s="4">
        <v>0</v>
      </c>
      <c r="AZ16" s="4">
        <v>0</v>
      </c>
      <c r="BA16" s="16">
        <v>1</v>
      </c>
    </row>
    <row r="17" spans="1:53" ht="17.399999999999999" x14ac:dyDescent="0.25">
      <c r="A17" s="1" t="s">
        <v>50</v>
      </c>
      <c r="B17" s="2">
        <v>318.75</v>
      </c>
      <c r="C17" s="2">
        <v>20</v>
      </c>
      <c r="D17" s="2">
        <v>0</v>
      </c>
      <c r="E17" s="2">
        <v>0</v>
      </c>
      <c r="F17" s="2">
        <v>0</v>
      </c>
      <c r="G17" s="2">
        <v>0</v>
      </c>
      <c r="H17" s="2">
        <v>30</v>
      </c>
      <c r="I17" s="2">
        <v>22</v>
      </c>
      <c r="J17" s="2">
        <v>13.8</v>
      </c>
      <c r="K17" s="2">
        <v>9.1999999999999993</v>
      </c>
      <c r="L17" s="2">
        <v>0</v>
      </c>
      <c r="M17" s="2">
        <v>0.09</v>
      </c>
      <c r="N17" s="2">
        <v>150</v>
      </c>
      <c r="O17" s="2">
        <v>24.79</v>
      </c>
      <c r="P17" s="2">
        <f>Q24</f>
        <v>10</v>
      </c>
      <c r="Q17" s="2">
        <v>10</v>
      </c>
      <c r="R17" s="2">
        <v>0</v>
      </c>
      <c r="S17" s="2">
        <v>50</v>
      </c>
      <c r="T17" s="2">
        <v>22</v>
      </c>
      <c r="U17" s="2">
        <v>1</v>
      </c>
      <c r="V17" s="2">
        <v>1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39.25</v>
      </c>
      <c r="AD17" s="2">
        <v>20.260000000000002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0</v>
      </c>
      <c r="AS17" s="2">
        <v>0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15">
        <v>1</v>
      </c>
    </row>
    <row r="18" spans="1:53" ht="17.399999999999999" x14ac:dyDescent="0.25">
      <c r="A18" s="3" t="s">
        <v>251</v>
      </c>
      <c r="B18" s="4">
        <v>372.51</v>
      </c>
      <c r="C18" s="4">
        <v>20</v>
      </c>
      <c r="D18" s="4">
        <v>0</v>
      </c>
      <c r="E18" s="4">
        <v>0</v>
      </c>
      <c r="F18" s="4">
        <v>0</v>
      </c>
      <c r="G18" s="4">
        <v>0</v>
      </c>
      <c r="H18" s="4">
        <v>30</v>
      </c>
      <c r="I18" s="4">
        <v>22</v>
      </c>
      <c r="J18" s="4">
        <v>13.8</v>
      </c>
      <c r="K18" s="4">
        <v>9.1999999999999993</v>
      </c>
      <c r="L18" s="4">
        <v>0</v>
      </c>
      <c r="M18" s="4">
        <v>0.09</v>
      </c>
      <c r="N18" s="4">
        <v>150</v>
      </c>
      <c r="O18" s="4">
        <v>24.79</v>
      </c>
      <c r="P18" s="4">
        <v>0</v>
      </c>
      <c r="Q18" s="4">
        <v>10</v>
      </c>
      <c r="R18" s="4">
        <v>0</v>
      </c>
      <c r="S18" s="4">
        <v>50</v>
      </c>
      <c r="T18" s="4">
        <v>22</v>
      </c>
      <c r="U18" s="4">
        <v>1</v>
      </c>
      <c r="V18" s="4">
        <v>1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166.84</v>
      </c>
      <c r="AD18" s="4">
        <v>211.93</v>
      </c>
      <c r="AE18" s="4">
        <v>323.60000000000002</v>
      </c>
      <c r="AF18" s="4">
        <v>121.71</v>
      </c>
      <c r="AG18" s="4">
        <v>311.94</v>
      </c>
      <c r="AH18" s="4">
        <v>338.97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0</v>
      </c>
      <c r="AR18" s="4">
        <v>0</v>
      </c>
      <c r="AS18" s="4">
        <v>0</v>
      </c>
      <c r="AT18" s="4">
        <v>0</v>
      </c>
      <c r="AU18" s="4">
        <v>0</v>
      </c>
      <c r="AV18" s="4">
        <v>0</v>
      </c>
      <c r="AW18" s="4">
        <v>0</v>
      </c>
      <c r="AX18" s="4">
        <v>0</v>
      </c>
      <c r="AY18" s="4">
        <v>0</v>
      </c>
      <c r="AZ18" s="4">
        <v>0</v>
      </c>
      <c r="BA18" s="16">
        <v>1</v>
      </c>
    </row>
    <row r="19" spans="1:53" ht="17.399999999999999" x14ac:dyDescent="0.25">
      <c r="A19" s="3" t="s">
        <v>252</v>
      </c>
      <c r="B19" s="4">
        <v>372.51</v>
      </c>
      <c r="C19" s="4">
        <v>20</v>
      </c>
      <c r="D19" s="4">
        <v>0</v>
      </c>
      <c r="E19" s="4">
        <v>0</v>
      </c>
      <c r="F19" s="4">
        <v>0</v>
      </c>
      <c r="G19" s="4">
        <v>0</v>
      </c>
      <c r="H19" s="4">
        <v>30</v>
      </c>
      <c r="I19" s="4">
        <v>22</v>
      </c>
      <c r="J19" s="4">
        <v>13.8</v>
      </c>
      <c r="K19" s="4">
        <v>9.1999999999999993</v>
      </c>
      <c r="L19" s="4">
        <v>0</v>
      </c>
      <c r="M19" s="4">
        <v>0.09</v>
      </c>
      <c r="N19" s="4">
        <v>150</v>
      </c>
      <c r="O19" s="4">
        <v>24.79</v>
      </c>
      <c r="P19" s="4">
        <v>0</v>
      </c>
      <c r="Q19" s="4">
        <v>10</v>
      </c>
      <c r="R19" s="4">
        <v>0</v>
      </c>
      <c r="S19" s="4">
        <v>50</v>
      </c>
      <c r="T19" s="4">
        <v>22</v>
      </c>
      <c r="U19" s="4">
        <v>1</v>
      </c>
      <c r="V19" s="4">
        <v>1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166.84</v>
      </c>
      <c r="AD19" s="4">
        <v>211.93</v>
      </c>
      <c r="AE19" s="4">
        <v>323.60000000000002</v>
      </c>
      <c r="AF19" s="4">
        <v>121.71</v>
      </c>
      <c r="AG19" s="4">
        <v>311.94</v>
      </c>
      <c r="AH19" s="4">
        <v>338.97</v>
      </c>
      <c r="AI19" s="4">
        <v>0</v>
      </c>
      <c r="AJ19" s="4">
        <v>0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0</v>
      </c>
      <c r="AQ19" s="4">
        <v>0</v>
      </c>
      <c r="AR19" s="4">
        <v>0</v>
      </c>
      <c r="AS19" s="4">
        <v>0</v>
      </c>
      <c r="AT19" s="4">
        <v>0</v>
      </c>
      <c r="AU19" s="4">
        <v>0</v>
      </c>
      <c r="AV19" s="4">
        <v>0</v>
      </c>
      <c r="AW19" s="4">
        <v>0</v>
      </c>
      <c r="AX19" s="4">
        <v>0</v>
      </c>
      <c r="AY19" s="4">
        <v>0</v>
      </c>
      <c r="AZ19" s="4">
        <v>0</v>
      </c>
      <c r="BA19" s="16">
        <v>1</v>
      </c>
    </row>
    <row r="20" spans="1:53" ht="17.399999999999999" x14ac:dyDescent="0.25">
      <c r="A20" s="3" t="s">
        <v>253</v>
      </c>
      <c r="B20" s="4">
        <v>372.51</v>
      </c>
      <c r="C20" s="4">
        <v>20</v>
      </c>
      <c r="D20" s="4">
        <v>0</v>
      </c>
      <c r="E20" s="4">
        <v>0</v>
      </c>
      <c r="F20" s="4">
        <v>0</v>
      </c>
      <c r="G20" s="4">
        <v>0</v>
      </c>
      <c r="H20" s="4">
        <v>30</v>
      </c>
      <c r="I20" s="4">
        <v>22</v>
      </c>
      <c r="J20" s="4">
        <v>13.8</v>
      </c>
      <c r="K20" s="4">
        <v>9.1999999999999993</v>
      </c>
      <c r="L20" s="4">
        <v>0</v>
      </c>
      <c r="M20" s="4">
        <v>0.09</v>
      </c>
      <c r="N20" s="4">
        <v>150</v>
      </c>
      <c r="O20" s="4">
        <v>24.79</v>
      </c>
      <c r="P20" s="4">
        <v>0</v>
      </c>
      <c r="Q20" s="4">
        <v>10</v>
      </c>
      <c r="R20" s="4">
        <v>0</v>
      </c>
      <c r="S20" s="4">
        <v>50</v>
      </c>
      <c r="T20" s="4">
        <v>22</v>
      </c>
      <c r="U20" s="4">
        <v>1</v>
      </c>
      <c r="V20" s="4">
        <v>1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166.84</v>
      </c>
      <c r="AD20" s="4">
        <v>211.93</v>
      </c>
      <c r="AE20" s="4">
        <v>323.60000000000002</v>
      </c>
      <c r="AF20" s="4">
        <v>121.71</v>
      </c>
      <c r="AG20" s="4">
        <v>311.94</v>
      </c>
      <c r="AH20" s="4">
        <v>338.97</v>
      </c>
      <c r="AI20" s="4">
        <v>0</v>
      </c>
      <c r="AJ20" s="4">
        <v>0</v>
      </c>
      <c r="AK20" s="4">
        <v>0</v>
      </c>
      <c r="AL20" s="4">
        <v>0</v>
      </c>
      <c r="AM20" s="4">
        <v>0</v>
      </c>
      <c r="AN20" s="4">
        <v>0</v>
      </c>
      <c r="AO20" s="4">
        <v>0</v>
      </c>
      <c r="AP20" s="4">
        <v>0</v>
      </c>
      <c r="AQ20" s="4">
        <v>0</v>
      </c>
      <c r="AR20" s="4">
        <v>0</v>
      </c>
      <c r="AS20" s="4">
        <v>0</v>
      </c>
      <c r="AT20" s="4">
        <v>0</v>
      </c>
      <c r="AU20" s="4">
        <v>0</v>
      </c>
      <c r="AV20" s="4">
        <v>0</v>
      </c>
      <c r="AW20" s="4">
        <v>0</v>
      </c>
      <c r="AX20" s="4">
        <v>0</v>
      </c>
      <c r="AY20" s="4">
        <v>0</v>
      </c>
      <c r="AZ20" s="4">
        <v>0</v>
      </c>
      <c r="BA20" s="16">
        <v>1</v>
      </c>
    </row>
    <row r="21" spans="1:53" ht="17.399999999999999" x14ac:dyDescent="0.25">
      <c r="A21" s="1" t="s">
        <v>51</v>
      </c>
      <c r="B21" s="2">
        <v>435.39</v>
      </c>
      <c r="C21" s="2">
        <v>20</v>
      </c>
      <c r="D21" s="2">
        <v>0</v>
      </c>
      <c r="E21" s="2">
        <v>0</v>
      </c>
      <c r="F21" s="2">
        <v>0</v>
      </c>
      <c r="G21" s="2">
        <v>0</v>
      </c>
      <c r="H21" s="2">
        <v>10</v>
      </c>
      <c r="I21" s="2">
        <v>22</v>
      </c>
      <c r="J21" s="2">
        <v>13.8</v>
      </c>
      <c r="K21" s="2">
        <v>9.1999999999999993</v>
      </c>
      <c r="L21" s="2">
        <v>0</v>
      </c>
      <c r="M21" s="2">
        <v>0.09</v>
      </c>
      <c r="N21" s="2">
        <v>150</v>
      </c>
      <c r="O21" s="2">
        <v>24.79</v>
      </c>
      <c r="P21" s="2">
        <v>0</v>
      </c>
      <c r="Q21" s="2">
        <v>10</v>
      </c>
      <c r="R21" s="2">
        <v>0</v>
      </c>
      <c r="S21" s="2">
        <v>50</v>
      </c>
      <c r="T21" s="2">
        <v>22</v>
      </c>
      <c r="U21" s="2">
        <v>1</v>
      </c>
      <c r="V21" s="2">
        <v>1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77.739999999999995</v>
      </c>
      <c r="AD21" s="2">
        <v>92.33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  <c r="BA21" s="15">
        <v>1</v>
      </c>
    </row>
    <row r="22" spans="1:53" ht="17.399999999999999" x14ac:dyDescent="0.25">
      <c r="A22" s="3" t="s">
        <v>52</v>
      </c>
      <c r="B22" s="4">
        <v>438.27</v>
      </c>
      <c r="C22" s="4">
        <v>20</v>
      </c>
      <c r="D22" s="4">
        <v>0</v>
      </c>
      <c r="E22" s="4">
        <v>0</v>
      </c>
      <c r="F22" s="4">
        <v>0</v>
      </c>
      <c r="G22" s="4">
        <v>0</v>
      </c>
      <c r="H22" s="4">
        <v>29.83</v>
      </c>
      <c r="I22" s="4">
        <v>22</v>
      </c>
      <c r="J22" s="4">
        <v>13.8</v>
      </c>
      <c r="K22" s="4">
        <v>9.1999999999999993</v>
      </c>
      <c r="L22" s="4">
        <v>0</v>
      </c>
      <c r="M22" s="4">
        <v>0.09</v>
      </c>
      <c r="N22" s="4">
        <v>150</v>
      </c>
      <c r="O22" s="4">
        <v>24.79</v>
      </c>
      <c r="P22" s="4">
        <v>0</v>
      </c>
      <c r="Q22" s="4">
        <v>10</v>
      </c>
      <c r="R22" s="4">
        <v>0</v>
      </c>
      <c r="S22" s="4">
        <v>50</v>
      </c>
      <c r="T22" s="4">
        <v>22</v>
      </c>
      <c r="U22" s="4">
        <v>1</v>
      </c>
      <c r="V22" s="4">
        <v>1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127.65</v>
      </c>
      <c r="AD22" s="4">
        <v>116.32</v>
      </c>
      <c r="AE22" s="4">
        <v>0</v>
      </c>
      <c r="AF22" s="4">
        <v>0</v>
      </c>
      <c r="AG22" s="4">
        <v>0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0</v>
      </c>
      <c r="AU22" s="4">
        <v>0</v>
      </c>
      <c r="AV22" s="4">
        <v>0</v>
      </c>
      <c r="AW22" s="4">
        <v>0</v>
      </c>
      <c r="AX22" s="4">
        <v>0</v>
      </c>
      <c r="AY22" s="4">
        <v>0</v>
      </c>
      <c r="AZ22" s="4">
        <v>0</v>
      </c>
      <c r="BA22" s="16">
        <v>1</v>
      </c>
    </row>
    <row r="23" spans="1:53" ht="17.399999999999999" x14ac:dyDescent="0.25">
      <c r="A23" s="1" t="s">
        <v>53</v>
      </c>
      <c r="B23" s="2">
        <v>199.62</v>
      </c>
      <c r="C23" s="2">
        <v>20</v>
      </c>
      <c r="D23" s="2">
        <v>0</v>
      </c>
      <c r="E23" s="2">
        <v>0</v>
      </c>
      <c r="F23" s="2">
        <v>0</v>
      </c>
      <c r="G23" s="2">
        <v>0</v>
      </c>
      <c r="H23" s="2">
        <v>21.23</v>
      </c>
      <c r="I23" s="2">
        <v>22</v>
      </c>
      <c r="J23" s="2">
        <v>13.8</v>
      </c>
      <c r="K23" s="2">
        <v>9.1999999999999993</v>
      </c>
      <c r="L23" s="2">
        <v>0</v>
      </c>
      <c r="M23" s="2">
        <v>0.09</v>
      </c>
      <c r="N23" s="2">
        <v>150</v>
      </c>
      <c r="O23" s="2">
        <v>24.79</v>
      </c>
      <c r="P23" s="2">
        <v>0</v>
      </c>
      <c r="Q23" s="2">
        <v>10</v>
      </c>
      <c r="R23" s="2">
        <v>0</v>
      </c>
      <c r="S23" s="2">
        <v>50</v>
      </c>
      <c r="T23" s="2">
        <v>22</v>
      </c>
      <c r="U23" s="2">
        <v>1</v>
      </c>
      <c r="V23" s="2">
        <v>1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2">
        <v>0</v>
      </c>
      <c r="AC23" s="2">
        <v>166.21</v>
      </c>
      <c r="AD23" s="2">
        <v>191.51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  <c r="AV23" s="2">
        <v>0</v>
      </c>
      <c r="AW23" s="2">
        <v>0</v>
      </c>
      <c r="AX23" s="2">
        <v>0</v>
      </c>
      <c r="AY23" s="2">
        <v>0</v>
      </c>
      <c r="AZ23" s="2">
        <v>0</v>
      </c>
      <c r="BA23" s="15">
        <v>1</v>
      </c>
    </row>
    <row r="24" spans="1:53" ht="17.399999999999999" x14ac:dyDescent="0.25">
      <c r="A24" s="3" t="s">
        <v>54</v>
      </c>
      <c r="B24" s="4">
        <v>265.17</v>
      </c>
      <c r="C24" s="4">
        <v>20</v>
      </c>
      <c r="D24" s="4">
        <v>0</v>
      </c>
      <c r="E24" s="4">
        <v>0</v>
      </c>
      <c r="F24" s="4">
        <v>0</v>
      </c>
      <c r="G24" s="4">
        <v>0</v>
      </c>
      <c r="H24" s="4">
        <v>18.73</v>
      </c>
      <c r="I24" s="4">
        <v>22</v>
      </c>
      <c r="J24" s="4">
        <v>13.8</v>
      </c>
      <c r="K24" s="4">
        <v>9.1999999999999993</v>
      </c>
      <c r="L24" s="4">
        <v>0</v>
      </c>
      <c r="M24" s="4">
        <v>0.09</v>
      </c>
      <c r="N24" s="4">
        <v>150</v>
      </c>
      <c r="O24" s="4">
        <v>24.79</v>
      </c>
      <c r="P24" s="4">
        <v>0</v>
      </c>
      <c r="Q24" s="4">
        <v>10</v>
      </c>
      <c r="R24" s="4">
        <v>0</v>
      </c>
      <c r="S24" s="4">
        <v>50</v>
      </c>
      <c r="T24" s="4">
        <v>22</v>
      </c>
      <c r="U24" s="4">
        <v>1</v>
      </c>
      <c r="V24" s="4">
        <v>1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336.9</v>
      </c>
      <c r="AD24" s="4">
        <v>229.51</v>
      </c>
      <c r="AE24" s="4">
        <v>0</v>
      </c>
      <c r="AF24" s="4">
        <v>0</v>
      </c>
      <c r="AG24" s="4">
        <v>0</v>
      </c>
      <c r="AH24" s="4">
        <v>0</v>
      </c>
      <c r="AI24" s="4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0</v>
      </c>
      <c r="AU24" s="4">
        <v>0</v>
      </c>
      <c r="AV24" s="4">
        <v>0</v>
      </c>
      <c r="AW24" s="4">
        <v>0</v>
      </c>
      <c r="AX24" s="4">
        <v>0</v>
      </c>
      <c r="AY24" s="4">
        <v>0</v>
      </c>
      <c r="AZ24" s="4">
        <v>0</v>
      </c>
      <c r="BA24" s="16">
        <v>1</v>
      </c>
    </row>
    <row r="25" spans="1:53" ht="17.399999999999999" x14ac:dyDescent="0.25">
      <c r="A25" s="1" t="s">
        <v>55</v>
      </c>
      <c r="B25" s="2">
        <v>302.25</v>
      </c>
      <c r="C25" s="2">
        <v>20</v>
      </c>
      <c r="D25" s="2">
        <v>0</v>
      </c>
      <c r="E25" s="2">
        <v>0</v>
      </c>
      <c r="F25" s="2">
        <v>0</v>
      </c>
      <c r="G25" s="2">
        <v>0</v>
      </c>
      <c r="H25" s="2">
        <v>22.6</v>
      </c>
      <c r="I25" s="2">
        <v>22</v>
      </c>
      <c r="J25" s="2">
        <v>13.8</v>
      </c>
      <c r="K25" s="2">
        <v>9.1999999999999993</v>
      </c>
      <c r="L25" s="2">
        <v>0</v>
      </c>
      <c r="M25" s="2">
        <v>0.09</v>
      </c>
      <c r="N25" s="2">
        <v>150</v>
      </c>
      <c r="O25" s="2">
        <v>24.79</v>
      </c>
      <c r="P25" s="2">
        <v>0</v>
      </c>
      <c r="Q25" s="2">
        <v>10</v>
      </c>
      <c r="R25" s="2">
        <v>0</v>
      </c>
      <c r="S25" s="2">
        <v>50</v>
      </c>
      <c r="T25" s="2">
        <v>22</v>
      </c>
      <c r="U25" s="2">
        <v>1</v>
      </c>
      <c r="V25" s="2">
        <v>1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192.53</v>
      </c>
      <c r="AD25" s="2">
        <v>167.06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  <c r="AV25" s="2">
        <v>0</v>
      </c>
      <c r="AW25" s="2">
        <v>0</v>
      </c>
      <c r="AX25" s="2">
        <v>0</v>
      </c>
      <c r="AY25" s="2">
        <v>0</v>
      </c>
      <c r="AZ25" s="2">
        <v>0</v>
      </c>
      <c r="BA25" s="15">
        <v>1</v>
      </c>
    </row>
    <row r="26" spans="1:53" ht="17.399999999999999" x14ac:dyDescent="0.25">
      <c r="A26" s="3" t="s">
        <v>56</v>
      </c>
      <c r="B26" s="4">
        <v>0</v>
      </c>
      <c r="C26" s="4">
        <v>20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22</v>
      </c>
      <c r="J26" s="4">
        <v>13.8</v>
      </c>
      <c r="K26" s="4">
        <v>9.1999999999999993</v>
      </c>
      <c r="L26" s="4">
        <v>0</v>
      </c>
      <c r="M26" s="4">
        <v>0.09</v>
      </c>
      <c r="N26" s="4">
        <v>150</v>
      </c>
      <c r="O26" s="4">
        <v>24.79</v>
      </c>
      <c r="P26" s="4">
        <v>560.79999999999995</v>
      </c>
      <c r="Q26" s="4">
        <v>10</v>
      </c>
      <c r="R26" s="4">
        <v>0</v>
      </c>
      <c r="S26" s="4">
        <v>0</v>
      </c>
      <c r="T26" s="4">
        <v>22</v>
      </c>
      <c r="U26" s="4">
        <v>1</v>
      </c>
      <c r="V26" s="4">
        <v>1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5.7</v>
      </c>
      <c r="AJ26" s="4">
        <v>9</v>
      </c>
      <c r="AK26" s="4">
        <v>11</v>
      </c>
      <c r="AL26" s="4">
        <v>8</v>
      </c>
      <c r="AM26" s="4">
        <v>0.27</v>
      </c>
      <c r="AN26" s="4">
        <v>0</v>
      </c>
      <c r="AO26" s="4">
        <v>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4">
        <v>0</v>
      </c>
      <c r="AX26" s="4">
        <v>0</v>
      </c>
      <c r="AY26" s="4">
        <v>0</v>
      </c>
      <c r="AZ26" s="4">
        <v>0</v>
      </c>
      <c r="BA26" s="16">
        <v>1</v>
      </c>
    </row>
    <row r="27" spans="1:53" ht="17.399999999999999" x14ac:dyDescent="0.25">
      <c r="A27" s="1" t="s">
        <v>57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62.81</v>
      </c>
      <c r="Q27" s="2">
        <v>10</v>
      </c>
      <c r="R27" s="2">
        <v>0</v>
      </c>
      <c r="S27" s="2">
        <v>0</v>
      </c>
      <c r="T27" s="2">
        <v>0</v>
      </c>
      <c r="U27" s="2">
        <v>1</v>
      </c>
      <c r="V27" s="2">
        <v>1</v>
      </c>
      <c r="W27" s="2">
        <v>0</v>
      </c>
      <c r="X27" s="2">
        <v>0</v>
      </c>
      <c r="Y27" s="2">
        <v>0</v>
      </c>
      <c r="Z27" s="2">
        <v>0</v>
      </c>
      <c r="AA27" s="2">
        <v>0</v>
      </c>
      <c r="AB27" s="2">
        <v>0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0</v>
      </c>
      <c r="AS27" s="2">
        <v>0</v>
      </c>
      <c r="AT27" s="2">
        <v>0</v>
      </c>
      <c r="AU27" s="2">
        <v>0</v>
      </c>
      <c r="AV27" s="2">
        <v>0</v>
      </c>
      <c r="AW27" s="2">
        <v>0</v>
      </c>
      <c r="AX27" s="2">
        <v>0</v>
      </c>
      <c r="AY27" s="2">
        <v>0</v>
      </c>
      <c r="AZ27" s="2">
        <v>0</v>
      </c>
      <c r="BA27" s="15">
        <v>1</v>
      </c>
    </row>
    <row r="28" spans="1:53" ht="17.399999999999999" x14ac:dyDescent="0.25">
      <c r="A28" s="3" t="s">
        <v>58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29.86</v>
      </c>
      <c r="Q28" s="4">
        <v>10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1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0</v>
      </c>
      <c r="AO28" s="4">
        <v>0</v>
      </c>
      <c r="AP28" s="4">
        <v>0</v>
      </c>
      <c r="AQ28" s="4">
        <v>0</v>
      </c>
      <c r="AR28" s="4">
        <v>0</v>
      </c>
      <c r="AS28" s="4">
        <v>0</v>
      </c>
      <c r="AT28" s="4">
        <v>0</v>
      </c>
      <c r="AU28" s="4">
        <v>0</v>
      </c>
      <c r="AV28" s="4">
        <v>0</v>
      </c>
      <c r="AW28" s="4">
        <v>0</v>
      </c>
      <c r="AX28" s="4">
        <v>0</v>
      </c>
      <c r="AY28" s="4">
        <v>0</v>
      </c>
      <c r="AZ28" s="4">
        <v>0</v>
      </c>
      <c r="BA28" s="16">
        <v>1</v>
      </c>
    </row>
    <row r="29" spans="1:53" ht="17.399999999999999" x14ac:dyDescent="0.25">
      <c r="A29" s="1" t="s">
        <v>59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54.55</v>
      </c>
      <c r="Q29" s="2">
        <v>10</v>
      </c>
      <c r="R29" s="2">
        <v>0</v>
      </c>
      <c r="S29" s="2">
        <v>0</v>
      </c>
      <c r="T29" s="2">
        <v>0</v>
      </c>
      <c r="U29" s="2">
        <v>1</v>
      </c>
      <c r="V29" s="2">
        <v>0</v>
      </c>
      <c r="W29" s="2">
        <v>0</v>
      </c>
      <c r="X29" s="2">
        <v>1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2">
        <v>0</v>
      </c>
      <c r="AX29" s="2">
        <v>0</v>
      </c>
      <c r="AY29" s="2">
        <v>0</v>
      </c>
      <c r="AZ29" s="2">
        <v>0</v>
      </c>
      <c r="BA29" s="15">
        <v>1</v>
      </c>
    </row>
    <row r="30" spans="1:53" ht="17.399999999999999" x14ac:dyDescent="0.25">
      <c r="A30" s="3" t="s">
        <v>60</v>
      </c>
      <c r="B30" s="4">
        <v>507.64</v>
      </c>
      <c r="C30" s="4">
        <v>20</v>
      </c>
      <c r="D30" s="4">
        <v>30</v>
      </c>
      <c r="E30" s="4">
        <v>80</v>
      </c>
      <c r="F30" s="4">
        <v>160</v>
      </c>
      <c r="G30" s="4">
        <v>320</v>
      </c>
      <c r="H30" s="4">
        <v>30</v>
      </c>
      <c r="I30" s="4">
        <v>22</v>
      </c>
      <c r="J30" s="4">
        <v>13.8</v>
      </c>
      <c r="K30" s="4">
        <v>9.1999999999999993</v>
      </c>
      <c r="L30" s="4">
        <v>30</v>
      </c>
      <c r="M30" s="4">
        <v>0.09</v>
      </c>
      <c r="N30" s="4">
        <v>150</v>
      </c>
      <c r="O30" s="4">
        <v>24.79</v>
      </c>
      <c r="P30" s="4">
        <v>38.5</v>
      </c>
      <c r="Q30" s="4">
        <v>10</v>
      </c>
      <c r="R30" s="4">
        <v>0</v>
      </c>
      <c r="S30" s="4">
        <v>50</v>
      </c>
      <c r="T30" s="4">
        <v>22</v>
      </c>
      <c r="U30" s="4">
        <v>1</v>
      </c>
      <c r="V30" s="4">
        <v>1</v>
      </c>
      <c r="W30" s="4">
        <v>0</v>
      </c>
      <c r="X30" s="4">
        <v>0</v>
      </c>
      <c r="Y30" s="4">
        <v>15</v>
      </c>
      <c r="Z30" s="4">
        <v>40</v>
      </c>
      <c r="AA30" s="4">
        <v>80</v>
      </c>
      <c r="AB30" s="4">
        <v>160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0</v>
      </c>
      <c r="AR30" s="4">
        <v>0</v>
      </c>
      <c r="AS30" s="4">
        <v>0</v>
      </c>
      <c r="AT30" s="4">
        <v>0</v>
      </c>
      <c r="AU30" s="4">
        <v>0</v>
      </c>
      <c r="AV30" s="4">
        <v>0</v>
      </c>
      <c r="AW30" s="4">
        <v>0</v>
      </c>
      <c r="AX30" s="4">
        <v>0</v>
      </c>
      <c r="AY30" s="4">
        <v>0</v>
      </c>
      <c r="AZ30" s="4">
        <v>0</v>
      </c>
      <c r="BA30" s="16">
        <v>1</v>
      </c>
    </row>
    <row r="31" spans="1:53" ht="17.399999999999999" x14ac:dyDescent="0.25">
      <c r="A31" s="1" t="s">
        <v>61</v>
      </c>
      <c r="B31" s="2">
        <v>0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2.87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79.900000000000006</v>
      </c>
      <c r="S31" s="2">
        <v>0</v>
      </c>
      <c r="T31" s="2">
        <v>0</v>
      </c>
      <c r="U31" s="2">
        <v>0</v>
      </c>
      <c r="V31" s="2">
        <v>0</v>
      </c>
      <c r="W31" s="2">
        <v>1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2">
        <v>0</v>
      </c>
      <c r="AS31" s="2">
        <v>0</v>
      </c>
      <c r="AT31" s="2">
        <v>0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15">
        <v>1</v>
      </c>
    </row>
    <row r="32" spans="1:53" ht="17.399999999999999" x14ac:dyDescent="0.25">
      <c r="A32" s="3" t="s">
        <v>62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11.74</v>
      </c>
      <c r="Q32" s="4">
        <v>10</v>
      </c>
      <c r="R32" s="4">
        <v>0</v>
      </c>
      <c r="S32" s="4">
        <v>0</v>
      </c>
      <c r="T32" s="4">
        <v>0</v>
      </c>
      <c r="U32" s="4">
        <v>1</v>
      </c>
      <c r="V32" s="4">
        <v>0</v>
      </c>
      <c r="W32" s="4">
        <v>1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4">
        <v>0</v>
      </c>
      <c r="AW32" s="4">
        <v>0</v>
      </c>
      <c r="AX32" s="4">
        <v>0</v>
      </c>
      <c r="AY32" s="4">
        <v>0</v>
      </c>
      <c r="AZ32" s="4">
        <v>0</v>
      </c>
      <c r="BA32" s="16">
        <v>1</v>
      </c>
    </row>
    <row r="33" spans="1:53" ht="17.399999999999999" x14ac:dyDescent="0.25">
      <c r="A33" s="1" t="s">
        <v>63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11.25</v>
      </c>
      <c r="Q33" s="2">
        <v>10</v>
      </c>
      <c r="R33" s="2">
        <v>0</v>
      </c>
      <c r="S33" s="2">
        <v>0</v>
      </c>
      <c r="T33" s="2">
        <v>0</v>
      </c>
      <c r="U33" s="2">
        <v>1</v>
      </c>
      <c r="V33" s="2">
        <v>0</v>
      </c>
      <c r="W33" s="2">
        <v>1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0</v>
      </c>
      <c r="BA33" s="15">
        <v>1</v>
      </c>
    </row>
    <row r="34" spans="1:53" ht="17.399999999999999" x14ac:dyDescent="0.25">
      <c r="A34" s="3" t="s">
        <v>64</v>
      </c>
      <c r="B34" s="4">
        <v>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5.6</v>
      </c>
      <c r="Q34" s="4">
        <v>10</v>
      </c>
      <c r="R34" s="4">
        <v>0</v>
      </c>
      <c r="S34" s="4">
        <v>0</v>
      </c>
      <c r="T34" s="4">
        <v>0</v>
      </c>
      <c r="U34" s="4">
        <v>1</v>
      </c>
      <c r="V34" s="4">
        <v>0</v>
      </c>
      <c r="W34" s="4">
        <v>1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0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4">
        <v>0</v>
      </c>
      <c r="AW34" s="4">
        <v>0</v>
      </c>
      <c r="AX34" s="4">
        <v>0</v>
      </c>
      <c r="AY34" s="4">
        <v>0</v>
      </c>
      <c r="AZ34" s="4">
        <v>0</v>
      </c>
      <c r="BA34" s="16">
        <v>1</v>
      </c>
    </row>
    <row r="35" spans="1:53" ht="17.399999999999999" x14ac:dyDescent="0.25">
      <c r="A35" s="1" t="s">
        <v>65</v>
      </c>
      <c r="B35" s="2">
        <v>0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15.2</v>
      </c>
      <c r="Q35" s="2">
        <v>10</v>
      </c>
      <c r="R35" s="2">
        <v>0</v>
      </c>
      <c r="S35" s="2">
        <v>0</v>
      </c>
      <c r="T35" s="2">
        <v>0</v>
      </c>
      <c r="U35" s="2">
        <v>1</v>
      </c>
      <c r="V35" s="2">
        <v>0</v>
      </c>
      <c r="W35" s="2">
        <v>1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15">
        <v>1</v>
      </c>
    </row>
    <row r="36" spans="1:53" ht="17.399999999999999" x14ac:dyDescent="0.25">
      <c r="A36" s="3" t="s">
        <v>66</v>
      </c>
      <c r="B36" s="4">
        <v>0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14.35</v>
      </c>
      <c r="Q36" s="4">
        <v>10</v>
      </c>
      <c r="R36" s="4">
        <v>0</v>
      </c>
      <c r="S36" s="4">
        <v>0</v>
      </c>
      <c r="T36" s="4">
        <v>22</v>
      </c>
      <c r="U36" s="4">
        <v>1</v>
      </c>
      <c r="V36" s="4">
        <v>0</v>
      </c>
      <c r="W36" s="4">
        <v>1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4">
        <v>0</v>
      </c>
      <c r="AW36" s="4">
        <v>0</v>
      </c>
      <c r="AX36" s="4">
        <v>0</v>
      </c>
      <c r="AY36" s="4">
        <v>0</v>
      </c>
      <c r="AZ36" s="4">
        <v>0</v>
      </c>
      <c r="BA36" s="16">
        <v>1</v>
      </c>
    </row>
    <row r="37" spans="1:53" ht="17.399999999999999" x14ac:dyDescent="0.25">
      <c r="A37" s="1" t="s">
        <v>24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10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  <c r="AQ37" s="2">
        <v>0</v>
      </c>
      <c r="AR37" s="2">
        <v>0</v>
      </c>
      <c r="AS37" s="2">
        <v>0</v>
      </c>
      <c r="AT37" s="2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15">
        <v>1</v>
      </c>
    </row>
    <row r="38" spans="1:53" ht="17.399999999999999" x14ac:dyDescent="0.25">
      <c r="A38" s="3" t="s">
        <v>68</v>
      </c>
      <c r="B38" s="4">
        <v>0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16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50</v>
      </c>
      <c r="T38" s="4">
        <v>0</v>
      </c>
      <c r="U38" s="4">
        <v>0</v>
      </c>
      <c r="V38" s="4">
        <v>0</v>
      </c>
      <c r="W38" s="4">
        <v>1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4">
        <v>0</v>
      </c>
      <c r="AW38" s="4">
        <v>0</v>
      </c>
      <c r="AX38" s="4">
        <v>0</v>
      </c>
      <c r="AY38" s="4">
        <v>0</v>
      </c>
      <c r="AZ38" s="4">
        <v>0</v>
      </c>
      <c r="BA38" s="16">
        <v>1</v>
      </c>
    </row>
    <row r="39" spans="1:53" ht="17.399999999999999" x14ac:dyDescent="0.25">
      <c r="A39" s="5" t="s">
        <v>26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50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1</v>
      </c>
      <c r="X39" s="2">
        <v>0</v>
      </c>
      <c r="Y39" s="2">
        <v>0</v>
      </c>
      <c r="Z39" s="2">
        <v>0</v>
      </c>
      <c r="AA39" s="2">
        <v>0</v>
      </c>
      <c r="AB39" s="2">
        <v>0</v>
      </c>
      <c r="AC39" s="2">
        <v>0</v>
      </c>
      <c r="AD39" s="2">
        <v>0</v>
      </c>
      <c r="AE39" s="2">
        <v>0</v>
      </c>
      <c r="AF39" s="2">
        <v>0</v>
      </c>
      <c r="AG39" s="2">
        <v>0</v>
      </c>
      <c r="AH39" s="2">
        <v>0</v>
      </c>
      <c r="AI39" s="2">
        <v>0</v>
      </c>
      <c r="AJ39" s="2">
        <v>0</v>
      </c>
      <c r="AK39" s="2">
        <v>0</v>
      </c>
      <c r="AL39" s="2">
        <v>0</v>
      </c>
      <c r="AM39" s="2">
        <v>0</v>
      </c>
      <c r="AN39" s="2">
        <v>0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2">
        <v>0</v>
      </c>
      <c r="AU39" s="2">
        <v>0</v>
      </c>
      <c r="AV39" s="2">
        <v>0</v>
      </c>
      <c r="AW39" s="2">
        <v>0</v>
      </c>
      <c r="AX39" s="2">
        <v>0</v>
      </c>
      <c r="AY39" s="2">
        <v>0</v>
      </c>
      <c r="AZ39" s="2">
        <v>0</v>
      </c>
      <c r="BA39" s="15">
        <v>1</v>
      </c>
    </row>
    <row r="40" spans="1:53" ht="17.399999999999999" x14ac:dyDescent="0.25">
      <c r="A40" s="8" t="s">
        <v>188</v>
      </c>
      <c r="B40" s="9">
        <v>1</v>
      </c>
      <c r="C40" s="9">
        <v>1</v>
      </c>
      <c r="D40" s="9">
        <v>1</v>
      </c>
      <c r="E40" s="9">
        <v>1</v>
      </c>
      <c r="F40" s="9">
        <v>1</v>
      </c>
      <c r="G40" s="9">
        <v>1</v>
      </c>
      <c r="H40" s="9">
        <v>1</v>
      </c>
      <c r="I40" s="9">
        <v>1</v>
      </c>
      <c r="J40" s="9">
        <v>1</v>
      </c>
      <c r="K40" s="9">
        <v>1</v>
      </c>
      <c r="L40" s="9">
        <v>1</v>
      </c>
      <c r="M40" s="9">
        <v>1</v>
      </c>
      <c r="N40" s="9">
        <v>1</v>
      </c>
      <c r="O40" s="9">
        <v>1</v>
      </c>
      <c r="P40" s="9">
        <v>1</v>
      </c>
      <c r="Q40" s="9">
        <v>1</v>
      </c>
      <c r="R40" s="9">
        <v>19.45</v>
      </c>
      <c r="S40" s="9">
        <v>1</v>
      </c>
      <c r="T40" s="9">
        <v>1</v>
      </c>
      <c r="U40" s="9">
        <v>1</v>
      </c>
      <c r="V40" s="9">
        <v>0</v>
      </c>
      <c r="W40" s="9">
        <v>0</v>
      </c>
      <c r="X40" s="9">
        <v>0</v>
      </c>
      <c r="Y40" s="9">
        <v>1</v>
      </c>
      <c r="Z40" s="9">
        <v>1</v>
      </c>
      <c r="AA40" s="9">
        <v>1</v>
      </c>
      <c r="AB40" s="9">
        <v>1</v>
      </c>
      <c r="AC40" s="9">
        <v>1</v>
      </c>
      <c r="AD40" s="9">
        <v>1</v>
      </c>
      <c r="AE40" s="9">
        <v>1</v>
      </c>
      <c r="AF40" s="9">
        <v>1</v>
      </c>
      <c r="AG40" s="9">
        <v>1</v>
      </c>
      <c r="AH40" s="9">
        <v>1</v>
      </c>
      <c r="AI40" s="9">
        <v>1</v>
      </c>
      <c r="AJ40" s="9">
        <v>1</v>
      </c>
      <c r="AK40" s="9">
        <v>1</v>
      </c>
      <c r="AL40" s="9">
        <v>1</v>
      </c>
      <c r="AM40" s="9">
        <v>1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4">
        <v>0</v>
      </c>
      <c r="AW40" s="4">
        <v>0</v>
      </c>
      <c r="AX40" s="4">
        <v>0</v>
      </c>
      <c r="AY40" s="4">
        <v>0</v>
      </c>
      <c r="AZ40" s="4">
        <v>0</v>
      </c>
      <c r="BA40" s="4">
        <v>1.32</v>
      </c>
    </row>
    <row r="41" spans="1:53" ht="17.399999999999999" x14ac:dyDescent="0.25">
      <c r="A41" s="5" t="s">
        <v>124</v>
      </c>
      <c r="B41" s="10">
        <v>1</v>
      </c>
      <c r="C41" s="10">
        <v>1</v>
      </c>
      <c r="D41" s="10">
        <v>1</v>
      </c>
      <c r="E41" s="10">
        <v>1</v>
      </c>
      <c r="F41" s="10">
        <v>1</v>
      </c>
      <c r="G41" s="10">
        <v>1</v>
      </c>
      <c r="H41" s="10">
        <v>1</v>
      </c>
      <c r="I41" s="10">
        <v>1</v>
      </c>
      <c r="J41" s="10">
        <v>1</v>
      </c>
      <c r="K41" s="10">
        <v>1</v>
      </c>
      <c r="L41" s="10">
        <v>1</v>
      </c>
      <c r="M41" s="10">
        <v>1</v>
      </c>
      <c r="N41" s="10">
        <v>1</v>
      </c>
      <c r="O41" s="10">
        <v>1</v>
      </c>
      <c r="P41" s="10">
        <v>1</v>
      </c>
      <c r="Q41" s="10">
        <v>1</v>
      </c>
      <c r="R41" s="10">
        <v>83.45</v>
      </c>
      <c r="S41" s="10">
        <v>1</v>
      </c>
      <c r="T41" s="10">
        <v>1</v>
      </c>
      <c r="U41" s="10">
        <v>1</v>
      </c>
      <c r="V41" s="10">
        <v>0</v>
      </c>
      <c r="W41" s="10">
        <v>0</v>
      </c>
      <c r="X41" s="10">
        <v>1</v>
      </c>
      <c r="Y41" s="10">
        <v>1</v>
      </c>
      <c r="Z41" s="10">
        <v>1</v>
      </c>
      <c r="AA41" s="10">
        <v>1</v>
      </c>
      <c r="AB41" s="10">
        <v>1</v>
      </c>
      <c r="AC41" s="10">
        <v>1</v>
      </c>
      <c r="AD41" s="10">
        <v>1</v>
      </c>
      <c r="AE41" s="10">
        <v>1</v>
      </c>
      <c r="AF41" s="10">
        <v>1</v>
      </c>
      <c r="AG41" s="10">
        <v>1</v>
      </c>
      <c r="AH41" s="10">
        <v>1</v>
      </c>
      <c r="AI41" s="10">
        <v>1</v>
      </c>
      <c r="AJ41" s="10">
        <v>1</v>
      </c>
      <c r="AK41" s="10">
        <v>1</v>
      </c>
      <c r="AL41" s="10">
        <v>1</v>
      </c>
      <c r="AM41" s="10">
        <v>1</v>
      </c>
      <c r="AN41" s="2">
        <v>0</v>
      </c>
      <c r="AO41" s="2">
        <v>0</v>
      </c>
      <c r="AP41" s="2">
        <v>0</v>
      </c>
      <c r="AQ41" s="2">
        <v>0</v>
      </c>
      <c r="AR41" s="2">
        <v>0</v>
      </c>
      <c r="AS41" s="2">
        <v>0</v>
      </c>
      <c r="AT41" s="2">
        <v>0</v>
      </c>
      <c r="AU41" s="2">
        <v>0</v>
      </c>
      <c r="AV41" s="2">
        <v>0</v>
      </c>
      <c r="AW41" s="2">
        <v>0</v>
      </c>
      <c r="AX41" s="2">
        <v>0</v>
      </c>
      <c r="AY41" s="2">
        <v>0</v>
      </c>
      <c r="AZ41" s="2">
        <v>0</v>
      </c>
      <c r="BA41" s="15">
        <v>1.64</v>
      </c>
    </row>
    <row r="42" spans="1:53" ht="17.399999999999999" x14ac:dyDescent="0.25">
      <c r="A42" s="8" t="s">
        <v>119</v>
      </c>
      <c r="B42" s="9">
        <v>1</v>
      </c>
      <c r="C42" s="9">
        <v>1</v>
      </c>
      <c r="D42" s="9">
        <v>1</v>
      </c>
      <c r="E42" s="9">
        <v>1</v>
      </c>
      <c r="F42" s="9">
        <v>1</v>
      </c>
      <c r="G42" s="9">
        <v>1</v>
      </c>
      <c r="H42" s="9">
        <v>1</v>
      </c>
      <c r="I42" s="9">
        <v>1</v>
      </c>
      <c r="J42" s="9">
        <v>1</v>
      </c>
      <c r="K42" s="9">
        <v>1</v>
      </c>
      <c r="L42" s="9">
        <v>1</v>
      </c>
      <c r="M42" s="9">
        <v>1</v>
      </c>
      <c r="N42" s="9">
        <v>1</v>
      </c>
      <c r="O42" s="9">
        <v>1</v>
      </c>
      <c r="P42" s="9">
        <v>1</v>
      </c>
      <c r="Q42" s="9">
        <v>1</v>
      </c>
      <c r="R42" s="9">
        <v>6.44</v>
      </c>
      <c r="S42" s="9">
        <v>1</v>
      </c>
      <c r="T42" s="9">
        <v>1</v>
      </c>
      <c r="U42" s="9">
        <v>1</v>
      </c>
      <c r="V42" s="9">
        <v>0</v>
      </c>
      <c r="W42" s="9">
        <v>0</v>
      </c>
      <c r="X42" s="9">
        <v>0</v>
      </c>
      <c r="Y42" s="9">
        <v>1</v>
      </c>
      <c r="Z42" s="9">
        <v>1</v>
      </c>
      <c r="AA42" s="9">
        <v>1</v>
      </c>
      <c r="AB42" s="9">
        <v>1</v>
      </c>
      <c r="AC42" s="9">
        <v>1</v>
      </c>
      <c r="AD42" s="9">
        <v>1</v>
      </c>
      <c r="AE42" s="9">
        <v>1</v>
      </c>
      <c r="AF42" s="9">
        <v>1</v>
      </c>
      <c r="AG42" s="9">
        <v>1</v>
      </c>
      <c r="AH42" s="9">
        <v>1</v>
      </c>
      <c r="AI42" s="9">
        <v>1</v>
      </c>
      <c r="AJ42" s="9">
        <v>1</v>
      </c>
      <c r="AK42" s="9">
        <v>1</v>
      </c>
      <c r="AL42" s="9">
        <v>1</v>
      </c>
      <c r="AM42" s="9">
        <v>1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0</v>
      </c>
      <c r="AU42" s="4">
        <v>0</v>
      </c>
      <c r="AV42" s="4">
        <v>0</v>
      </c>
      <c r="AW42" s="4">
        <v>0</v>
      </c>
      <c r="AX42" s="4">
        <v>0</v>
      </c>
      <c r="AY42" s="4">
        <v>0</v>
      </c>
      <c r="AZ42" s="4">
        <v>0</v>
      </c>
      <c r="BA42" s="16">
        <v>4.72</v>
      </c>
    </row>
    <row r="43" spans="1:53" s="10" customFormat="1" ht="17.399999999999999" x14ac:dyDescent="0.25">
      <c r="A43" s="10" t="s">
        <v>125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>
        <v>0</v>
      </c>
      <c r="AE43" s="10">
        <v>0</v>
      </c>
      <c r="AF43" s="10">
        <v>0</v>
      </c>
      <c r="AG43" s="10">
        <v>0</v>
      </c>
      <c r="AH43" s="10">
        <v>0</v>
      </c>
      <c r="AI43" s="10">
        <v>0</v>
      </c>
      <c r="AJ43" s="10">
        <v>0</v>
      </c>
      <c r="AK43" s="10">
        <v>0</v>
      </c>
      <c r="AL43" s="10">
        <v>0</v>
      </c>
      <c r="AM43" s="10">
        <v>0</v>
      </c>
      <c r="AN43" s="10">
        <v>369.93099999999998</v>
      </c>
      <c r="AO43" s="10">
        <v>7.391</v>
      </c>
      <c r="AP43" s="10">
        <v>0</v>
      </c>
      <c r="AQ43" s="10">
        <v>0</v>
      </c>
      <c r="AR43" s="10">
        <v>0</v>
      </c>
      <c r="AS43" s="10">
        <v>0</v>
      </c>
      <c r="AT43" s="10">
        <v>0</v>
      </c>
      <c r="AU43" s="10">
        <v>0</v>
      </c>
      <c r="AV43" s="10">
        <v>0</v>
      </c>
      <c r="AW43" s="10">
        <v>0</v>
      </c>
      <c r="AX43" s="10">
        <v>0</v>
      </c>
      <c r="AY43" s="10">
        <v>0</v>
      </c>
      <c r="AZ43" s="10">
        <v>0</v>
      </c>
      <c r="BA43" s="15">
        <v>1</v>
      </c>
    </row>
    <row r="44" spans="1:53" s="9" customFormat="1" ht="17.399999999999999" x14ac:dyDescent="0.25">
      <c r="A44" s="9" t="s">
        <v>130</v>
      </c>
      <c r="B44" s="9">
        <v>0</v>
      </c>
      <c r="C44" s="9">
        <v>0</v>
      </c>
      <c r="D44" s="9">
        <v>0</v>
      </c>
      <c r="E44" s="9">
        <v>0</v>
      </c>
      <c r="F44" s="9">
        <v>0</v>
      </c>
      <c r="G44" s="9">
        <v>0</v>
      </c>
      <c r="H44" s="9">
        <v>0</v>
      </c>
      <c r="I44" s="9">
        <v>0</v>
      </c>
      <c r="J44" s="9">
        <v>0</v>
      </c>
      <c r="K44" s="9">
        <v>0</v>
      </c>
      <c r="L44" s="9">
        <v>0</v>
      </c>
      <c r="M44" s="9">
        <v>0</v>
      </c>
      <c r="N44" s="9">
        <v>0</v>
      </c>
      <c r="O44" s="9">
        <v>0</v>
      </c>
      <c r="P44" s="9">
        <v>0</v>
      </c>
      <c r="Q44" s="9">
        <v>0</v>
      </c>
      <c r="R44" s="9">
        <v>0</v>
      </c>
      <c r="S44" s="9">
        <v>0</v>
      </c>
      <c r="T44" s="9">
        <v>0</v>
      </c>
      <c r="U44" s="9">
        <v>0</v>
      </c>
      <c r="V44" s="9">
        <v>0</v>
      </c>
      <c r="W44" s="9">
        <v>0</v>
      </c>
      <c r="X44" s="9">
        <v>0</v>
      </c>
      <c r="Y44" s="9">
        <v>0</v>
      </c>
      <c r="Z44" s="9">
        <v>0</v>
      </c>
      <c r="AA44" s="9">
        <v>0</v>
      </c>
      <c r="AB44" s="9">
        <v>0</v>
      </c>
      <c r="AC44" s="9">
        <v>0</v>
      </c>
      <c r="AD44" s="9">
        <v>0</v>
      </c>
      <c r="AE44" s="9">
        <v>0</v>
      </c>
      <c r="AF44" s="9">
        <v>0</v>
      </c>
      <c r="AG44" s="9">
        <v>0</v>
      </c>
      <c r="AH44" s="9">
        <v>0</v>
      </c>
      <c r="AI44" s="9">
        <v>0</v>
      </c>
      <c r="AJ44" s="9">
        <v>0</v>
      </c>
      <c r="AK44" s="9">
        <v>0</v>
      </c>
      <c r="AL44" s="9">
        <v>0</v>
      </c>
      <c r="AM44" s="9">
        <v>0</v>
      </c>
      <c r="AN44" s="9">
        <v>55.250999999999998</v>
      </c>
      <c r="AO44" s="9">
        <v>1.1040000000000001</v>
      </c>
      <c r="AP44" s="9">
        <v>0</v>
      </c>
      <c r="AQ44" s="9">
        <v>0</v>
      </c>
      <c r="AR44" s="9">
        <v>0</v>
      </c>
      <c r="AS44" s="9">
        <v>0</v>
      </c>
      <c r="AT44" s="9">
        <v>0</v>
      </c>
      <c r="AU44" s="9">
        <v>0</v>
      </c>
      <c r="AV44" s="9">
        <v>0</v>
      </c>
      <c r="AW44" s="9">
        <v>0</v>
      </c>
      <c r="AX44" s="9">
        <v>0</v>
      </c>
      <c r="AY44" s="9">
        <v>0</v>
      </c>
      <c r="AZ44" s="9">
        <v>0</v>
      </c>
      <c r="BA44" s="16">
        <v>1</v>
      </c>
    </row>
    <row r="45" spans="1:53" ht="17.399999999999999" x14ac:dyDescent="0.25">
      <c r="A45" s="5" t="s">
        <v>126</v>
      </c>
      <c r="B45" s="10">
        <v>1</v>
      </c>
      <c r="C45" s="10">
        <v>1</v>
      </c>
      <c r="D45" s="10">
        <v>1</v>
      </c>
      <c r="E45" s="10">
        <v>1</v>
      </c>
      <c r="F45" s="10">
        <v>1</v>
      </c>
      <c r="G45" s="10">
        <v>1</v>
      </c>
      <c r="H45" s="10">
        <v>1</v>
      </c>
      <c r="I45" s="10">
        <v>1</v>
      </c>
      <c r="J45" s="10">
        <v>1</v>
      </c>
      <c r="K45" s="10">
        <v>1</v>
      </c>
      <c r="L45" s="10">
        <v>1</v>
      </c>
      <c r="M45" s="10">
        <v>1</v>
      </c>
      <c r="N45" s="10">
        <v>1</v>
      </c>
      <c r="O45" s="10">
        <v>1</v>
      </c>
      <c r="P45" s="10">
        <v>6.52</v>
      </c>
      <c r="Q45" s="10">
        <v>10</v>
      </c>
      <c r="R45" s="10">
        <v>1</v>
      </c>
      <c r="S45" s="10">
        <v>1</v>
      </c>
      <c r="T45" s="10">
        <v>1</v>
      </c>
      <c r="U45" s="10">
        <v>1</v>
      </c>
      <c r="V45" s="10">
        <v>0</v>
      </c>
      <c r="W45" s="10">
        <v>0</v>
      </c>
      <c r="X45" s="10">
        <v>1</v>
      </c>
      <c r="Y45" s="10">
        <v>1</v>
      </c>
      <c r="Z45" s="10">
        <v>1</v>
      </c>
      <c r="AA45" s="10">
        <v>1</v>
      </c>
      <c r="AB45" s="10">
        <v>1</v>
      </c>
      <c r="AC45" s="10">
        <v>1</v>
      </c>
      <c r="AD45" s="10">
        <v>1</v>
      </c>
      <c r="AE45" s="10">
        <v>1</v>
      </c>
      <c r="AF45" s="10">
        <v>1</v>
      </c>
      <c r="AG45" s="10">
        <v>1</v>
      </c>
      <c r="AH45" s="10">
        <v>1</v>
      </c>
      <c r="AI45" s="10">
        <v>1</v>
      </c>
      <c r="AJ45" s="10">
        <v>1</v>
      </c>
      <c r="AK45" s="10">
        <v>1</v>
      </c>
      <c r="AL45" s="10">
        <v>1</v>
      </c>
      <c r="AM45" s="10">
        <v>1</v>
      </c>
      <c r="AN45" s="2">
        <v>0</v>
      </c>
      <c r="AO45" s="2">
        <v>0</v>
      </c>
      <c r="AP45" s="2">
        <v>0</v>
      </c>
      <c r="AQ45" s="2">
        <v>0</v>
      </c>
      <c r="AR45" s="2">
        <v>0</v>
      </c>
      <c r="AS45" s="2">
        <v>0</v>
      </c>
      <c r="AT45" s="2">
        <v>0</v>
      </c>
      <c r="AU45" s="2">
        <v>0</v>
      </c>
      <c r="AV45" s="2">
        <v>0</v>
      </c>
      <c r="AW45" s="2">
        <v>0</v>
      </c>
      <c r="AX45" s="2">
        <v>0</v>
      </c>
      <c r="AY45" s="2">
        <v>0</v>
      </c>
      <c r="AZ45" s="2">
        <v>0</v>
      </c>
      <c r="BA45" s="15">
        <v>1</v>
      </c>
    </row>
    <row r="46" spans="1:53" ht="17.399999999999999" x14ac:dyDescent="0.25">
      <c r="A46" s="8" t="s">
        <v>190</v>
      </c>
      <c r="B46" s="9">
        <v>1</v>
      </c>
      <c r="C46" s="9">
        <v>1</v>
      </c>
      <c r="D46" s="9">
        <v>1</v>
      </c>
      <c r="E46" s="9">
        <v>1</v>
      </c>
      <c r="F46" s="9">
        <v>1</v>
      </c>
      <c r="G46" s="9">
        <v>1</v>
      </c>
      <c r="H46" s="9">
        <v>1</v>
      </c>
      <c r="I46" s="9">
        <v>1</v>
      </c>
      <c r="J46" s="9">
        <v>1</v>
      </c>
      <c r="K46" s="9">
        <v>1</v>
      </c>
      <c r="L46" s="9">
        <v>1</v>
      </c>
      <c r="M46" s="9">
        <v>1</v>
      </c>
      <c r="N46" s="9">
        <v>1</v>
      </c>
      <c r="O46" s="9">
        <v>1</v>
      </c>
      <c r="P46" s="9">
        <v>14.16</v>
      </c>
      <c r="Q46" s="9">
        <v>10</v>
      </c>
      <c r="R46" s="9">
        <v>1</v>
      </c>
      <c r="S46" s="9">
        <v>1</v>
      </c>
      <c r="T46" s="9">
        <v>1</v>
      </c>
      <c r="U46" s="9">
        <v>1</v>
      </c>
      <c r="V46" s="9">
        <v>0</v>
      </c>
      <c r="W46" s="9">
        <v>0</v>
      </c>
      <c r="X46" s="9">
        <v>1</v>
      </c>
      <c r="Y46" s="9">
        <v>1</v>
      </c>
      <c r="Z46" s="9">
        <v>1</v>
      </c>
      <c r="AA46" s="9">
        <v>1</v>
      </c>
      <c r="AB46" s="9">
        <v>1</v>
      </c>
      <c r="AC46" s="9">
        <v>1</v>
      </c>
      <c r="AD46" s="9">
        <v>1</v>
      </c>
      <c r="AE46" s="9">
        <v>1</v>
      </c>
      <c r="AF46" s="9">
        <v>1</v>
      </c>
      <c r="AG46" s="9">
        <v>1</v>
      </c>
      <c r="AH46" s="9">
        <v>1</v>
      </c>
      <c r="AI46" s="9">
        <v>1</v>
      </c>
      <c r="AJ46" s="9">
        <v>1</v>
      </c>
      <c r="AK46" s="9">
        <v>1</v>
      </c>
      <c r="AL46" s="9">
        <v>1</v>
      </c>
      <c r="AM46" s="9">
        <v>1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0</v>
      </c>
      <c r="AU46" s="4">
        <v>0</v>
      </c>
      <c r="AV46" s="4">
        <v>0</v>
      </c>
      <c r="AW46" s="4">
        <v>0</v>
      </c>
      <c r="AX46" s="4">
        <v>0</v>
      </c>
      <c r="AY46" s="4">
        <v>0</v>
      </c>
      <c r="AZ46" s="4">
        <v>0</v>
      </c>
      <c r="BA46" s="16">
        <v>1</v>
      </c>
    </row>
    <row r="47" spans="1:53" ht="17.399999999999999" x14ac:dyDescent="0.25">
      <c r="A47" s="5" t="s">
        <v>127</v>
      </c>
      <c r="B47" s="10">
        <v>1</v>
      </c>
      <c r="C47" s="10">
        <v>1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7.59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0</v>
      </c>
      <c r="W47" s="10">
        <v>0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>
        <v>1</v>
      </c>
      <c r="AE47" s="10">
        <v>1</v>
      </c>
      <c r="AF47" s="10">
        <v>1</v>
      </c>
      <c r="AG47" s="10">
        <v>1</v>
      </c>
      <c r="AH47" s="10">
        <v>1</v>
      </c>
      <c r="AI47" s="10">
        <v>1</v>
      </c>
      <c r="AJ47" s="10">
        <v>1</v>
      </c>
      <c r="AK47" s="10">
        <v>1</v>
      </c>
      <c r="AL47" s="10">
        <v>1</v>
      </c>
      <c r="AM47" s="10">
        <v>1</v>
      </c>
      <c r="AN47" s="2">
        <v>0</v>
      </c>
      <c r="AO47" s="2">
        <v>0</v>
      </c>
      <c r="AP47" s="2">
        <v>0</v>
      </c>
      <c r="AQ47" s="2">
        <v>0</v>
      </c>
      <c r="AR47" s="2">
        <v>0</v>
      </c>
      <c r="AS47" s="2">
        <v>0</v>
      </c>
      <c r="AT47" s="2">
        <v>0</v>
      </c>
      <c r="AU47" s="2">
        <v>0</v>
      </c>
      <c r="AV47" s="2">
        <v>0</v>
      </c>
      <c r="AW47" s="2">
        <v>0</v>
      </c>
      <c r="AX47" s="2">
        <v>0</v>
      </c>
      <c r="AY47" s="2">
        <v>0</v>
      </c>
      <c r="AZ47" s="2">
        <v>0</v>
      </c>
      <c r="BA47" s="15">
        <v>1</v>
      </c>
    </row>
    <row r="48" spans="1:53" ht="17.399999999999999" x14ac:dyDescent="0.25">
      <c r="A48" s="8" t="s">
        <v>122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21.06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0</v>
      </c>
      <c r="W48" s="9">
        <v>0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>
        <v>1</v>
      </c>
      <c r="AE48" s="9">
        <v>1</v>
      </c>
      <c r="AF48" s="9">
        <v>1</v>
      </c>
      <c r="AG48" s="9">
        <v>1</v>
      </c>
      <c r="AH48" s="9">
        <v>1</v>
      </c>
      <c r="AI48" s="9">
        <v>1</v>
      </c>
      <c r="AJ48" s="9">
        <v>1</v>
      </c>
      <c r="AK48" s="9">
        <v>1</v>
      </c>
      <c r="AL48" s="9">
        <v>1</v>
      </c>
      <c r="AM48" s="9">
        <v>1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0</v>
      </c>
      <c r="AU48" s="4">
        <v>0</v>
      </c>
      <c r="AV48" s="4">
        <v>0</v>
      </c>
      <c r="AW48" s="4">
        <v>0</v>
      </c>
      <c r="AX48" s="4">
        <v>0</v>
      </c>
      <c r="AY48" s="4">
        <v>0</v>
      </c>
      <c r="AZ48" s="4">
        <v>0</v>
      </c>
      <c r="BA48" s="16">
        <v>1</v>
      </c>
    </row>
    <row r="49" spans="1:53" ht="17.399999999999999" x14ac:dyDescent="0.25">
      <c r="A49" s="5" t="s">
        <v>128</v>
      </c>
      <c r="B49" s="10">
        <v>1</v>
      </c>
      <c r="C49" s="10">
        <v>1</v>
      </c>
      <c r="D49" s="10">
        <v>1</v>
      </c>
      <c r="E49" s="10">
        <v>1</v>
      </c>
      <c r="F49" s="10">
        <v>1</v>
      </c>
      <c r="G49" s="10">
        <v>1</v>
      </c>
      <c r="H49" s="10">
        <v>1</v>
      </c>
      <c r="I49" s="10">
        <v>1</v>
      </c>
      <c r="J49" s="10">
        <v>1</v>
      </c>
      <c r="K49" s="10">
        <v>1</v>
      </c>
      <c r="L49" s="10">
        <v>1</v>
      </c>
      <c r="M49" s="10">
        <v>1</v>
      </c>
      <c r="N49" s="10">
        <v>1</v>
      </c>
      <c r="O49" s="10">
        <v>1</v>
      </c>
      <c r="P49" s="10">
        <v>0.66700000000000004</v>
      </c>
      <c r="Q49" s="10">
        <v>1</v>
      </c>
      <c r="R49" s="10">
        <v>1</v>
      </c>
      <c r="S49" s="10">
        <v>1</v>
      </c>
      <c r="T49" s="10">
        <v>1</v>
      </c>
      <c r="U49" s="10">
        <v>1</v>
      </c>
      <c r="V49" s="10">
        <v>0</v>
      </c>
      <c r="W49" s="10">
        <v>0</v>
      </c>
      <c r="X49" s="10">
        <v>1</v>
      </c>
      <c r="Y49" s="10">
        <v>1</v>
      </c>
      <c r="Z49" s="10">
        <v>1</v>
      </c>
      <c r="AA49" s="10">
        <v>1</v>
      </c>
      <c r="AB49" s="10">
        <v>1</v>
      </c>
      <c r="AC49" s="10">
        <v>1</v>
      </c>
      <c r="AD49" s="10">
        <v>1</v>
      </c>
      <c r="AE49" s="10">
        <v>1</v>
      </c>
      <c r="AF49" s="10">
        <v>1</v>
      </c>
      <c r="AG49" s="10">
        <v>1</v>
      </c>
      <c r="AH49" s="10">
        <v>1</v>
      </c>
      <c r="AI49" s="10">
        <v>1</v>
      </c>
      <c r="AJ49" s="10">
        <v>1</v>
      </c>
      <c r="AK49" s="10">
        <v>1</v>
      </c>
      <c r="AL49" s="10">
        <v>1</v>
      </c>
      <c r="AM49" s="10">
        <v>1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0</v>
      </c>
      <c r="AT49" s="2">
        <v>0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0</v>
      </c>
      <c r="BA49" s="15">
        <v>1</v>
      </c>
    </row>
    <row r="50" spans="1:53" ht="17.399999999999999" x14ac:dyDescent="0.25">
      <c r="A50" s="8" t="s">
        <v>123</v>
      </c>
      <c r="B50" s="9">
        <v>1</v>
      </c>
      <c r="C50" s="9">
        <v>1</v>
      </c>
      <c r="D50" s="9">
        <v>1</v>
      </c>
      <c r="E50" s="9">
        <v>1</v>
      </c>
      <c r="F50" s="9">
        <v>1</v>
      </c>
      <c r="G50" s="9">
        <v>1</v>
      </c>
      <c r="H50" s="9">
        <v>1</v>
      </c>
      <c r="I50" s="9">
        <v>1</v>
      </c>
      <c r="J50" s="9">
        <v>1</v>
      </c>
      <c r="K50" s="9">
        <v>1</v>
      </c>
      <c r="L50" s="9">
        <v>1</v>
      </c>
      <c r="M50" s="9">
        <v>1</v>
      </c>
      <c r="N50" s="9">
        <v>1</v>
      </c>
      <c r="O50" s="9">
        <v>1</v>
      </c>
      <c r="P50" s="9">
        <v>24.76</v>
      </c>
      <c r="Q50" s="9">
        <v>1</v>
      </c>
      <c r="R50" s="9">
        <v>1</v>
      </c>
      <c r="S50" s="9">
        <v>1</v>
      </c>
      <c r="T50" s="9">
        <v>1</v>
      </c>
      <c r="U50" s="9">
        <v>1</v>
      </c>
      <c r="V50" s="9">
        <v>0</v>
      </c>
      <c r="W50" s="9">
        <v>0</v>
      </c>
      <c r="X50" s="9">
        <v>1</v>
      </c>
      <c r="Y50" s="9">
        <v>1</v>
      </c>
      <c r="Z50" s="9">
        <v>1</v>
      </c>
      <c r="AA50" s="9">
        <v>1</v>
      </c>
      <c r="AB50" s="9">
        <v>1</v>
      </c>
      <c r="AC50" s="9">
        <v>1</v>
      </c>
      <c r="AD50" s="9">
        <v>1</v>
      </c>
      <c r="AE50" s="9">
        <v>1</v>
      </c>
      <c r="AF50" s="9">
        <v>1</v>
      </c>
      <c r="AG50" s="9">
        <v>1</v>
      </c>
      <c r="AH50" s="9">
        <v>1</v>
      </c>
      <c r="AI50" s="9">
        <v>1</v>
      </c>
      <c r="AJ50" s="9">
        <v>1</v>
      </c>
      <c r="AK50" s="9">
        <v>1</v>
      </c>
      <c r="AL50" s="9">
        <v>1</v>
      </c>
      <c r="AM50" s="9">
        <v>1</v>
      </c>
      <c r="AN50" s="4">
        <v>0</v>
      </c>
      <c r="AO50" s="4">
        <v>0</v>
      </c>
      <c r="AP50" s="4">
        <v>0</v>
      </c>
      <c r="AQ50" s="4">
        <v>0</v>
      </c>
      <c r="AR50" s="4">
        <v>0</v>
      </c>
      <c r="AS50" s="4">
        <v>0</v>
      </c>
      <c r="AT50" s="4">
        <v>0</v>
      </c>
      <c r="AU50" s="4">
        <v>0</v>
      </c>
      <c r="AV50" s="4">
        <v>0</v>
      </c>
      <c r="AW50" s="4">
        <v>0</v>
      </c>
      <c r="AX50" s="4">
        <v>0</v>
      </c>
      <c r="AY50" s="4">
        <v>0</v>
      </c>
      <c r="AZ50" s="4">
        <v>0</v>
      </c>
      <c r="BA50" s="16">
        <v>1</v>
      </c>
    </row>
    <row r="51" spans="1:53" ht="17.399999999999999" x14ac:dyDescent="0.25">
      <c r="A51" s="5" t="s">
        <v>129</v>
      </c>
      <c r="B51" s="10">
        <v>1</v>
      </c>
      <c r="C51" s="10">
        <v>1</v>
      </c>
      <c r="D51" s="10">
        <v>1</v>
      </c>
      <c r="E51" s="10">
        <v>1</v>
      </c>
      <c r="F51" s="10">
        <v>1</v>
      </c>
      <c r="G51" s="10">
        <v>1</v>
      </c>
      <c r="H51" s="10">
        <v>1</v>
      </c>
      <c r="I51" s="10">
        <v>1</v>
      </c>
      <c r="J51" s="10">
        <v>1</v>
      </c>
      <c r="K51" s="10">
        <v>1</v>
      </c>
      <c r="L51" s="10">
        <v>1</v>
      </c>
      <c r="M51" s="10">
        <v>1</v>
      </c>
      <c r="N51" s="10">
        <v>1</v>
      </c>
      <c r="O51" s="10">
        <v>1</v>
      </c>
      <c r="P51" s="10">
        <v>4.4000000000000004</v>
      </c>
      <c r="Q51" s="10">
        <v>1</v>
      </c>
      <c r="R51" s="10">
        <v>1</v>
      </c>
      <c r="S51" s="10">
        <v>1</v>
      </c>
      <c r="T51" s="10">
        <v>1</v>
      </c>
      <c r="U51" s="10">
        <v>1</v>
      </c>
      <c r="V51" s="10">
        <v>0</v>
      </c>
      <c r="W51" s="10">
        <v>0</v>
      </c>
      <c r="X51" s="10">
        <v>1</v>
      </c>
      <c r="Y51" s="10">
        <v>1</v>
      </c>
      <c r="Z51" s="10">
        <v>1</v>
      </c>
      <c r="AA51" s="10">
        <v>1</v>
      </c>
      <c r="AB51" s="10">
        <v>1</v>
      </c>
      <c r="AC51" s="10">
        <v>1</v>
      </c>
      <c r="AD51" s="10">
        <v>1</v>
      </c>
      <c r="AE51" s="10">
        <v>1</v>
      </c>
      <c r="AF51" s="10">
        <v>1</v>
      </c>
      <c r="AG51" s="10">
        <v>1</v>
      </c>
      <c r="AH51" s="10">
        <v>1</v>
      </c>
      <c r="AI51" s="10">
        <v>1</v>
      </c>
      <c r="AJ51" s="10">
        <v>1</v>
      </c>
      <c r="AK51" s="10">
        <v>1</v>
      </c>
      <c r="AL51" s="10">
        <v>1</v>
      </c>
      <c r="AM51" s="10">
        <v>1</v>
      </c>
      <c r="AN51" s="2">
        <v>0</v>
      </c>
      <c r="AO51" s="2">
        <v>0</v>
      </c>
      <c r="AP51" s="2">
        <v>0</v>
      </c>
      <c r="AQ51" s="2">
        <v>0</v>
      </c>
      <c r="AR51" s="2">
        <v>0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0</v>
      </c>
      <c r="AY51" s="2">
        <v>0</v>
      </c>
      <c r="AZ51" s="2">
        <v>0</v>
      </c>
      <c r="BA51" s="15">
        <v>1</v>
      </c>
    </row>
    <row r="52" spans="1:53" ht="17.399999999999999" x14ac:dyDescent="0.25">
      <c r="A52" s="8" t="s">
        <v>168</v>
      </c>
      <c r="B52" s="4">
        <v>0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9">
        <v>0</v>
      </c>
      <c r="W52" s="9">
        <v>0</v>
      </c>
      <c r="X52" s="9">
        <v>0</v>
      </c>
      <c r="Y52" s="4">
        <v>0</v>
      </c>
      <c r="Z52" s="4">
        <v>0</v>
      </c>
      <c r="AA52" s="4">
        <v>0</v>
      </c>
      <c r="AB52" s="4">
        <v>0</v>
      </c>
      <c r="AC52" s="4">
        <v>117.78</v>
      </c>
      <c r="AD52" s="4">
        <v>154.91</v>
      </c>
      <c r="AE52" s="4">
        <v>0</v>
      </c>
      <c r="AF52" s="4">
        <v>0</v>
      </c>
      <c r="AG52" s="4">
        <v>0</v>
      </c>
      <c r="AH52" s="4">
        <v>0</v>
      </c>
      <c r="AI52" s="4">
        <v>0</v>
      </c>
      <c r="AJ52" s="4">
        <v>0</v>
      </c>
      <c r="AK52" s="4">
        <v>0</v>
      </c>
      <c r="AL52" s="4">
        <v>0</v>
      </c>
      <c r="AM52" s="4">
        <v>0</v>
      </c>
      <c r="AN52" s="4">
        <v>0</v>
      </c>
      <c r="AO52" s="4">
        <v>0</v>
      </c>
      <c r="AP52" s="4">
        <v>0</v>
      </c>
      <c r="AQ52" s="4">
        <v>1</v>
      </c>
      <c r="AR52" s="4">
        <v>442.65</v>
      </c>
      <c r="AS52" s="4">
        <v>150</v>
      </c>
      <c r="AT52" s="4">
        <v>20</v>
      </c>
      <c r="AU52" s="4">
        <v>0.27</v>
      </c>
      <c r="AV52" s="4">
        <v>8</v>
      </c>
      <c r="AW52" s="4">
        <v>11</v>
      </c>
      <c r="AX52" s="4">
        <v>5.7</v>
      </c>
      <c r="AY52" s="4">
        <v>9</v>
      </c>
      <c r="AZ52" s="4">
        <v>15.52</v>
      </c>
      <c r="BA52" s="16">
        <v>1</v>
      </c>
    </row>
    <row r="53" spans="1:53" ht="17.399999999999999" x14ac:dyDescent="0.25">
      <c r="A53" s="5" t="s">
        <v>169</v>
      </c>
      <c r="B53" s="2">
        <v>0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10">
        <v>0</v>
      </c>
      <c r="W53" s="10">
        <v>0</v>
      </c>
      <c r="X53" s="10">
        <v>0</v>
      </c>
      <c r="Y53" s="2">
        <v>0</v>
      </c>
      <c r="Z53" s="2">
        <v>0</v>
      </c>
      <c r="AA53" s="2">
        <v>0</v>
      </c>
      <c r="AB53" s="2">
        <v>0</v>
      </c>
      <c r="AC53" s="2">
        <v>509.33</v>
      </c>
      <c r="AD53" s="2">
        <v>213.58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  <c r="AQ53" s="2">
        <v>1</v>
      </c>
      <c r="AR53" s="2">
        <v>583.30999999999995</v>
      </c>
      <c r="AS53" s="2">
        <v>150</v>
      </c>
      <c r="AT53" s="2">
        <v>20</v>
      </c>
      <c r="AU53" s="2">
        <v>0.27</v>
      </c>
      <c r="AV53" s="2">
        <v>8</v>
      </c>
      <c r="AW53" s="2">
        <v>11</v>
      </c>
      <c r="AX53" s="2">
        <v>5.7</v>
      </c>
      <c r="AY53" s="2">
        <v>9</v>
      </c>
      <c r="AZ53" s="2">
        <v>25.74</v>
      </c>
      <c r="BA53" s="15">
        <v>1</v>
      </c>
    </row>
    <row r="54" spans="1:53" ht="17.399999999999999" x14ac:dyDescent="0.25">
      <c r="A54" s="8" t="s">
        <v>170</v>
      </c>
      <c r="B54" s="4">
        <v>0</v>
      </c>
      <c r="C54" s="4">
        <v>0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4">
        <v>0</v>
      </c>
      <c r="K54" s="4">
        <v>0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9">
        <v>0</v>
      </c>
      <c r="W54" s="9">
        <v>0</v>
      </c>
      <c r="X54" s="9">
        <v>0</v>
      </c>
      <c r="Y54" s="4">
        <v>0</v>
      </c>
      <c r="Z54" s="4">
        <v>0</v>
      </c>
      <c r="AA54" s="4">
        <v>0</v>
      </c>
      <c r="AB54" s="4">
        <v>0</v>
      </c>
      <c r="AC54" s="4">
        <v>96.42</v>
      </c>
      <c r="AD54" s="4">
        <v>82.68</v>
      </c>
      <c r="AE54" s="4">
        <v>0</v>
      </c>
      <c r="AF54" s="4">
        <v>0</v>
      </c>
      <c r="AG54" s="4">
        <v>0</v>
      </c>
      <c r="AH54" s="4">
        <v>0</v>
      </c>
      <c r="AI54" s="4">
        <v>0</v>
      </c>
      <c r="AJ54" s="4">
        <v>0</v>
      </c>
      <c r="AK54" s="4">
        <v>0</v>
      </c>
      <c r="AL54" s="4">
        <v>0</v>
      </c>
      <c r="AM54" s="4">
        <v>0</v>
      </c>
      <c r="AN54" s="4">
        <v>0</v>
      </c>
      <c r="AO54" s="4">
        <v>0</v>
      </c>
      <c r="AP54" s="4">
        <v>65</v>
      </c>
      <c r="AQ54" s="4">
        <v>1</v>
      </c>
      <c r="AR54" s="4">
        <v>278.47000000000003</v>
      </c>
      <c r="AS54" s="4">
        <v>150</v>
      </c>
      <c r="AT54" s="4">
        <v>20</v>
      </c>
      <c r="AU54" s="4">
        <v>0.27</v>
      </c>
      <c r="AV54" s="4">
        <v>8</v>
      </c>
      <c r="AW54" s="4">
        <v>11</v>
      </c>
      <c r="AX54" s="4">
        <v>5.7</v>
      </c>
      <c r="AY54" s="4">
        <v>9</v>
      </c>
      <c r="AZ54" s="4">
        <v>13.13</v>
      </c>
      <c r="BA54" s="16">
        <v>1</v>
      </c>
    </row>
    <row r="55" spans="1:53" ht="17.399999999999999" x14ac:dyDescent="0.25">
      <c r="A55" s="5" t="s">
        <v>152</v>
      </c>
      <c r="B55" s="2">
        <v>0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10">
        <v>0</v>
      </c>
      <c r="W55" s="10">
        <v>0</v>
      </c>
      <c r="X55" s="10">
        <v>0</v>
      </c>
      <c r="Y55" s="2">
        <v>0</v>
      </c>
      <c r="Z55" s="2">
        <v>0</v>
      </c>
      <c r="AA55" s="2">
        <v>0</v>
      </c>
      <c r="AB55" s="2">
        <v>0</v>
      </c>
      <c r="AC55" s="2">
        <v>248.94</v>
      </c>
      <c r="AD55" s="2">
        <v>354.05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  <c r="AQ55" s="2">
        <v>1</v>
      </c>
      <c r="AR55" s="2">
        <v>583.30999999999995</v>
      </c>
      <c r="AS55" s="2">
        <v>150</v>
      </c>
      <c r="AT55" s="2">
        <v>20</v>
      </c>
      <c r="AU55" s="2">
        <v>0.27</v>
      </c>
      <c r="AV55" s="2">
        <v>8</v>
      </c>
      <c r="AW55" s="2">
        <v>11</v>
      </c>
      <c r="AX55" s="2">
        <v>5.7</v>
      </c>
      <c r="AY55" s="2">
        <v>9</v>
      </c>
      <c r="AZ55" s="2">
        <v>6.52</v>
      </c>
      <c r="BA55" s="15">
        <v>1</v>
      </c>
    </row>
    <row r="56" spans="1:53" ht="17.399999999999999" x14ac:dyDescent="0.25">
      <c r="A56" s="8" t="s">
        <v>150</v>
      </c>
      <c r="B56" s="4">
        <v>0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v>0</v>
      </c>
      <c r="K56" s="4">
        <v>0</v>
      </c>
      <c r="L56" s="4">
        <v>0</v>
      </c>
      <c r="M56" s="4">
        <v>0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9">
        <v>0</v>
      </c>
      <c r="W56" s="9">
        <v>0</v>
      </c>
      <c r="X56" s="9">
        <v>0</v>
      </c>
      <c r="Y56" s="4">
        <v>0</v>
      </c>
      <c r="Z56" s="4">
        <v>0</v>
      </c>
      <c r="AA56" s="4">
        <v>0</v>
      </c>
      <c r="AB56" s="4">
        <v>0</v>
      </c>
      <c r="AC56" s="4">
        <v>104.07</v>
      </c>
      <c r="AD56" s="4">
        <v>195.15</v>
      </c>
      <c r="AE56" s="4">
        <v>0</v>
      </c>
      <c r="AF56" s="4">
        <v>0</v>
      </c>
      <c r="AG56" s="4">
        <v>0</v>
      </c>
      <c r="AH56" s="4">
        <v>0</v>
      </c>
      <c r="AI56" s="4">
        <v>0</v>
      </c>
      <c r="AJ56" s="4">
        <v>0</v>
      </c>
      <c r="AK56" s="4">
        <v>0</v>
      </c>
      <c r="AL56" s="4">
        <v>0</v>
      </c>
      <c r="AM56" s="4">
        <v>0</v>
      </c>
      <c r="AN56" s="4">
        <v>0</v>
      </c>
      <c r="AO56" s="4">
        <v>0</v>
      </c>
      <c r="AP56" s="4">
        <v>0</v>
      </c>
      <c r="AQ56" s="4">
        <v>1</v>
      </c>
      <c r="AR56" s="4">
        <v>448.64</v>
      </c>
      <c r="AS56" s="4">
        <v>150</v>
      </c>
      <c r="AT56" s="4">
        <v>20</v>
      </c>
      <c r="AU56" s="4">
        <v>0.27</v>
      </c>
      <c r="AV56" s="4">
        <v>8</v>
      </c>
      <c r="AW56" s="4">
        <v>11</v>
      </c>
      <c r="AX56" s="4">
        <v>5.7</v>
      </c>
      <c r="AY56" s="4">
        <v>9</v>
      </c>
      <c r="AZ56" s="4">
        <v>6.23</v>
      </c>
      <c r="BA56" s="16">
        <v>1</v>
      </c>
    </row>
    <row r="57" spans="1:53" ht="17.399999999999999" x14ac:dyDescent="0.25">
      <c r="A57" s="5" t="s">
        <v>171</v>
      </c>
      <c r="B57" s="2">
        <v>0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10">
        <v>0</v>
      </c>
      <c r="W57" s="10">
        <v>0</v>
      </c>
      <c r="X57" s="10">
        <v>0</v>
      </c>
      <c r="Y57" s="2">
        <v>0</v>
      </c>
      <c r="Z57" s="2">
        <v>0</v>
      </c>
      <c r="AA57" s="2">
        <v>0</v>
      </c>
      <c r="AB57" s="2">
        <v>0</v>
      </c>
      <c r="AC57" s="2">
        <v>108.04</v>
      </c>
      <c r="AD57" s="2">
        <v>96.61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2">
        <v>0</v>
      </c>
      <c r="AP57" s="2">
        <v>0</v>
      </c>
      <c r="AQ57" s="2">
        <v>1</v>
      </c>
      <c r="AR57" s="2">
        <v>448.64</v>
      </c>
      <c r="AS57" s="2">
        <v>150</v>
      </c>
      <c r="AT57" s="2">
        <v>20</v>
      </c>
      <c r="AU57" s="2">
        <v>0.27</v>
      </c>
      <c r="AV57" s="2">
        <v>8</v>
      </c>
      <c r="AW57" s="2">
        <v>11</v>
      </c>
      <c r="AX57" s="2">
        <v>5.7</v>
      </c>
      <c r="AY57" s="2">
        <v>9</v>
      </c>
      <c r="AZ57" s="2">
        <v>17.13</v>
      </c>
      <c r="BA57" s="15">
        <v>1</v>
      </c>
    </row>
    <row r="58" spans="1:53" ht="17.399999999999999" x14ac:dyDescent="0.25">
      <c r="A58" s="8" t="s">
        <v>172</v>
      </c>
      <c r="B58" s="4">
        <v>0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  <c r="J58" s="4">
        <v>0</v>
      </c>
      <c r="K58" s="4">
        <v>0</v>
      </c>
      <c r="L58" s="4">
        <v>0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9">
        <v>0</v>
      </c>
      <c r="W58" s="9">
        <v>0</v>
      </c>
      <c r="X58" s="9">
        <v>0</v>
      </c>
      <c r="Y58" s="4">
        <v>0</v>
      </c>
      <c r="Z58" s="4">
        <v>0</v>
      </c>
      <c r="AA58" s="4">
        <v>0</v>
      </c>
      <c r="AB58" s="4">
        <v>0</v>
      </c>
      <c r="AC58" s="4">
        <v>62.95</v>
      </c>
      <c r="AD58" s="4">
        <v>54.62</v>
      </c>
      <c r="AE58" s="4">
        <v>0</v>
      </c>
      <c r="AF58" s="4">
        <v>0</v>
      </c>
      <c r="AG58" s="4">
        <v>0</v>
      </c>
      <c r="AH58" s="4">
        <v>0</v>
      </c>
      <c r="AI58" s="4">
        <v>0</v>
      </c>
      <c r="AJ58" s="4">
        <v>0</v>
      </c>
      <c r="AK58" s="4">
        <v>0</v>
      </c>
      <c r="AL58" s="4">
        <v>0</v>
      </c>
      <c r="AM58" s="4">
        <v>0</v>
      </c>
      <c r="AN58" s="4">
        <v>0</v>
      </c>
      <c r="AO58" s="4">
        <v>0</v>
      </c>
      <c r="AP58" s="4">
        <v>0</v>
      </c>
      <c r="AQ58" s="4">
        <v>1</v>
      </c>
      <c r="AR58" s="4">
        <v>301.48</v>
      </c>
      <c r="AS58" s="4">
        <v>150</v>
      </c>
      <c r="AT58" s="4">
        <v>20</v>
      </c>
      <c r="AU58" s="4">
        <v>0.27</v>
      </c>
      <c r="AV58" s="4">
        <v>8</v>
      </c>
      <c r="AW58" s="4">
        <v>11</v>
      </c>
      <c r="AX58" s="4">
        <v>5.7</v>
      </c>
      <c r="AY58" s="4">
        <v>9</v>
      </c>
      <c r="AZ58" s="4">
        <v>15.66</v>
      </c>
      <c r="BA58" s="16">
        <v>1</v>
      </c>
    </row>
    <row r="59" spans="1:53" ht="17.399999999999999" x14ac:dyDescent="0.25">
      <c r="A59" s="5" t="s">
        <v>155</v>
      </c>
      <c r="B59" s="2">
        <v>0</v>
      </c>
      <c r="C59" s="2">
        <v>0</v>
      </c>
      <c r="D59" s="2">
        <v>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s="10">
        <v>0</v>
      </c>
      <c r="W59" s="10">
        <v>0</v>
      </c>
      <c r="X59" s="10">
        <v>0</v>
      </c>
      <c r="Y59" s="2">
        <v>0</v>
      </c>
      <c r="Z59" s="2">
        <v>0</v>
      </c>
      <c r="AA59" s="2">
        <v>0</v>
      </c>
      <c r="AB59" s="2">
        <v>0</v>
      </c>
      <c r="AC59" s="2">
        <v>103.04</v>
      </c>
      <c r="AD59" s="2">
        <v>70.19</v>
      </c>
      <c r="AE59" s="2">
        <v>0</v>
      </c>
      <c r="AF59" s="2">
        <v>0</v>
      </c>
      <c r="AG59" s="2">
        <v>0</v>
      </c>
      <c r="AH59" s="2">
        <v>0</v>
      </c>
      <c r="AI59" s="2">
        <v>0</v>
      </c>
      <c r="AJ59" s="2">
        <v>0</v>
      </c>
      <c r="AK59" s="2">
        <v>0</v>
      </c>
      <c r="AL59" s="2">
        <v>0</v>
      </c>
      <c r="AM59" s="2">
        <v>0</v>
      </c>
      <c r="AN59" s="2">
        <v>0</v>
      </c>
      <c r="AO59" s="2">
        <v>0</v>
      </c>
      <c r="AP59" s="2">
        <v>0</v>
      </c>
      <c r="AQ59" s="2">
        <v>1</v>
      </c>
      <c r="AR59" s="2">
        <v>243.51</v>
      </c>
      <c r="AS59" s="2">
        <v>150</v>
      </c>
      <c r="AT59" s="2">
        <v>20</v>
      </c>
      <c r="AU59" s="2">
        <v>0.27</v>
      </c>
      <c r="AV59" s="2">
        <v>8</v>
      </c>
      <c r="AW59" s="2">
        <v>11</v>
      </c>
      <c r="AX59" s="2">
        <v>5.7</v>
      </c>
      <c r="AY59" s="2">
        <v>9</v>
      </c>
      <c r="AZ59" s="2">
        <v>16.690000000000001</v>
      </c>
      <c r="BA59" s="15">
        <v>1</v>
      </c>
    </row>
    <row r="60" spans="1:53" ht="17.399999999999999" x14ac:dyDescent="0.25">
      <c r="A60" s="8" t="s">
        <v>173</v>
      </c>
      <c r="B60" s="4">
        <v>0</v>
      </c>
      <c r="C60" s="4">
        <v>0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9">
        <v>0</v>
      </c>
      <c r="W60" s="9">
        <v>0</v>
      </c>
      <c r="X60" s="9">
        <v>0</v>
      </c>
      <c r="Y60" s="4">
        <v>0</v>
      </c>
      <c r="Z60" s="4">
        <v>0</v>
      </c>
      <c r="AA60" s="4">
        <v>0</v>
      </c>
      <c r="AB60" s="4">
        <v>0</v>
      </c>
      <c r="AC60" s="4">
        <v>28.3</v>
      </c>
      <c r="AD60" s="4">
        <v>41.24</v>
      </c>
      <c r="AE60" s="4">
        <v>29.88</v>
      </c>
      <c r="AF60" s="4">
        <v>33.65</v>
      </c>
      <c r="AG60" s="4">
        <v>0</v>
      </c>
      <c r="AH60" s="4">
        <v>0</v>
      </c>
      <c r="AI60" s="4">
        <v>0</v>
      </c>
      <c r="AJ60" s="4">
        <v>0</v>
      </c>
      <c r="AK60" s="4">
        <v>0</v>
      </c>
      <c r="AL60" s="4">
        <v>0</v>
      </c>
      <c r="AM60" s="4">
        <v>0</v>
      </c>
      <c r="AN60" s="4">
        <v>0</v>
      </c>
      <c r="AO60" s="4">
        <v>0</v>
      </c>
      <c r="AP60" s="4">
        <v>65</v>
      </c>
      <c r="AQ60" s="4">
        <v>1</v>
      </c>
      <c r="AR60" s="4">
        <v>360.56</v>
      </c>
      <c r="AS60" s="4">
        <v>150</v>
      </c>
      <c r="AT60" s="4">
        <v>20</v>
      </c>
      <c r="AU60" s="4">
        <v>0.27</v>
      </c>
      <c r="AV60" s="4">
        <v>8</v>
      </c>
      <c r="AW60" s="4">
        <v>11</v>
      </c>
      <c r="AX60" s="4">
        <v>5.7</v>
      </c>
      <c r="AY60" s="4">
        <v>9</v>
      </c>
      <c r="AZ60" s="4">
        <v>14.32</v>
      </c>
      <c r="BA60" s="16">
        <v>1</v>
      </c>
    </row>
    <row r="61" spans="1:53" ht="17.399999999999999" x14ac:dyDescent="0.25">
      <c r="A61" s="5" t="s">
        <v>174</v>
      </c>
      <c r="B61" s="2">
        <v>0</v>
      </c>
      <c r="C61" s="2">
        <v>0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10">
        <v>0</v>
      </c>
      <c r="W61" s="10">
        <v>0</v>
      </c>
      <c r="X61" s="10">
        <v>0</v>
      </c>
      <c r="Y61" s="2">
        <v>0</v>
      </c>
      <c r="Z61" s="2">
        <v>0</v>
      </c>
      <c r="AA61" s="2">
        <v>0</v>
      </c>
      <c r="AB61" s="2">
        <v>0</v>
      </c>
      <c r="AC61" s="2">
        <v>109.38</v>
      </c>
      <c r="AD61" s="2">
        <v>126.03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2">
        <v>0</v>
      </c>
      <c r="AP61" s="2">
        <v>0</v>
      </c>
      <c r="AQ61" s="2">
        <v>1</v>
      </c>
      <c r="AR61" s="2">
        <v>219.16</v>
      </c>
      <c r="AS61" s="2">
        <v>150</v>
      </c>
      <c r="AT61" s="2">
        <v>20</v>
      </c>
      <c r="AU61" s="2">
        <v>0.27</v>
      </c>
      <c r="AV61" s="2">
        <v>8</v>
      </c>
      <c r="AW61" s="2">
        <v>11</v>
      </c>
      <c r="AX61" s="2">
        <v>5.7</v>
      </c>
      <c r="AY61" s="2">
        <v>9</v>
      </c>
      <c r="AZ61" s="2">
        <v>1.3</v>
      </c>
      <c r="BA61" s="15">
        <v>1</v>
      </c>
    </row>
    <row r="62" spans="1:53" ht="17.399999999999999" x14ac:dyDescent="0.25">
      <c r="A62" s="8" t="s">
        <v>156</v>
      </c>
      <c r="B62" s="4">
        <v>0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9">
        <v>0</v>
      </c>
      <c r="W62" s="9">
        <v>0</v>
      </c>
      <c r="X62" s="9">
        <v>0</v>
      </c>
      <c r="Y62" s="4">
        <v>0</v>
      </c>
      <c r="Z62" s="4">
        <v>0</v>
      </c>
      <c r="AA62" s="4">
        <v>0</v>
      </c>
      <c r="AB62" s="4">
        <v>0</v>
      </c>
      <c r="AC62" s="4">
        <v>132.15</v>
      </c>
      <c r="AD62" s="4">
        <v>199.13</v>
      </c>
      <c r="AE62" s="4">
        <v>136.51</v>
      </c>
      <c r="AF62" s="4">
        <v>109.48</v>
      </c>
      <c r="AG62" s="4">
        <v>0</v>
      </c>
      <c r="AH62" s="4">
        <v>0</v>
      </c>
      <c r="AI62" s="4">
        <v>0</v>
      </c>
      <c r="AJ62" s="4">
        <v>0</v>
      </c>
      <c r="AK62" s="4">
        <v>0</v>
      </c>
      <c r="AL62" s="4">
        <v>0</v>
      </c>
      <c r="AM62" s="4">
        <v>0</v>
      </c>
      <c r="AN62" s="4">
        <v>0</v>
      </c>
      <c r="AO62" s="4">
        <v>0</v>
      </c>
      <c r="AP62" s="4">
        <v>65</v>
      </c>
      <c r="AQ62" s="4">
        <v>1</v>
      </c>
      <c r="AR62" s="4">
        <v>502.8</v>
      </c>
      <c r="AS62" s="4">
        <v>150</v>
      </c>
      <c r="AT62" s="4">
        <v>20</v>
      </c>
      <c r="AU62" s="4">
        <v>0.27</v>
      </c>
      <c r="AV62" s="4">
        <v>8</v>
      </c>
      <c r="AW62" s="4">
        <v>11</v>
      </c>
      <c r="AX62" s="4">
        <v>5.7</v>
      </c>
      <c r="AY62" s="4">
        <v>9</v>
      </c>
      <c r="AZ62" s="4">
        <v>18.04</v>
      </c>
      <c r="BA62" s="16">
        <v>1</v>
      </c>
    </row>
    <row r="63" spans="1:53" ht="17.399999999999999" x14ac:dyDescent="0.25">
      <c r="A63" s="5" t="s">
        <v>154</v>
      </c>
      <c r="B63" s="2">
        <v>0</v>
      </c>
      <c r="C63" s="2">
        <v>0</v>
      </c>
      <c r="D63" s="2">
        <v>0</v>
      </c>
      <c r="E63" s="2">
        <v>0</v>
      </c>
      <c r="F63" s="2">
        <v>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0</v>
      </c>
      <c r="V63" s="10">
        <v>0</v>
      </c>
      <c r="W63" s="10">
        <v>0</v>
      </c>
      <c r="X63" s="10">
        <v>0</v>
      </c>
      <c r="Y63" s="2">
        <v>0</v>
      </c>
      <c r="Z63" s="2">
        <v>0</v>
      </c>
      <c r="AA63" s="2">
        <v>0</v>
      </c>
      <c r="AB63" s="2">
        <v>0</v>
      </c>
      <c r="AC63" s="2">
        <v>89.93</v>
      </c>
      <c r="AD63" s="2">
        <v>81.95</v>
      </c>
      <c r="AE63" s="2">
        <v>0</v>
      </c>
      <c r="AF63" s="2">
        <v>0</v>
      </c>
      <c r="AG63" s="2">
        <v>0</v>
      </c>
      <c r="AH63" s="2">
        <v>0</v>
      </c>
      <c r="AI63" s="2">
        <v>0</v>
      </c>
      <c r="AJ63" s="2">
        <v>0</v>
      </c>
      <c r="AK63" s="2">
        <v>0</v>
      </c>
      <c r="AL63" s="2">
        <v>0</v>
      </c>
      <c r="AM63" s="2">
        <v>0</v>
      </c>
      <c r="AN63" s="2">
        <v>0</v>
      </c>
      <c r="AO63" s="2">
        <v>0</v>
      </c>
      <c r="AP63" s="2">
        <v>0</v>
      </c>
      <c r="AQ63" s="2">
        <v>1</v>
      </c>
      <c r="AR63" s="2">
        <v>302.45</v>
      </c>
      <c r="AS63" s="2">
        <v>150</v>
      </c>
      <c r="AT63" s="2">
        <v>20</v>
      </c>
      <c r="AU63" s="2">
        <v>0.27</v>
      </c>
      <c r="AV63" s="2">
        <v>8</v>
      </c>
      <c r="AW63" s="2">
        <v>11</v>
      </c>
      <c r="AX63" s="2">
        <v>5.7</v>
      </c>
      <c r="AY63" s="2">
        <v>9</v>
      </c>
      <c r="AZ63" s="2">
        <v>19.22</v>
      </c>
      <c r="BA63" s="15">
        <v>1</v>
      </c>
    </row>
    <row r="64" spans="1:53" ht="17.399999999999999" x14ac:dyDescent="0.25">
      <c r="A64" s="8" t="s">
        <v>157</v>
      </c>
      <c r="B64" s="4">
        <v>0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9">
        <v>0</v>
      </c>
      <c r="W64" s="9">
        <v>0</v>
      </c>
      <c r="X64" s="9">
        <v>0</v>
      </c>
      <c r="Y64" s="4">
        <v>0</v>
      </c>
      <c r="Z64" s="4">
        <v>0</v>
      </c>
      <c r="AA64" s="4">
        <v>0</v>
      </c>
      <c r="AB64" s="4">
        <v>0</v>
      </c>
      <c r="AC64" s="4">
        <v>207.93</v>
      </c>
      <c r="AD64" s="4">
        <v>207.93</v>
      </c>
      <c r="AE64" s="4">
        <v>0</v>
      </c>
      <c r="AF64" s="4">
        <v>0</v>
      </c>
      <c r="AG64" s="4">
        <v>0</v>
      </c>
      <c r="AH64" s="4">
        <v>0</v>
      </c>
      <c r="AI64" s="4">
        <v>0</v>
      </c>
      <c r="AJ64" s="4">
        <v>0</v>
      </c>
      <c r="AK64" s="4">
        <v>0</v>
      </c>
      <c r="AL64" s="4">
        <v>0</v>
      </c>
      <c r="AM64" s="4">
        <v>0</v>
      </c>
      <c r="AN64" s="4">
        <v>0</v>
      </c>
      <c r="AO64" s="4">
        <v>0</v>
      </c>
      <c r="AP64" s="4">
        <v>65</v>
      </c>
      <c r="AQ64" s="4">
        <v>1</v>
      </c>
      <c r="AR64" s="4">
        <v>502.8</v>
      </c>
      <c r="AS64" s="4">
        <v>150</v>
      </c>
      <c r="AT64" s="4">
        <v>20</v>
      </c>
      <c r="AU64" s="4">
        <v>0.27</v>
      </c>
      <c r="AV64" s="4">
        <v>8</v>
      </c>
      <c r="AW64" s="4">
        <v>11</v>
      </c>
      <c r="AX64" s="4">
        <v>5.7</v>
      </c>
      <c r="AY64" s="4">
        <v>9</v>
      </c>
      <c r="AZ64" s="4">
        <v>18.04</v>
      </c>
      <c r="BA64" s="16">
        <v>1</v>
      </c>
    </row>
    <row r="65" spans="1:53" ht="17.399999999999999" x14ac:dyDescent="0.25">
      <c r="A65" s="5" t="s">
        <v>257</v>
      </c>
      <c r="B65" s="2">
        <v>0</v>
      </c>
      <c r="C65" s="2">
        <v>0</v>
      </c>
      <c r="D65" s="2">
        <v>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10">
        <v>0</v>
      </c>
      <c r="W65" s="10">
        <v>0</v>
      </c>
      <c r="X65" s="10">
        <v>0</v>
      </c>
      <c r="Y65" s="2">
        <v>0</v>
      </c>
      <c r="Z65" s="2">
        <v>0</v>
      </c>
      <c r="AA65" s="2">
        <v>0</v>
      </c>
      <c r="AB65" s="2">
        <v>0</v>
      </c>
      <c r="AC65" s="2">
        <v>72.44</v>
      </c>
      <c r="AD65" s="2">
        <v>92.02</v>
      </c>
      <c r="AE65" s="2">
        <v>140.5</v>
      </c>
      <c r="AF65" s="2">
        <v>52.85</v>
      </c>
      <c r="AG65" s="2">
        <v>135.44</v>
      </c>
      <c r="AH65" s="2">
        <v>147.18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2">
        <v>0</v>
      </c>
      <c r="AP65" s="2">
        <v>0</v>
      </c>
      <c r="AQ65" s="2">
        <v>1</v>
      </c>
      <c r="AR65" s="2">
        <v>447.67</v>
      </c>
      <c r="AS65" s="2">
        <v>150</v>
      </c>
      <c r="AT65" s="2">
        <v>20</v>
      </c>
      <c r="AU65" s="2">
        <v>0.27</v>
      </c>
      <c r="AV65" s="2">
        <v>8</v>
      </c>
      <c r="AW65" s="2">
        <v>11</v>
      </c>
      <c r="AX65" s="2">
        <v>5.7</v>
      </c>
      <c r="AY65" s="2">
        <v>9</v>
      </c>
      <c r="AZ65" s="2">
        <v>9.4</v>
      </c>
      <c r="BA65" s="15">
        <v>1</v>
      </c>
    </row>
    <row r="66" spans="1:53" ht="17.399999999999999" x14ac:dyDescent="0.25">
      <c r="A66" s="5" t="s">
        <v>258</v>
      </c>
      <c r="B66" s="2">
        <v>0</v>
      </c>
      <c r="C66" s="2">
        <v>0</v>
      </c>
      <c r="D66" s="2">
        <v>0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10">
        <v>0</v>
      </c>
      <c r="W66" s="10">
        <v>0</v>
      </c>
      <c r="X66" s="10">
        <v>0</v>
      </c>
      <c r="Y66" s="2">
        <v>0</v>
      </c>
      <c r="Z66" s="2">
        <v>0</v>
      </c>
      <c r="AA66" s="2">
        <v>0</v>
      </c>
      <c r="AB66" s="2">
        <v>0</v>
      </c>
      <c r="AC66" s="2">
        <v>72.44</v>
      </c>
      <c r="AD66" s="2">
        <v>92.02</v>
      </c>
      <c r="AE66" s="2">
        <v>140.5</v>
      </c>
      <c r="AF66" s="2">
        <v>52.85</v>
      </c>
      <c r="AG66" s="2">
        <v>135.44</v>
      </c>
      <c r="AH66" s="2">
        <v>147.18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2">
        <v>0</v>
      </c>
      <c r="AP66" s="2">
        <v>0</v>
      </c>
      <c r="AQ66" s="2">
        <v>1</v>
      </c>
      <c r="AR66" s="2">
        <v>447.67</v>
      </c>
      <c r="AS66" s="2">
        <v>150</v>
      </c>
      <c r="AT66" s="2">
        <v>20</v>
      </c>
      <c r="AU66" s="2">
        <v>0.27</v>
      </c>
      <c r="AV66" s="2">
        <v>8</v>
      </c>
      <c r="AW66" s="2">
        <v>11</v>
      </c>
      <c r="AX66" s="2">
        <v>5.7</v>
      </c>
      <c r="AY66" s="2">
        <v>9</v>
      </c>
      <c r="AZ66" s="2">
        <v>9.4</v>
      </c>
      <c r="BA66" s="15">
        <v>1</v>
      </c>
    </row>
    <row r="67" spans="1:53" ht="17.399999999999999" x14ac:dyDescent="0.25">
      <c r="A67" s="5" t="s">
        <v>259</v>
      </c>
      <c r="B67" s="2">
        <v>0</v>
      </c>
      <c r="C67" s="2">
        <v>0</v>
      </c>
      <c r="D67" s="2">
        <v>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s="10">
        <v>0</v>
      </c>
      <c r="W67" s="10">
        <v>0</v>
      </c>
      <c r="X67" s="10">
        <v>0</v>
      </c>
      <c r="Y67" s="2">
        <v>0</v>
      </c>
      <c r="Z67" s="2">
        <v>0</v>
      </c>
      <c r="AA67" s="2">
        <v>0</v>
      </c>
      <c r="AB67" s="2">
        <v>0</v>
      </c>
      <c r="AC67" s="2">
        <v>72.44</v>
      </c>
      <c r="AD67" s="2">
        <v>92.02</v>
      </c>
      <c r="AE67" s="2">
        <v>140.5</v>
      </c>
      <c r="AF67" s="2">
        <v>52.85</v>
      </c>
      <c r="AG67" s="2">
        <v>135.44</v>
      </c>
      <c r="AH67" s="2">
        <v>147.18</v>
      </c>
      <c r="AI67" s="2">
        <v>0</v>
      </c>
      <c r="AJ67" s="2">
        <v>0</v>
      </c>
      <c r="AK67" s="2">
        <v>0</v>
      </c>
      <c r="AL67" s="2">
        <v>0</v>
      </c>
      <c r="AM67" s="2">
        <v>0</v>
      </c>
      <c r="AN67" s="2">
        <v>0</v>
      </c>
      <c r="AO67" s="2">
        <v>0</v>
      </c>
      <c r="AP67" s="2">
        <v>0</v>
      </c>
      <c r="AQ67" s="2">
        <v>1</v>
      </c>
      <c r="AR67" s="2">
        <v>447.67</v>
      </c>
      <c r="AS67" s="2">
        <v>150</v>
      </c>
      <c r="AT67" s="2">
        <v>20</v>
      </c>
      <c r="AU67" s="2">
        <v>0.27</v>
      </c>
      <c r="AV67" s="2">
        <v>8</v>
      </c>
      <c r="AW67" s="2">
        <v>11</v>
      </c>
      <c r="AX67" s="2">
        <v>5.7</v>
      </c>
      <c r="AY67" s="2">
        <v>9</v>
      </c>
      <c r="AZ67" s="2">
        <v>9.4</v>
      </c>
      <c r="BA67" s="15">
        <v>1</v>
      </c>
    </row>
    <row r="68" spans="1:53" ht="17.399999999999999" x14ac:dyDescent="0.25">
      <c r="A68" s="8" t="s">
        <v>151</v>
      </c>
      <c r="B68" s="4">
        <v>0</v>
      </c>
      <c r="C68" s="4">
        <v>0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9">
        <v>0</v>
      </c>
      <c r="W68" s="9">
        <v>0</v>
      </c>
      <c r="X68" s="9">
        <v>0</v>
      </c>
      <c r="Y68" s="4">
        <v>0</v>
      </c>
      <c r="Z68" s="4">
        <v>0</v>
      </c>
      <c r="AA68" s="4">
        <v>0</v>
      </c>
      <c r="AB68" s="4">
        <v>0</v>
      </c>
      <c r="AC68" s="4">
        <v>63.76</v>
      </c>
      <c r="AD68" s="4">
        <v>60.65</v>
      </c>
      <c r="AE68" s="4">
        <v>0</v>
      </c>
      <c r="AF68" s="4">
        <v>0</v>
      </c>
      <c r="AG68" s="4">
        <v>0</v>
      </c>
      <c r="AH68" s="4">
        <v>0</v>
      </c>
      <c r="AI68" s="4">
        <v>0</v>
      </c>
      <c r="AJ68" s="4">
        <v>0</v>
      </c>
      <c r="AK68" s="4">
        <v>0</v>
      </c>
      <c r="AL68" s="4">
        <v>0</v>
      </c>
      <c r="AM68" s="4">
        <v>0</v>
      </c>
      <c r="AN68" s="4">
        <v>0</v>
      </c>
      <c r="AO68" s="4">
        <v>0</v>
      </c>
      <c r="AP68" s="4">
        <v>0</v>
      </c>
      <c r="AQ68" s="4">
        <v>1</v>
      </c>
      <c r="AR68" s="4">
        <v>302.93</v>
      </c>
      <c r="AS68" s="4">
        <v>150</v>
      </c>
      <c r="AT68" s="4">
        <v>20</v>
      </c>
      <c r="AU68" s="4">
        <v>0.27</v>
      </c>
      <c r="AV68" s="4">
        <v>8</v>
      </c>
      <c r="AW68" s="4">
        <v>11</v>
      </c>
      <c r="AX68" s="4">
        <v>5.7</v>
      </c>
      <c r="AY68" s="4">
        <v>9</v>
      </c>
      <c r="AZ68" s="4">
        <v>3.25</v>
      </c>
      <c r="BA68" s="16">
        <v>1</v>
      </c>
    </row>
    <row r="69" spans="1:53" ht="17.399999999999999" x14ac:dyDescent="0.25">
      <c r="A69" s="5" t="s">
        <v>175</v>
      </c>
      <c r="B69" s="2">
        <v>0</v>
      </c>
      <c r="C69" s="2">
        <v>0</v>
      </c>
      <c r="D69" s="2">
        <v>0</v>
      </c>
      <c r="E69" s="2">
        <v>0</v>
      </c>
      <c r="F69" s="2">
        <v>0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0</v>
      </c>
      <c r="V69" s="10">
        <v>0</v>
      </c>
      <c r="W69" s="10">
        <v>0</v>
      </c>
      <c r="X69" s="10">
        <v>0</v>
      </c>
      <c r="Y69" s="2">
        <v>0</v>
      </c>
      <c r="Z69" s="2">
        <v>0</v>
      </c>
      <c r="AA69" s="2">
        <v>0</v>
      </c>
      <c r="AB69" s="2">
        <v>0</v>
      </c>
      <c r="AC69" s="2">
        <v>280.95999999999998</v>
      </c>
      <c r="AD69" s="2">
        <v>333.68</v>
      </c>
      <c r="AE69" s="2">
        <v>0</v>
      </c>
      <c r="AF69" s="2">
        <v>0</v>
      </c>
      <c r="AG69" s="2">
        <v>0</v>
      </c>
      <c r="AH69" s="2">
        <v>0</v>
      </c>
      <c r="AI69" s="2">
        <v>0</v>
      </c>
      <c r="AJ69" s="2">
        <v>0</v>
      </c>
      <c r="AK69" s="2">
        <v>0</v>
      </c>
      <c r="AL69" s="2">
        <v>0</v>
      </c>
      <c r="AM69" s="2">
        <v>0</v>
      </c>
      <c r="AN69" s="2">
        <v>0</v>
      </c>
      <c r="AO69" s="2">
        <v>0</v>
      </c>
      <c r="AP69" s="2">
        <v>0</v>
      </c>
      <c r="AQ69" s="2">
        <v>1</v>
      </c>
      <c r="AR69" s="2">
        <v>192.52</v>
      </c>
      <c r="AS69" s="2">
        <v>150</v>
      </c>
      <c r="AT69" s="2">
        <v>20</v>
      </c>
      <c r="AU69" s="2">
        <v>0.27</v>
      </c>
      <c r="AV69" s="2">
        <v>8</v>
      </c>
      <c r="AW69" s="2">
        <v>11</v>
      </c>
      <c r="AX69" s="2">
        <v>5.7</v>
      </c>
      <c r="AY69" s="2">
        <v>9</v>
      </c>
      <c r="AZ69" s="2">
        <v>17.57</v>
      </c>
      <c r="BA69" s="15">
        <v>1</v>
      </c>
    </row>
    <row r="70" spans="1:53" ht="17.399999999999999" x14ac:dyDescent="0.25">
      <c r="A70" s="8" t="s">
        <v>176</v>
      </c>
      <c r="B70" s="4">
        <v>0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9">
        <v>0</v>
      </c>
      <c r="W70" s="9">
        <v>0</v>
      </c>
      <c r="X70" s="9">
        <v>0</v>
      </c>
      <c r="Y70" s="4">
        <v>0</v>
      </c>
      <c r="Z70" s="4">
        <v>0</v>
      </c>
      <c r="AA70" s="4">
        <v>0</v>
      </c>
      <c r="AB70" s="4">
        <v>0</v>
      </c>
      <c r="AC70" s="4">
        <v>51.24</v>
      </c>
      <c r="AD70" s="4">
        <v>54.8</v>
      </c>
      <c r="AE70" s="4">
        <v>0</v>
      </c>
      <c r="AF70" s="4">
        <v>0</v>
      </c>
      <c r="AG70" s="4">
        <v>0</v>
      </c>
      <c r="AH70" s="4">
        <v>0</v>
      </c>
      <c r="AI70" s="4">
        <v>0</v>
      </c>
      <c r="AJ70" s="4">
        <v>0</v>
      </c>
      <c r="AK70" s="4">
        <v>0</v>
      </c>
      <c r="AL70" s="4">
        <v>0</v>
      </c>
      <c r="AM70" s="4">
        <v>0</v>
      </c>
      <c r="AN70" s="4">
        <v>0</v>
      </c>
      <c r="AO70" s="4">
        <v>0</v>
      </c>
      <c r="AP70" s="4">
        <v>0</v>
      </c>
      <c r="AQ70" s="4">
        <v>1</v>
      </c>
      <c r="AR70" s="4">
        <v>302.93</v>
      </c>
      <c r="AS70" s="4">
        <v>150</v>
      </c>
      <c r="AT70" s="4">
        <v>20</v>
      </c>
      <c r="AU70" s="4">
        <v>0.27</v>
      </c>
      <c r="AV70" s="4">
        <v>8</v>
      </c>
      <c r="AW70" s="4">
        <v>11</v>
      </c>
      <c r="AX70" s="4">
        <v>5.7</v>
      </c>
      <c r="AY70" s="4">
        <v>9</v>
      </c>
      <c r="AZ70" s="4">
        <v>17.3</v>
      </c>
      <c r="BA70" s="16">
        <v>1</v>
      </c>
    </row>
    <row r="71" spans="1:53" ht="17.399999999999999" x14ac:dyDescent="0.25">
      <c r="A71" s="5" t="s">
        <v>153</v>
      </c>
      <c r="B71" s="2">
        <v>0</v>
      </c>
      <c r="C71" s="2">
        <v>0</v>
      </c>
      <c r="D71" s="2">
        <v>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10">
        <v>0</v>
      </c>
      <c r="W71" s="10">
        <v>0</v>
      </c>
      <c r="X71" s="10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177.15</v>
      </c>
      <c r="AE71" s="2">
        <v>207.93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2">
        <v>0</v>
      </c>
      <c r="AP71" s="2">
        <v>0</v>
      </c>
      <c r="AQ71" s="2">
        <v>1</v>
      </c>
      <c r="AR71" s="2">
        <v>502.8</v>
      </c>
      <c r="AS71" s="2">
        <v>150</v>
      </c>
      <c r="AT71" s="2">
        <v>20</v>
      </c>
      <c r="AU71" s="2">
        <v>0.27</v>
      </c>
      <c r="AV71" s="2">
        <v>8</v>
      </c>
      <c r="AW71" s="2">
        <v>11</v>
      </c>
      <c r="AX71" s="2">
        <v>5.7</v>
      </c>
      <c r="AY71" s="2">
        <v>9</v>
      </c>
      <c r="AZ71" s="2">
        <v>1.69</v>
      </c>
      <c r="BA71" s="15">
        <v>1</v>
      </c>
    </row>
  </sheetData>
  <dataConsolidate/>
  <mergeCells count="53">
    <mergeCell ref="G1:G2"/>
    <mergeCell ref="B1:B2"/>
    <mergeCell ref="C1:C2"/>
    <mergeCell ref="D1:D2"/>
    <mergeCell ref="E1:E2"/>
    <mergeCell ref="F1:F2"/>
    <mergeCell ref="N1:N2"/>
    <mergeCell ref="H1:H2"/>
    <mergeCell ref="I1:I2"/>
    <mergeCell ref="J1:J2"/>
    <mergeCell ref="K1:K2"/>
    <mergeCell ref="L1:L2"/>
    <mergeCell ref="M1:M2"/>
    <mergeCell ref="W1:W2"/>
    <mergeCell ref="X1:X2"/>
    <mergeCell ref="Y1:Y2"/>
    <mergeCell ref="Z1:Z2"/>
    <mergeCell ref="O1:O2"/>
    <mergeCell ref="P1:P2"/>
    <mergeCell ref="Q1:Q2"/>
    <mergeCell ref="R1:R2"/>
    <mergeCell ref="S1:S2"/>
    <mergeCell ref="T1:T2"/>
    <mergeCell ref="AL1:AL2"/>
    <mergeCell ref="AM1:AM2"/>
    <mergeCell ref="AG1:AG2"/>
    <mergeCell ref="AH1:AH2"/>
    <mergeCell ref="A1:A2"/>
    <mergeCell ref="AI1:AI2"/>
    <mergeCell ref="AJ1:AJ2"/>
    <mergeCell ref="AK1:AK2"/>
    <mergeCell ref="AA1:AA2"/>
    <mergeCell ref="AB1:AB2"/>
    <mergeCell ref="AC1:AC2"/>
    <mergeCell ref="AD1:AD2"/>
    <mergeCell ref="AE1:AE2"/>
    <mergeCell ref="AF1:AF2"/>
    <mergeCell ref="U1:U2"/>
    <mergeCell ref="V1:V2"/>
    <mergeCell ref="AN1:AN2"/>
    <mergeCell ref="AO1:AO2"/>
    <mergeCell ref="AP1:AP2"/>
    <mergeCell ref="AQ1:AQ2"/>
    <mergeCell ref="AR1:AR2"/>
    <mergeCell ref="BA1:BA2"/>
    <mergeCell ref="AX1:AX2"/>
    <mergeCell ref="AY1:AY2"/>
    <mergeCell ref="AZ1:AZ2"/>
    <mergeCell ref="AS1:AS2"/>
    <mergeCell ref="AT1:AT2"/>
    <mergeCell ref="AU1:AU2"/>
    <mergeCell ref="AV1:AV2"/>
    <mergeCell ref="AW1:AW2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8DD19-55A6-4632-AF42-0913DB852613}">
  <sheetPr codeName="Sheet5"/>
  <dimension ref="A1:R22"/>
  <sheetViews>
    <sheetView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18" sqref="F18"/>
    </sheetView>
  </sheetViews>
  <sheetFormatPr defaultRowHeight="13.8" x14ac:dyDescent="0.25"/>
  <cols>
    <col min="1" max="1" width="28" bestFit="1" customWidth="1"/>
    <col min="2" max="5" width="11.875" bestFit="1" customWidth="1"/>
    <col min="6" max="6" width="23" bestFit="1" customWidth="1"/>
    <col min="7" max="7" width="17.5" bestFit="1" customWidth="1"/>
    <col min="8" max="8" width="28.5" bestFit="1" customWidth="1"/>
    <col min="9" max="9" width="23" bestFit="1" customWidth="1"/>
    <col min="10" max="10" width="34.125" bestFit="1" customWidth="1"/>
    <col min="11" max="11" width="16.375" bestFit="1" customWidth="1"/>
    <col min="12" max="12" width="23.125" bestFit="1" customWidth="1"/>
    <col min="13" max="18" width="13.625" bestFit="1" customWidth="1"/>
  </cols>
  <sheetData>
    <row r="1" spans="1:18" x14ac:dyDescent="0.25">
      <c r="A1" s="35" t="s">
        <v>76</v>
      </c>
      <c r="B1" s="35" t="s">
        <v>178</v>
      </c>
      <c r="C1" s="35" t="s">
        <v>179</v>
      </c>
      <c r="D1" s="35" t="s">
        <v>180</v>
      </c>
      <c r="E1" s="35" t="s">
        <v>181</v>
      </c>
      <c r="F1" s="35" t="s">
        <v>182</v>
      </c>
      <c r="G1" s="35" t="s">
        <v>183</v>
      </c>
      <c r="H1" s="35" t="s">
        <v>184</v>
      </c>
      <c r="I1" s="35" t="s">
        <v>185</v>
      </c>
      <c r="J1" s="35" t="s">
        <v>158</v>
      </c>
      <c r="K1" s="35" t="s">
        <v>186</v>
      </c>
      <c r="L1" s="35" t="s">
        <v>187</v>
      </c>
      <c r="M1" s="33" t="s">
        <v>70</v>
      </c>
      <c r="N1" s="33" t="s">
        <v>71</v>
      </c>
      <c r="O1" s="33" t="s">
        <v>72</v>
      </c>
      <c r="P1" s="33" t="s">
        <v>73</v>
      </c>
      <c r="Q1" s="33" t="s">
        <v>74</v>
      </c>
      <c r="R1" s="33" t="s">
        <v>75</v>
      </c>
    </row>
    <row r="2" spans="1:18" x14ac:dyDescent="0.25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4"/>
      <c r="N2" s="34"/>
      <c r="O2" s="34"/>
      <c r="P2" s="34"/>
      <c r="Q2" s="34"/>
      <c r="R2" s="34"/>
    </row>
    <row r="3" spans="1:18" ht="17.399999999999999" x14ac:dyDescent="0.25">
      <c r="A3" s="1" t="s">
        <v>141</v>
      </c>
      <c r="B3" s="13">
        <v>1</v>
      </c>
      <c r="C3" s="13">
        <v>1</v>
      </c>
      <c r="D3" s="13">
        <v>1</v>
      </c>
      <c r="E3" s="13">
        <v>1</v>
      </c>
      <c r="F3" s="13">
        <v>1</v>
      </c>
      <c r="G3" s="13">
        <v>1</v>
      </c>
      <c r="H3" s="13">
        <v>1</v>
      </c>
      <c r="I3" s="13">
        <v>1</v>
      </c>
      <c r="J3" s="13">
        <v>1</v>
      </c>
      <c r="K3" s="13">
        <v>1</v>
      </c>
      <c r="L3" s="13">
        <v>1.006</v>
      </c>
      <c r="M3" s="13">
        <v>1</v>
      </c>
      <c r="N3" s="13">
        <v>1</v>
      </c>
      <c r="O3" s="13">
        <v>1</v>
      </c>
      <c r="P3" s="13">
        <v>1</v>
      </c>
      <c r="Q3" s="13">
        <v>1</v>
      </c>
      <c r="R3" s="13">
        <v>1</v>
      </c>
    </row>
    <row r="4" spans="1:18" ht="34.799999999999997" x14ac:dyDescent="0.25">
      <c r="A4" s="3" t="s">
        <v>139</v>
      </c>
      <c r="B4" s="14">
        <v>1</v>
      </c>
      <c r="C4" s="14">
        <v>1</v>
      </c>
      <c r="D4" s="14">
        <v>1</v>
      </c>
      <c r="E4" s="14">
        <v>1</v>
      </c>
      <c r="F4" s="14">
        <v>1</v>
      </c>
      <c r="G4" s="14">
        <v>1</v>
      </c>
      <c r="H4" s="14">
        <v>1</v>
      </c>
      <c r="I4" s="14">
        <v>1</v>
      </c>
      <c r="J4" s="14">
        <v>1</v>
      </c>
      <c r="K4" s="14">
        <v>1</v>
      </c>
      <c r="L4" s="14">
        <v>1.014</v>
      </c>
      <c r="M4" s="14">
        <v>1</v>
      </c>
      <c r="N4" s="14">
        <v>1</v>
      </c>
      <c r="O4" s="14">
        <v>1</v>
      </c>
      <c r="P4" s="14">
        <v>1</v>
      </c>
      <c r="Q4" s="14">
        <v>1</v>
      </c>
      <c r="R4" s="14">
        <v>1</v>
      </c>
    </row>
    <row r="5" spans="1:18" ht="17.399999999999999" x14ac:dyDescent="0.25">
      <c r="A5" s="1" t="s">
        <v>137</v>
      </c>
      <c r="B5" s="13">
        <v>1</v>
      </c>
      <c r="C5" s="13">
        <v>1</v>
      </c>
      <c r="D5" s="13">
        <v>1</v>
      </c>
      <c r="E5" s="13">
        <v>1</v>
      </c>
      <c r="F5" s="13">
        <v>1</v>
      </c>
      <c r="G5" s="13">
        <v>1</v>
      </c>
      <c r="H5" s="13">
        <v>1</v>
      </c>
      <c r="I5" s="13">
        <v>1</v>
      </c>
      <c r="J5" s="13">
        <v>1</v>
      </c>
      <c r="K5" s="13">
        <v>1</v>
      </c>
      <c r="L5" s="13">
        <v>1.0009999999999999</v>
      </c>
      <c r="M5" s="13">
        <v>1</v>
      </c>
      <c r="N5" s="13">
        <v>1</v>
      </c>
      <c r="O5" s="13">
        <v>1</v>
      </c>
      <c r="P5" s="13">
        <v>1</v>
      </c>
      <c r="Q5" s="13">
        <v>1</v>
      </c>
      <c r="R5" s="13">
        <v>1</v>
      </c>
    </row>
    <row r="6" spans="1:18" ht="17.399999999999999" x14ac:dyDescent="0.25">
      <c r="A6" s="3" t="s">
        <v>138</v>
      </c>
      <c r="B6" s="14">
        <v>1</v>
      </c>
      <c r="C6" s="14">
        <v>1</v>
      </c>
      <c r="D6" s="14">
        <v>1</v>
      </c>
      <c r="E6" s="14">
        <v>1</v>
      </c>
      <c r="F6" s="14">
        <v>1</v>
      </c>
      <c r="G6" s="14">
        <v>1</v>
      </c>
      <c r="H6" s="14">
        <v>1</v>
      </c>
      <c r="I6" s="14">
        <v>1</v>
      </c>
      <c r="J6" s="14">
        <v>1</v>
      </c>
      <c r="K6" s="14">
        <v>1</v>
      </c>
      <c r="L6" s="14">
        <v>1.0149999999999999</v>
      </c>
      <c r="M6" s="14">
        <v>1</v>
      </c>
      <c r="N6" s="14">
        <v>1</v>
      </c>
      <c r="O6" s="14">
        <v>1</v>
      </c>
      <c r="P6" s="14">
        <v>1</v>
      </c>
      <c r="Q6" s="14">
        <v>1</v>
      </c>
      <c r="R6" s="14">
        <v>1</v>
      </c>
    </row>
    <row r="7" spans="1:18" ht="17.399999999999999" x14ac:dyDescent="0.25">
      <c r="A7" s="1" t="s">
        <v>134</v>
      </c>
      <c r="B7" s="13">
        <v>1</v>
      </c>
      <c r="C7" s="13">
        <v>1</v>
      </c>
      <c r="D7" s="13">
        <v>1</v>
      </c>
      <c r="E7" s="13">
        <v>1</v>
      </c>
      <c r="F7" s="13">
        <v>1</v>
      </c>
      <c r="G7" s="13">
        <v>1</v>
      </c>
      <c r="H7" s="13">
        <v>1</v>
      </c>
      <c r="I7" s="13">
        <v>1</v>
      </c>
      <c r="J7" s="13">
        <v>1</v>
      </c>
      <c r="K7" s="13">
        <v>1</v>
      </c>
      <c r="L7" s="13">
        <v>1.01</v>
      </c>
      <c r="M7" s="13">
        <v>1</v>
      </c>
      <c r="N7" s="13">
        <v>1</v>
      </c>
      <c r="O7" s="13">
        <v>1</v>
      </c>
      <c r="P7" s="13">
        <v>1</v>
      </c>
      <c r="Q7" s="13">
        <v>1</v>
      </c>
      <c r="R7" s="13">
        <v>1</v>
      </c>
    </row>
    <row r="8" spans="1:18" ht="17.399999999999999" x14ac:dyDescent="0.25">
      <c r="A8" s="3" t="s">
        <v>133</v>
      </c>
      <c r="B8" s="14">
        <v>1</v>
      </c>
      <c r="C8" s="14">
        <v>1</v>
      </c>
      <c r="D8" s="14">
        <v>1</v>
      </c>
      <c r="E8" s="14">
        <v>1</v>
      </c>
      <c r="F8" s="14">
        <v>1</v>
      </c>
      <c r="G8" s="14">
        <v>1</v>
      </c>
      <c r="H8" s="14">
        <v>1</v>
      </c>
      <c r="I8" s="14">
        <v>1</v>
      </c>
      <c r="J8" s="14">
        <v>1</v>
      </c>
      <c r="K8" s="14">
        <v>1</v>
      </c>
      <c r="L8" s="14">
        <v>1.0109999999999999</v>
      </c>
      <c r="M8" s="14">
        <v>1</v>
      </c>
      <c r="N8" s="14">
        <v>1</v>
      </c>
      <c r="O8" s="14">
        <v>1</v>
      </c>
      <c r="P8" s="14">
        <v>1</v>
      </c>
      <c r="Q8" s="14">
        <v>1</v>
      </c>
      <c r="R8" s="14">
        <v>1</v>
      </c>
    </row>
    <row r="9" spans="1:18" ht="17.399999999999999" x14ac:dyDescent="0.25">
      <c r="A9" s="1" t="s">
        <v>146</v>
      </c>
      <c r="B9" s="13">
        <v>1</v>
      </c>
      <c r="C9" s="13">
        <v>1</v>
      </c>
      <c r="D9" s="13">
        <v>1</v>
      </c>
      <c r="E9" s="13">
        <v>1</v>
      </c>
      <c r="F9" s="13">
        <v>1</v>
      </c>
      <c r="G9" s="13">
        <v>1</v>
      </c>
      <c r="H9" s="13">
        <v>1</v>
      </c>
      <c r="I9" s="13">
        <v>1</v>
      </c>
      <c r="J9" s="13">
        <v>1</v>
      </c>
      <c r="K9" s="13">
        <v>1</v>
      </c>
      <c r="L9" s="13">
        <v>1.0069999999999999</v>
      </c>
      <c r="M9" s="13">
        <v>1</v>
      </c>
      <c r="N9" s="13">
        <v>1</v>
      </c>
      <c r="O9" s="13">
        <v>1</v>
      </c>
      <c r="P9" s="13">
        <v>1</v>
      </c>
      <c r="Q9" s="13">
        <v>1</v>
      </c>
      <c r="R9" s="13">
        <v>1</v>
      </c>
    </row>
    <row r="10" spans="1:18" ht="17.399999999999999" x14ac:dyDescent="0.25">
      <c r="A10" s="3" t="s">
        <v>145</v>
      </c>
      <c r="B10" s="14">
        <v>1</v>
      </c>
      <c r="C10" s="14">
        <v>1</v>
      </c>
      <c r="D10" s="14">
        <v>1</v>
      </c>
      <c r="E10" s="14">
        <v>1</v>
      </c>
      <c r="F10" s="14">
        <v>1</v>
      </c>
      <c r="G10" s="14">
        <v>1</v>
      </c>
      <c r="H10" s="14">
        <v>1</v>
      </c>
      <c r="I10" s="14">
        <v>1</v>
      </c>
      <c r="J10" s="14">
        <v>1</v>
      </c>
      <c r="K10" s="14">
        <v>1</v>
      </c>
      <c r="L10" s="14">
        <v>1.012</v>
      </c>
      <c r="M10" s="14">
        <v>1</v>
      </c>
      <c r="N10" s="14">
        <v>1</v>
      </c>
      <c r="O10" s="14">
        <v>1</v>
      </c>
      <c r="P10" s="14">
        <v>1</v>
      </c>
      <c r="Q10" s="14">
        <v>1</v>
      </c>
      <c r="R10" s="14">
        <v>1</v>
      </c>
    </row>
    <row r="11" spans="1:18" ht="34.799999999999997" x14ac:dyDescent="0.25">
      <c r="A11" s="1" t="s">
        <v>148</v>
      </c>
      <c r="B11" s="13">
        <v>1</v>
      </c>
      <c r="C11" s="13">
        <v>1</v>
      </c>
      <c r="D11" s="13">
        <v>1</v>
      </c>
      <c r="E11" s="13">
        <v>1</v>
      </c>
      <c r="F11" s="13">
        <v>1</v>
      </c>
      <c r="G11" s="13">
        <v>1</v>
      </c>
      <c r="H11" s="13">
        <v>1</v>
      </c>
      <c r="I11" s="13">
        <v>1</v>
      </c>
      <c r="J11" s="13">
        <v>1</v>
      </c>
      <c r="K11" s="13">
        <v>1</v>
      </c>
      <c r="L11" s="13">
        <v>1.0049999999999999</v>
      </c>
      <c r="M11" s="13">
        <v>1</v>
      </c>
      <c r="N11" s="13">
        <v>1</v>
      </c>
      <c r="O11" s="13">
        <v>1</v>
      </c>
      <c r="P11" s="13">
        <v>1</v>
      </c>
      <c r="Q11" s="13">
        <v>1</v>
      </c>
      <c r="R11" s="13">
        <v>1</v>
      </c>
    </row>
    <row r="12" spans="1:18" ht="17.399999999999999" x14ac:dyDescent="0.25">
      <c r="A12" s="3" t="s">
        <v>144</v>
      </c>
      <c r="B12" s="14">
        <v>1</v>
      </c>
      <c r="C12" s="14">
        <v>1</v>
      </c>
      <c r="D12" s="14">
        <v>1</v>
      </c>
      <c r="E12" s="14">
        <v>1</v>
      </c>
      <c r="F12" s="14">
        <v>1</v>
      </c>
      <c r="G12" s="14">
        <v>1</v>
      </c>
      <c r="H12" s="14">
        <v>1</v>
      </c>
      <c r="I12" s="14">
        <v>1</v>
      </c>
      <c r="J12" s="14">
        <v>1</v>
      </c>
      <c r="K12" s="14">
        <v>1</v>
      </c>
      <c r="L12" s="14">
        <v>1.0129999999999999</v>
      </c>
      <c r="M12" s="14">
        <v>1</v>
      </c>
      <c r="N12" s="14">
        <v>1</v>
      </c>
      <c r="O12" s="14">
        <v>1</v>
      </c>
      <c r="P12" s="14">
        <v>1</v>
      </c>
      <c r="Q12" s="14">
        <v>1</v>
      </c>
      <c r="R12" s="14">
        <v>1</v>
      </c>
    </row>
    <row r="13" spans="1:18" ht="34.799999999999997" x14ac:dyDescent="0.25">
      <c r="A13" s="1" t="s">
        <v>147</v>
      </c>
      <c r="B13" s="13">
        <v>1</v>
      </c>
      <c r="C13" s="13">
        <v>1</v>
      </c>
      <c r="D13" s="13">
        <v>1</v>
      </c>
      <c r="E13" s="13">
        <v>1</v>
      </c>
      <c r="F13" s="13">
        <v>1</v>
      </c>
      <c r="G13" s="13">
        <v>1</v>
      </c>
      <c r="H13" s="13">
        <v>1</v>
      </c>
      <c r="I13" s="13">
        <v>1</v>
      </c>
      <c r="J13" s="13">
        <v>1</v>
      </c>
      <c r="K13" s="13">
        <v>1</v>
      </c>
      <c r="L13" s="13">
        <v>1.002</v>
      </c>
      <c r="M13" s="13">
        <v>1</v>
      </c>
      <c r="N13" s="13">
        <v>1</v>
      </c>
      <c r="O13" s="13">
        <v>1</v>
      </c>
      <c r="P13" s="13">
        <v>1</v>
      </c>
      <c r="Q13" s="13">
        <v>1</v>
      </c>
      <c r="R13" s="13">
        <v>1</v>
      </c>
    </row>
    <row r="14" spans="1:18" ht="17.399999999999999" x14ac:dyDescent="0.25">
      <c r="A14" s="3" t="s">
        <v>143</v>
      </c>
      <c r="B14" s="14">
        <v>1</v>
      </c>
      <c r="C14" s="14">
        <v>1</v>
      </c>
      <c r="D14" s="14">
        <v>1</v>
      </c>
      <c r="E14" s="14">
        <v>1</v>
      </c>
      <c r="F14" s="14">
        <v>1</v>
      </c>
      <c r="G14" s="14">
        <v>1</v>
      </c>
      <c r="H14" s="14">
        <v>1</v>
      </c>
      <c r="I14" s="14">
        <v>1</v>
      </c>
      <c r="J14" s="14">
        <v>1</v>
      </c>
      <c r="K14" s="14">
        <v>1</v>
      </c>
      <c r="L14" s="14">
        <v>1.016</v>
      </c>
      <c r="M14" s="14">
        <v>1</v>
      </c>
      <c r="N14" s="14">
        <v>1</v>
      </c>
      <c r="O14" s="14">
        <v>1</v>
      </c>
      <c r="P14" s="14">
        <v>1</v>
      </c>
      <c r="Q14" s="14">
        <v>1</v>
      </c>
      <c r="R14" s="14">
        <v>1</v>
      </c>
    </row>
    <row r="15" spans="1:18" ht="17.399999999999999" x14ac:dyDescent="0.25">
      <c r="A15" s="1" t="s">
        <v>149</v>
      </c>
      <c r="B15" s="13">
        <v>1</v>
      </c>
      <c r="C15" s="13">
        <v>1</v>
      </c>
      <c r="D15" s="13">
        <v>1</v>
      </c>
      <c r="E15" s="13">
        <v>1</v>
      </c>
      <c r="F15" s="13">
        <v>1</v>
      </c>
      <c r="G15" s="13">
        <v>1</v>
      </c>
      <c r="H15" s="13">
        <v>1</v>
      </c>
      <c r="I15" s="13">
        <v>1</v>
      </c>
      <c r="J15" s="13">
        <v>1</v>
      </c>
      <c r="K15" s="13">
        <v>1</v>
      </c>
      <c r="L15" s="13">
        <v>1.0029999999999999</v>
      </c>
      <c r="M15" s="13">
        <v>1</v>
      </c>
      <c r="N15" s="13">
        <v>1</v>
      </c>
      <c r="O15" s="13">
        <v>1</v>
      </c>
      <c r="P15" s="13">
        <v>1</v>
      </c>
      <c r="Q15" s="13">
        <v>1</v>
      </c>
      <c r="R15" s="13">
        <v>1</v>
      </c>
    </row>
    <row r="16" spans="1:18" ht="17.399999999999999" x14ac:dyDescent="0.25">
      <c r="A16" s="3" t="s">
        <v>254</v>
      </c>
      <c r="B16" s="14">
        <v>1</v>
      </c>
      <c r="C16" s="14">
        <v>1</v>
      </c>
      <c r="D16" s="14">
        <v>1</v>
      </c>
      <c r="E16" s="14">
        <v>1</v>
      </c>
      <c r="F16" s="14">
        <v>1</v>
      </c>
      <c r="G16" s="14">
        <v>1</v>
      </c>
      <c r="H16" s="14">
        <v>1</v>
      </c>
      <c r="I16" s="14">
        <v>1</v>
      </c>
      <c r="J16" s="14">
        <v>1</v>
      </c>
      <c r="K16" s="14">
        <v>1</v>
      </c>
      <c r="L16" s="14">
        <v>1</v>
      </c>
      <c r="M16" s="14">
        <v>1</v>
      </c>
      <c r="N16" s="14">
        <v>1</v>
      </c>
      <c r="O16" s="14">
        <v>1</v>
      </c>
      <c r="P16" s="14">
        <v>1</v>
      </c>
      <c r="Q16" s="14">
        <v>1</v>
      </c>
      <c r="R16" s="14">
        <v>1</v>
      </c>
    </row>
    <row r="17" spans="1:18" ht="17.399999999999999" x14ac:dyDescent="0.25">
      <c r="A17" s="3" t="s">
        <v>255</v>
      </c>
      <c r="B17" s="14">
        <v>1</v>
      </c>
      <c r="C17" s="14">
        <v>1</v>
      </c>
      <c r="D17" s="14">
        <v>1</v>
      </c>
      <c r="E17" s="14">
        <v>1</v>
      </c>
      <c r="F17" s="14">
        <v>1</v>
      </c>
      <c r="G17" s="14">
        <v>1</v>
      </c>
      <c r="H17" s="14">
        <v>1</v>
      </c>
      <c r="I17" s="14">
        <v>1</v>
      </c>
      <c r="J17" s="14">
        <v>1</v>
      </c>
      <c r="K17" s="14">
        <v>1</v>
      </c>
      <c r="L17" s="14">
        <v>1</v>
      </c>
      <c r="M17" s="14">
        <v>1</v>
      </c>
      <c r="N17" s="14">
        <v>1</v>
      </c>
      <c r="O17" s="14">
        <v>1</v>
      </c>
      <c r="P17" s="14">
        <v>1</v>
      </c>
      <c r="Q17" s="14">
        <v>1</v>
      </c>
      <c r="R17" s="14">
        <v>1</v>
      </c>
    </row>
    <row r="18" spans="1:18" ht="17.399999999999999" x14ac:dyDescent="0.25">
      <c r="A18" s="3" t="s">
        <v>256</v>
      </c>
      <c r="B18" s="14">
        <v>1</v>
      </c>
      <c r="C18" s="14">
        <v>1</v>
      </c>
      <c r="D18" s="14">
        <v>1</v>
      </c>
      <c r="E18" s="14">
        <v>1</v>
      </c>
      <c r="F18" s="14">
        <v>1</v>
      </c>
      <c r="G18" s="14">
        <v>1</v>
      </c>
      <c r="H18" s="14">
        <v>1</v>
      </c>
      <c r="I18" s="14">
        <v>1</v>
      </c>
      <c r="J18" s="14">
        <v>1</v>
      </c>
      <c r="K18" s="14">
        <v>1</v>
      </c>
      <c r="L18" s="14">
        <v>1</v>
      </c>
      <c r="M18" s="14">
        <v>1</v>
      </c>
      <c r="N18" s="14">
        <v>1</v>
      </c>
      <c r="O18" s="14">
        <v>1</v>
      </c>
      <c r="P18" s="14">
        <v>1</v>
      </c>
      <c r="Q18" s="14">
        <v>1</v>
      </c>
      <c r="R18" s="14">
        <v>1</v>
      </c>
    </row>
    <row r="19" spans="1:18" ht="17.399999999999999" x14ac:dyDescent="0.25">
      <c r="A19" s="1" t="s">
        <v>136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1.008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ht="17.399999999999999" x14ac:dyDescent="0.25">
      <c r="A20" s="3" t="s">
        <v>142</v>
      </c>
      <c r="B20" s="14">
        <v>1</v>
      </c>
      <c r="C20" s="14">
        <v>1</v>
      </c>
      <c r="D20" s="14">
        <v>1</v>
      </c>
      <c r="E20" s="14">
        <v>1</v>
      </c>
      <c r="F20" s="14">
        <v>1</v>
      </c>
      <c r="G20" s="14">
        <v>1</v>
      </c>
      <c r="H20" s="14">
        <v>1</v>
      </c>
      <c r="I20" s="14">
        <v>1</v>
      </c>
      <c r="J20" s="14">
        <v>1</v>
      </c>
      <c r="K20" s="14">
        <v>1</v>
      </c>
      <c r="L20" s="14">
        <v>1.0169999999999999</v>
      </c>
      <c r="M20" s="14">
        <v>1</v>
      </c>
      <c r="N20" s="14">
        <v>1</v>
      </c>
      <c r="O20" s="14">
        <v>1</v>
      </c>
      <c r="P20" s="14">
        <v>1</v>
      </c>
      <c r="Q20" s="14">
        <v>1</v>
      </c>
      <c r="R20" s="14">
        <v>1</v>
      </c>
    </row>
    <row r="21" spans="1:18" ht="17.399999999999999" x14ac:dyDescent="0.25">
      <c r="A21" s="1" t="s">
        <v>135</v>
      </c>
      <c r="B21" s="13">
        <v>1</v>
      </c>
      <c r="C21" s="13">
        <v>1</v>
      </c>
      <c r="D21" s="13">
        <v>1</v>
      </c>
      <c r="E21" s="13">
        <v>1</v>
      </c>
      <c r="F21" s="13">
        <v>1</v>
      </c>
      <c r="G21" s="13">
        <v>1</v>
      </c>
      <c r="H21" s="13">
        <v>1</v>
      </c>
      <c r="I21" s="13">
        <v>1</v>
      </c>
      <c r="J21" s="13">
        <v>1</v>
      </c>
      <c r="K21" s="13">
        <v>1</v>
      </c>
      <c r="L21" s="13">
        <v>1.0089999999999999</v>
      </c>
      <c r="M21" s="13">
        <v>1</v>
      </c>
      <c r="N21" s="13">
        <v>1</v>
      </c>
      <c r="O21" s="13">
        <v>1</v>
      </c>
      <c r="P21" s="13">
        <v>1</v>
      </c>
      <c r="Q21" s="13">
        <v>1</v>
      </c>
      <c r="R21" s="13">
        <v>1</v>
      </c>
    </row>
    <row r="22" spans="1:18" ht="17.399999999999999" x14ac:dyDescent="0.25">
      <c r="A22" s="3" t="s">
        <v>140</v>
      </c>
      <c r="B22" s="14">
        <v>1</v>
      </c>
      <c r="C22" s="14">
        <v>1</v>
      </c>
      <c r="D22" s="14">
        <v>1</v>
      </c>
      <c r="E22" s="14">
        <v>1</v>
      </c>
      <c r="F22" s="14">
        <v>1</v>
      </c>
      <c r="G22" s="14">
        <v>1</v>
      </c>
      <c r="H22" s="14">
        <v>1</v>
      </c>
      <c r="I22" s="14">
        <v>1</v>
      </c>
      <c r="J22" s="14">
        <v>1</v>
      </c>
      <c r="K22" s="14">
        <v>1</v>
      </c>
      <c r="L22" s="14">
        <v>1.004</v>
      </c>
      <c r="M22" s="14">
        <v>1</v>
      </c>
      <c r="N22" s="14">
        <v>1</v>
      </c>
      <c r="O22" s="14">
        <v>1</v>
      </c>
      <c r="P22" s="14">
        <v>1</v>
      </c>
      <c r="Q22" s="14">
        <v>1</v>
      </c>
      <c r="R22" s="14">
        <v>1</v>
      </c>
    </row>
  </sheetData>
  <mergeCells count="18">
    <mergeCell ref="F1:F2"/>
    <mergeCell ref="A1:A2"/>
    <mergeCell ref="B1:B2"/>
    <mergeCell ref="C1:C2"/>
    <mergeCell ref="D1:D2"/>
    <mergeCell ref="E1:E2"/>
    <mergeCell ref="R1:R2"/>
    <mergeCell ref="G1:G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Q1:Q2"/>
  </mergeCells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F1516-E78F-4880-93A8-CE9271C50182}">
  <sheetPr codeName="Sheet3"/>
  <dimension ref="A1:C51"/>
  <sheetViews>
    <sheetView workbookViewId="0">
      <selection activeCell="F18" sqref="F18"/>
    </sheetView>
  </sheetViews>
  <sheetFormatPr defaultRowHeight="13.8" x14ac:dyDescent="0.25"/>
  <cols>
    <col min="1" max="1" width="14.625" bestFit="1" customWidth="1"/>
    <col min="2" max="3" width="23" bestFit="1" customWidth="1"/>
  </cols>
  <sheetData>
    <row r="1" spans="1:3" ht="13.8" customHeight="1" x14ac:dyDescent="0.25">
      <c r="A1" s="35" t="s">
        <v>76</v>
      </c>
      <c r="B1" s="35" t="s">
        <v>113</v>
      </c>
      <c r="C1" s="35" t="s">
        <v>114</v>
      </c>
    </row>
    <row r="2" spans="1:3" ht="13.8" customHeight="1" x14ac:dyDescent="0.25">
      <c r="A2" s="36" t="s">
        <v>77</v>
      </c>
      <c r="B2" s="36">
        <v>70.849999999999994</v>
      </c>
      <c r="C2" s="36">
        <v>71.849999999999994</v>
      </c>
    </row>
    <row r="3" spans="1:3" ht="17.399999999999999" x14ac:dyDescent="0.25">
      <c r="A3" s="1" t="s">
        <v>79</v>
      </c>
      <c r="B3" s="2">
        <v>219.72</v>
      </c>
      <c r="C3" s="2">
        <v>10023.299999999999</v>
      </c>
    </row>
    <row r="4" spans="1:3" ht="17.399999999999999" x14ac:dyDescent="0.25">
      <c r="A4" s="3" t="s">
        <v>80</v>
      </c>
      <c r="B4" s="4">
        <v>139.38999999999999</v>
      </c>
      <c r="C4" s="4">
        <v>8978.56</v>
      </c>
    </row>
    <row r="5" spans="1:3" ht="17.399999999999999" x14ac:dyDescent="0.25">
      <c r="A5" s="1" t="s">
        <v>81</v>
      </c>
      <c r="B5" s="2">
        <v>270.05</v>
      </c>
      <c r="C5" s="2">
        <v>7487.89</v>
      </c>
    </row>
    <row r="6" spans="1:3" ht="17.399999999999999" x14ac:dyDescent="0.25">
      <c r="A6" s="3" t="s">
        <v>82</v>
      </c>
      <c r="B6" s="4">
        <v>263.27</v>
      </c>
      <c r="C6" s="4">
        <v>9084.16</v>
      </c>
    </row>
    <row r="7" spans="1:3" ht="34.799999999999997" x14ac:dyDescent="0.25">
      <c r="A7" s="1" t="s">
        <v>83</v>
      </c>
      <c r="B7" s="2">
        <v>121.74</v>
      </c>
      <c r="C7" s="2">
        <v>8394.18</v>
      </c>
    </row>
    <row r="8" spans="1:3" ht="34.799999999999997" x14ac:dyDescent="0.25">
      <c r="A8" s="3" t="s">
        <v>84</v>
      </c>
      <c r="B8" s="4">
        <v>132.19</v>
      </c>
      <c r="C8" s="4">
        <v>7920.74</v>
      </c>
    </row>
    <row r="9" spans="1:3" ht="17.399999999999999" x14ac:dyDescent="0.25">
      <c r="A9" s="1" t="s">
        <v>85</v>
      </c>
      <c r="B9" s="2">
        <v>123.44</v>
      </c>
      <c r="C9" s="2">
        <v>5061.12</v>
      </c>
    </row>
    <row r="10" spans="1:3" ht="17.399999999999999" x14ac:dyDescent="0.25">
      <c r="A10" s="3" t="s">
        <v>86</v>
      </c>
      <c r="B10" s="4">
        <v>138.76</v>
      </c>
      <c r="C10" s="4">
        <v>5154.97</v>
      </c>
    </row>
    <row r="11" spans="1:3" ht="17.399999999999999" x14ac:dyDescent="0.25">
      <c r="A11" s="1" t="s">
        <v>87</v>
      </c>
      <c r="B11" s="2">
        <v>140.72</v>
      </c>
      <c r="C11" s="2">
        <v>8365.19</v>
      </c>
    </row>
    <row r="12" spans="1:3" ht="17.399999999999999" x14ac:dyDescent="0.25">
      <c r="A12" s="3" t="s">
        <v>88</v>
      </c>
      <c r="B12" s="4">
        <v>173.97</v>
      </c>
      <c r="C12" s="4">
        <v>6793.56</v>
      </c>
    </row>
    <row r="13" spans="1:3" ht="17.399999999999999" x14ac:dyDescent="0.25">
      <c r="A13" s="1" t="s">
        <v>89</v>
      </c>
      <c r="B13" s="2">
        <v>142.58000000000001</v>
      </c>
      <c r="C13" s="2">
        <v>7558.95</v>
      </c>
    </row>
    <row r="14" spans="1:3" ht="34.799999999999997" x14ac:dyDescent="0.25">
      <c r="A14" s="3" t="s">
        <v>90</v>
      </c>
      <c r="B14" s="4">
        <v>156.37</v>
      </c>
      <c r="C14" s="4">
        <v>9519.7000000000007</v>
      </c>
    </row>
    <row r="15" spans="1:3" ht="17.399999999999999" x14ac:dyDescent="0.25">
      <c r="A15" s="1" t="s">
        <v>91</v>
      </c>
      <c r="B15" s="2">
        <v>128.55000000000001</v>
      </c>
      <c r="C15" s="2">
        <v>9543.92</v>
      </c>
    </row>
    <row r="16" spans="1:3" ht="34.799999999999997" x14ac:dyDescent="0.25">
      <c r="A16" s="3" t="s">
        <v>92</v>
      </c>
      <c r="B16" s="4">
        <v>147.21</v>
      </c>
      <c r="C16" s="4">
        <v>8517.69</v>
      </c>
    </row>
    <row r="17" spans="1:3" ht="17.399999999999999" x14ac:dyDescent="0.25">
      <c r="A17" s="1" t="s">
        <v>93</v>
      </c>
      <c r="B17" s="2">
        <v>122.4</v>
      </c>
      <c r="C17" s="2">
        <v>4637.79</v>
      </c>
    </row>
    <row r="18" spans="1:3" ht="17.399999999999999" x14ac:dyDescent="0.25">
      <c r="A18" s="3" t="s">
        <v>251</v>
      </c>
      <c r="B18" s="4">
        <v>317.57</v>
      </c>
      <c r="C18" s="4">
        <v>26405.72</v>
      </c>
    </row>
    <row r="19" spans="1:3" ht="17.399999999999999" x14ac:dyDescent="0.25">
      <c r="A19" s="3" t="s">
        <v>252</v>
      </c>
      <c r="B19" s="4">
        <v>317.57</v>
      </c>
      <c r="C19" s="4">
        <v>26405.72</v>
      </c>
    </row>
    <row r="20" spans="1:3" ht="17.399999999999999" x14ac:dyDescent="0.25">
      <c r="A20" s="3" t="s">
        <v>253</v>
      </c>
      <c r="B20" s="4">
        <v>317.57</v>
      </c>
      <c r="C20" s="4">
        <v>26405.72</v>
      </c>
    </row>
    <row r="21" spans="1:3" ht="34.799999999999997" x14ac:dyDescent="0.25">
      <c r="A21" s="1" t="s">
        <v>94</v>
      </c>
      <c r="B21" s="2">
        <v>55.77</v>
      </c>
      <c r="C21" s="2">
        <v>4199.5600000000004</v>
      </c>
    </row>
    <row r="22" spans="1:3" ht="17.399999999999999" x14ac:dyDescent="0.25">
      <c r="A22" s="3" t="s">
        <v>95</v>
      </c>
      <c r="B22" s="4">
        <v>131.06</v>
      </c>
      <c r="C22" s="4">
        <v>3021.13</v>
      </c>
    </row>
    <row r="23" spans="1:3" ht="14.4" customHeight="1" x14ac:dyDescent="0.25">
      <c r="A23" s="1" t="s">
        <v>96</v>
      </c>
      <c r="B23" s="2">
        <v>76.42</v>
      </c>
      <c r="C23" s="2">
        <v>3581.49</v>
      </c>
    </row>
    <row r="24" spans="1:3" ht="14.4" customHeight="1" x14ac:dyDescent="0.25">
      <c r="A24" s="3" t="s">
        <v>97</v>
      </c>
      <c r="B24" s="4">
        <v>115.42</v>
      </c>
      <c r="C24" s="4">
        <v>3834.6</v>
      </c>
    </row>
    <row r="25" spans="1:3" ht="35.4" customHeight="1" x14ac:dyDescent="0.25">
      <c r="A25" s="1" t="s">
        <v>98</v>
      </c>
      <c r="B25" s="2">
        <v>88.88</v>
      </c>
      <c r="C25" s="2">
        <v>4477.88</v>
      </c>
    </row>
    <row r="26" spans="1:3" ht="17.399999999999999" x14ac:dyDescent="0.25">
      <c r="A26" s="3" t="s">
        <v>99</v>
      </c>
      <c r="B26" s="4" t="s">
        <v>100</v>
      </c>
      <c r="C26" s="4">
        <v>1</v>
      </c>
    </row>
    <row r="27" spans="1:3" ht="17.399999999999999" x14ac:dyDescent="0.25">
      <c r="A27" s="1" t="s">
        <v>101</v>
      </c>
      <c r="B27" s="2" t="s">
        <v>100</v>
      </c>
      <c r="C27" s="2">
        <v>1</v>
      </c>
    </row>
    <row r="28" spans="1:3" ht="34.799999999999997" x14ac:dyDescent="0.25">
      <c r="A28" s="3" t="s">
        <v>102</v>
      </c>
      <c r="B28" s="4" t="s">
        <v>100</v>
      </c>
      <c r="C28" s="4" t="s">
        <v>100</v>
      </c>
    </row>
    <row r="29" spans="1:3" ht="17.399999999999999" x14ac:dyDescent="0.25">
      <c r="A29" s="1" t="s">
        <v>103</v>
      </c>
      <c r="B29" s="2" t="s">
        <v>100</v>
      </c>
      <c r="C29" s="2" t="s">
        <v>100</v>
      </c>
    </row>
    <row r="30" spans="1:3" ht="17.399999999999999" x14ac:dyDescent="0.25">
      <c r="A30" s="3" t="s">
        <v>77</v>
      </c>
      <c r="B30" s="6">
        <v>70.849999999999994</v>
      </c>
      <c r="C30" s="4">
        <v>7791.31</v>
      </c>
    </row>
    <row r="31" spans="1:3" ht="17.399999999999999" x14ac:dyDescent="0.25">
      <c r="A31" s="1" t="s">
        <v>104</v>
      </c>
      <c r="B31" s="2">
        <v>133.18</v>
      </c>
      <c r="C31" s="2">
        <v>1</v>
      </c>
    </row>
    <row r="32" spans="1:3" ht="17.399999999999999" x14ac:dyDescent="0.25">
      <c r="A32" s="3" t="s">
        <v>105</v>
      </c>
      <c r="B32" s="4">
        <v>1</v>
      </c>
      <c r="C32" s="4" t="s">
        <v>100</v>
      </c>
    </row>
    <row r="33" spans="1:3" ht="17.399999999999999" x14ac:dyDescent="0.25">
      <c r="A33" s="1" t="s">
        <v>106</v>
      </c>
      <c r="B33" s="2">
        <v>1</v>
      </c>
      <c r="C33" s="2" t="s">
        <v>100</v>
      </c>
    </row>
    <row r="34" spans="1:3" ht="17.399999999999999" x14ac:dyDescent="0.25">
      <c r="A34" s="3" t="s">
        <v>107</v>
      </c>
      <c r="B34" s="4">
        <v>1</v>
      </c>
      <c r="C34" s="4" t="s">
        <v>100</v>
      </c>
    </row>
    <row r="35" spans="1:3" ht="17.399999999999999" x14ac:dyDescent="0.25">
      <c r="A35" s="2" t="s">
        <v>108</v>
      </c>
      <c r="B35" s="2">
        <v>37.880000000000003</v>
      </c>
      <c r="C35" s="2" t="s">
        <v>100</v>
      </c>
    </row>
    <row r="36" spans="1:3" ht="17.399999999999999" x14ac:dyDescent="0.25">
      <c r="A36" s="4" t="s">
        <v>109</v>
      </c>
      <c r="B36" s="4">
        <v>285.37</v>
      </c>
      <c r="C36" s="4">
        <v>1</v>
      </c>
    </row>
    <row r="37" spans="1:3" ht="17.399999999999999" x14ac:dyDescent="0.25">
      <c r="A37" s="2" t="s">
        <v>110</v>
      </c>
      <c r="B37" s="2">
        <v>1</v>
      </c>
      <c r="C37" s="2" t="s">
        <v>100</v>
      </c>
    </row>
    <row r="38" spans="1:3" ht="17.399999999999999" x14ac:dyDescent="0.25">
      <c r="A38" s="4" t="s">
        <v>111</v>
      </c>
      <c r="B38" s="4">
        <v>1</v>
      </c>
      <c r="C38" s="4" t="s">
        <v>100</v>
      </c>
    </row>
    <row r="39" spans="1:3" ht="17.399999999999999" x14ac:dyDescent="0.25">
      <c r="A39" s="2" t="s">
        <v>112</v>
      </c>
      <c r="B39" s="2">
        <v>1</v>
      </c>
      <c r="C39" s="2" t="s">
        <v>100</v>
      </c>
    </row>
    <row r="40" spans="1:3" ht="17.399999999999999" x14ac:dyDescent="0.25">
      <c r="A40" s="8" t="s">
        <v>118</v>
      </c>
      <c r="B40" s="4" t="s">
        <v>100</v>
      </c>
      <c r="C40" s="4" t="s">
        <v>100</v>
      </c>
    </row>
    <row r="41" spans="1:3" ht="17.399999999999999" x14ac:dyDescent="0.25">
      <c r="A41" s="5" t="s">
        <v>124</v>
      </c>
      <c r="B41" s="2" t="s">
        <v>100</v>
      </c>
      <c r="C41" s="2" t="s">
        <v>100</v>
      </c>
    </row>
    <row r="42" spans="1:3" ht="17.399999999999999" x14ac:dyDescent="0.25">
      <c r="A42" s="8" t="s">
        <v>119</v>
      </c>
      <c r="B42" s="4" t="s">
        <v>100</v>
      </c>
      <c r="C42" s="4" t="s">
        <v>100</v>
      </c>
    </row>
    <row r="43" spans="1:3" ht="34.799999999999997" x14ac:dyDescent="0.25">
      <c r="A43" s="5" t="s">
        <v>125</v>
      </c>
      <c r="B43" s="2" t="s">
        <v>100</v>
      </c>
      <c r="C43" s="2" t="s">
        <v>100</v>
      </c>
    </row>
    <row r="44" spans="1:3" ht="17.399999999999999" x14ac:dyDescent="0.25">
      <c r="A44" s="8" t="s">
        <v>120</v>
      </c>
      <c r="B44" s="4" t="s">
        <v>100</v>
      </c>
      <c r="C44" s="4" t="s">
        <v>100</v>
      </c>
    </row>
    <row r="45" spans="1:3" ht="17.399999999999999" x14ac:dyDescent="0.25">
      <c r="A45" s="5" t="s">
        <v>126</v>
      </c>
      <c r="B45" s="2" t="s">
        <v>100</v>
      </c>
      <c r="C45" s="2" t="s">
        <v>100</v>
      </c>
    </row>
    <row r="46" spans="1:3" ht="17.399999999999999" x14ac:dyDescent="0.25">
      <c r="A46" s="8" t="s">
        <v>121</v>
      </c>
      <c r="B46" s="4" t="s">
        <v>100</v>
      </c>
      <c r="C46" s="4" t="s">
        <v>100</v>
      </c>
    </row>
    <row r="47" spans="1:3" ht="17.399999999999999" x14ac:dyDescent="0.25">
      <c r="A47" s="5" t="s">
        <v>127</v>
      </c>
      <c r="B47" s="2" t="s">
        <v>100</v>
      </c>
      <c r="C47" s="2" t="s">
        <v>100</v>
      </c>
    </row>
    <row r="48" spans="1:3" ht="17.399999999999999" x14ac:dyDescent="0.25">
      <c r="A48" s="8" t="s">
        <v>122</v>
      </c>
      <c r="B48" s="4" t="s">
        <v>100</v>
      </c>
      <c r="C48" s="4" t="s">
        <v>100</v>
      </c>
    </row>
    <row r="49" spans="1:3" ht="17.399999999999999" x14ac:dyDescent="0.25">
      <c r="A49" s="5" t="s">
        <v>128</v>
      </c>
      <c r="B49" s="2" t="s">
        <v>100</v>
      </c>
      <c r="C49" s="2" t="s">
        <v>100</v>
      </c>
    </row>
    <row r="50" spans="1:3" ht="17.399999999999999" x14ac:dyDescent="0.25">
      <c r="A50" s="8" t="s">
        <v>123</v>
      </c>
      <c r="B50" s="4" t="s">
        <v>100</v>
      </c>
      <c r="C50" s="4" t="s">
        <v>100</v>
      </c>
    </row>
    <row r="51" spans="1:3" ht="34.799999999999997" x14ac:dyDescent="0.25">
      <c r="A51" s="5" t="s">
        <v>129</v>
      </c>
      <c r="B51" s="2" t="s">
        <v>100</v>
      </c>
      <c r="C51" s="2" t="s">
        <v>100</v>
      </c>
    </row>
  </sheetData>
  <mergeCells count="3">
    <mergeCell ref="A1:A2"/>
    <mergeCell ref="B1:B2"/>
    <mergeCell ref="C1:C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考核结果</vt:lpstr>
      <vt:lpstr>结果</vt:lpstr>
      <vt:lpstr>积分</vt:lpstr>
      <vt:lpstr>系数（护理）</vt:lpstr>
      <vt:lpstr>次均费用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殇樱狐</cp:lastModifiedBy>
  <dcterms:created xsi:type="dcterms:W3CDTF">2011-11-02T08:59:34Z</dcterms:created>
  <dcterms:modified xsi:type="dcterms:W3CDTF">2025-02-21T08:56:33Z</dcterms:modified>
</cp:coreProperties>
</file>