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工作\2月绩效\"/>
    </mc:Choice>
  </mc:AlternateContent>
  <xr:revisionPtr revIDLastSave="0" documentId="13_ncr:1_{B3FA88D3-7C7A-44F8-BC37-092A25EDDE5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绩效" sheetId="11" r:id="rId2"/>
    <sheet name="结果" sheetId="1" r:id="rId3"/>
    <sheet name="积分" sheetId="7" r:id="rId4"/>
    <sheet name="系数（护理）" sheetId="10" r:id="rId5"/>
    <sheet name="次均费用" sheetId="8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绩效!$A$1:$D$63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2" l="1"/>
  <c r="G39" i="12"/>
  <c r="H39" i="12" s="1"/>
  <c r="A100" i="12"/>
  <c r="A3" i="12"/>
  <c r="A2" i="12"/>
  <c r="D37" i="12" l="1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5" i="12"/>
  <c r="E75" i="12" l="1"/>
  <c r="E78" i="12"/>
  <c r="E69" i="12"/>
  <c r="E91" i="12"/>
  <c r="E84" i="12"/>
  <c r="E79" i="12"/>
  <c r="E89" i="12"/>
  <c r="E77" i="12"/>
  <c r="E85" i="12"/>
  <c r="E81" i="12"/>
  <c r="E76" i="12"/>
  <c r="E87" i="12"/>
  <c r="E86" i="12"/>
  <c r="E90" i="12"/>
  <c r="E88" i="12"/>
  <c r="E93" i="12"/>
  <c r="E83" i="12"/>
  <c r="E92" i="12"/>
  <c r="E63" i="12"/>
  <c r="E82" i="12"/>
  <c r="G99" i="12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64" i="12" l="1"/>
  <c r="E80" i="12"/>
  <c r="E67" i="12"/>
  <c r="E66" i="12"/>
  <c r="E49" i="12"/>
  <c r="E97" i="12"/>
  <c r="E46" i="12"/>
  <c r="E94" i="12"/>
  <c r="E28" i="12"/>
  <c r="H28" i="12" s="1"/>
  <c r="E34" i="12"/>
  <c r="E45" i="12"/>
  <c r="E50" i="12"/>
  <c r="E7" i="12"/>
  <c r="E41" i="12"/>
  <c r="E25" i="12"/>
  <c r="E14" i="12"/>
  <c r="H14" i="12" s="1"/>
  <c r="E30" i="12"/>
  <c r="H30" i="12" s="1"/>
  <c r="E68" i="12"/>
  <c r="E51" i="12"/>
  <c r="E59" i="12"/>
  <c r="E58" i="12"/>
  <c r="E40" i="12"/>
  <c r="E54" i="12"/>
  <c r="E53" i="12"/>
  <c r="E55" i="12"/>
  <c r="E48" i="12"/>
  <c r="E11" i="12"/>
  <c r="E42" i="12"/>
  <c r="E16" i="12"/>
  <c r="H16" i="12" s="1"/>
  <c r="E72" i="12"/>
  <c r="E27" i="12"/>
  <c r="E24" i="12"/>
  <c r="E60" i="12"/>
  <c r="E9" i="12"/>
  <c r="E56" i="12"/>
  <c r="E17" i="12"/>
  <c r="E12" i="12"/>
  <c r="E52" i="12"/>
  <c r="E29" i="12"/>
  <c r="H29" i="12" s="1"/>
  <c r="E31" i="12"/>
  <c r="H31" i="12" s="1"/>
  <c r="E21" i="12"/>
  <c r="E38" i="12"/>
  <c r="E44" i="12"/>
  <c r="E96" i="12"/>
  <c r="E8" i="12"/>
  <c r="E37" i="12"/>
  <c r="E35" i="12"/>
  <c r="E98" i="12"/>
  <c r="E6" i="12"/>
  <c r="E62" i="12"/>
  <c r="E32" i="12"/>
  <c r="H32" i="12" s="1"/>
  <c r="E18" i="12"/>
  <c r="E47" i="12"/>
  <c r="E74" i="12"/>
  <c r="E33" i="12"/>
  <c r="E73" i="12"/>
  <c r="E61" i="12"/>
  <c r="E22" i="12"/>
  <c r="E5" i="12"/>
  <c r="E71" i="12"/>
  <c r="E70" i="12"/>
  <c r="E43" i="12"/>
  <c r="E57" i="12"/>
  <c r="E65" i="12"/>
  <c r="E13" i="12"/>
  <c r="E26" i="12"/>
  <c r="E39" i="12" s="1"/>
  <c r="E23" i="12"/>
  <c r="H23" i="12" s="1"/>
  <c r="E19" i="12"/>
  <c r="E36" i="12"/>
  <c r="E20" i="12"/>
  <c r="E95" i="12"/>
  <c r="E99" i="12" l="1"/>
  <c r="Y66" i="1" a="1"/>
  <c r="Y66" i="1" s="1"/>
  <c r="AA67" i="1" a="1"/>
  <c r="AA67" i="1" s="1"/>
  <c r="AA65" i="1" a="1"/>
  <c r="AA65" i="1" s="1"/>
  <c r="Y64" i="1" a="1"/>
  <c r="Y64" i="1" s="1"/>
  <c r="AB66" i="1" a="1"/>
  <c r="AB66" i="1" s="1"/>
  <c r="AA63" i="1" a="1"/>
  <c r="AA63" i="1" s="1"/>
  <c r="AB63" i="1" a="1"/>
  <c r="AB63" i="1" s="1"/>
  <c r="AB64" i="1" a="1"/>
  <c r="AB64" i="1" s="1"/>
  <c r="Y63" i="1" a="1"/>
  <c r="Y63" i="1" s="1"/>
  <c r="AB65" i="1" a="1"/>
  <c r="AB65" i="1" s="1"/>
  <c r="Y67" i="1" a="1"/>
  <c r="Y67" i="1" s="1"/>
  <c r="AA66" i="1" a="1"/>
  <c r="AA66" i="1" s="1"/>
  <c r="Y65" i="1" a="1"/>
  <c r="Y65" i="1" s="1"/>
  <c r="AB67" i="1" a="1"/>
  <c r="AB67" i="1" s="1"/>
  <c r="AA64" i="1" a="1"/>
  <c r="AA64" i="1" s="1"/>
  <c r="AC49" i="1" a="1"/>
  <c r="AC49" i="1" s="1"/>
  <c r="AB51" i="1" a="1"/>
  <c r="AB51" i="1" s="1"/>
  <c r="Y50" i="1" a="1"/>
  <c r="Y50" i="1" s="1"/>
  <c r="Y61" i="1" a="1"/>
  <c r="Y61" i="1" s="1"/>
  <c r="Y57" i="1" a="1"/>
  <c r="Y57" i="1" s="1"/>
  <c r="AB49" i="1" a="1"/>
  <c r="AB49" i="1" s="1"/>
  <c r="Y58" i="1" a="1"/>
  <c r="Y58" i="1" s="1"/>
  <c r="AA60" i="1" a="1"/>
  <c r="AA60" i="1" s="1"/>
  <c r="Y48" i="1" a="1"/>
  <c r="Y48" i="1" s="1"/>
  <c r="AB56" i="1" a="1"/>
  <c r="AB56" i="1" s="1"/>
  <c r="AB55" i="1" a="1"/>
  <c r="AB55" i="1" s="1"/>
  <c r="AB48" i="1" a="1"/>
  <c r="AB48" i="1" s="1"/>
  <c r="Y55" i="1" a="1"/>
  <c r="Y55" i="1" s="1"/>
  <c r="Z49" i="1" a="1"/>
  <c r="Z49" i="1" s="1"/>
  <c r="Z48" i="1" a="1"/>
  <c r="Z48" i="1" s="1"/>
  <c r="AB52" i="1" a="1"/>
  <c r="AB52" i="1" s="1"/>
  <c r="AB53" i="1" a="1"/>
  <c r="AB53" i="1" s="1"/>
  <c r="AA53" i="1" a="1"/>
  <c r="AA53" i="1" s="1"/>
  <c r="AB50" i="1" a="1"/>
  <c r="AB50" i="1" s="1"/>
  <c r="AD49" i="1" a="1"/>
  <c r="AD49" i="1" s="1"/>
  <c r="AD48" i="1" a="1"/>
  <c r="AD48" i="1" s="1"/>
  <c r="Y62" i="1" a="1"/>
  <c r="Y62" i="1" s="1"/>
  <c r="AA61" i="1" a="1"/>
  <c r="AA61" i="1" s="1"/>
  <c r="AB59" i="1" a="1"/>
  <c r="AB59" i="1" s="1"/>
  <c r="AA48" i="1" a="1"/>
  <c r="AA48" i="1" s="1"/>
  <c r="Y60" i="1" a="1"/>
  <c r="Y60" i="1" s="1"/>
  <c r="AA59" i="1" a="1"/>
  <c r="AA59" i="1" s="1"/>
  <c r="AB58" i="1" a="1"/>
  <c r="AB58" i="1" s="1"/>
  <c r="AA58" i="1" a="1"/>
  <c r="AA58" i="1" s="1"/>
  <c r="AA57" i="1" a="1"/>
  <c r="AA57" i="1" s="1"/>
  <c r="AB57" i="1" a="1"/>
  <c r="AB57" i="1" s="1"/>
  <c r="AA50" i="1" a="1"/>
  <c r="AA50" i="1" s="1"/>
  <c r="Y53" i="1" a="1"/>
  <c r="Y53" i="1" s="1"/>
  <c r="Y56" i="1" a="1"/>
  <c r="Y56" i="1" s="1"/>
  <c r="Y51" i="1" a="1"/>
  <c r="Y51" i="1" s="1"/>
  <c r="AA49" i="1" a="1"/>
  <c r="AA49" i="1" s="1"/>
  <c r="AA52" i="1" a="1"/>
  <c r="AA52" i="1" s="1"/>
  <c r="AA51" i="1" a="1"/>
  <c r="AA51" i="1" s="1"/>
  <c r="AC48" i="1" a="1"/>
  <c r="AC48" i="1" s="1"/>
  <c r="AB54" i="1" a="1"/>
  <c r="AB54" i="1" s="1"/>
  <c r="AB62" i="1" a="1"/>
  <c r="AB62" i="1" s="1"/>
  <c r="AA62" i="1" a="1"/>
  <c r="AA62" i="1" s="1"/>
  <c r="AB61" i="1" a="1"/>
  <c r="AB61" i="1" s="1"/>
  <c r="Y49" i="1" a="1"/>
  <c r="Y49" i="1" s="1"/>
  <c r="AB60" i="1" a="1"/>
  <c r="AB60" i="1" s="1"/>
  <c r="Y59" i="1" a="1"/>
  <c r="Y59" i="1" s="1"/>
  <c r="AA56" i="1" a="1"/>
  <c r="AA56" i="1" s="1"/>
  <c r="AA54" i="1" a="1"/>
  <c r="AA54" i="1" s="1"/>
  <c r="AA55" i="1" a="1"/>
  <c r="AA55" i="1" s="1"/>
  <c r="Y54" i="1" a="1"/>
  <c r="Y54" i="1" s="1"/>
  <c r="Y52" i="1" a="1"/>
  <c r="Y52" i="1" s="1"/>
  <c r="AA43" i="1" a="1"/>
  <c r="AA43" i="1" s="1"/>
  <c r="AA45" i="1" a="1"/>
  <c r="AA45" i="1" s="1"/>
  <c r="AD46" i="1" a="1"/>
  <c r="AD46" i="1" s="1"/>
  <c r="AB44" i="1" a="1"/>
  <c r="AB44" i="1" s="1"/>
  <c r="AB43" i="1" a="1"/>
  <c r="AB43" i="1" s="1"/>
  <c r="AD45" i="1" a="1"/>
  <c r="AD45" i="1" s="1"/>
  <c r="AB45" i="1" a="1"/>
  <c r="AB45" i="1" s="1"/>
  <c r="Z43" i="1" a="1"/>
  <c r="Z43" i="1" s="1"/>
  <c r="AC44" i="1" a="1"/>
  <c r="AC44" i="1" s="1"/>
  <c r="AD44" i="1" a="1"/>
  <c r="AD44" i="1" s="1"/>
  <c r="AD43" i="1" a="1"/>
  <c r="AD43" i="1" s="1"/>
  <c r="AD47" i="1" a="1"/>
  <c r="AD47" i="1" s="1"/>
  <c r="AC47" i="1" a="1"/>
  <c r="AC47" i="1" s="1"/>
  <c r="Z47" i="1" a="1"/>
  <c r="Z47" i="1" s="1"/>
  <c r="Y46" i="1" a="1"/>
  <c r="Y46" i="1" s="1"/>
  <c r="Y44" i="1" a="1"/>
  <c r="Y44" i="1" s="1"/>
  <c r="Z46" i="1" a="1"/>
  <c r="Z46" i="1" s="1"/>
  <c r="AA44" i="1" a="1"/>
  <c r="AA44" i="1" s="1"/>
  <c r="Y43" i="1" a="1"/>
  <c r="Y43" i="1" s="1"/>
  <c r="AC43" i="1" a="1"/>
  <c r="AC43" i="1" s="1"/>
  <c r="AC45" i="1" a="1"/>
  <c r="AC45" i="1" s="1"/>
  <c r="Y47" i="1" a="1"/>
  <c r="Y47" i="1" s="1"/>
  <c r="AB46" i="1" a="1"/>
  <c r="AB46" i="1" s="1"/>
  <c r="Z44" i="1" a="1"/>
  <c r="Z44" i="1" s="1"/>
  <c r="AB47" i="1" a="1"/>
  <c r="AB47" i="1" s="1"/>
  <c r="AC46" i="1" a="1"/>
  <c r="AC46" i="1" s="1"/>
  <c r="Y45" i="1" a="1"/>
  <c r="Y45" i="1" s="1"/>
  <c r="AA47" i="1" a="1"/>
  <c r="AA47" i="1" s="1"/>
  <c r="Z45" i="1" a="1"/>
  <c r="Z45" i="1" s="1"/>
  <c r="AA46" i="1" a="1"/>
  <c r="AA46" i="1" s="1"/>
  <c r="AA40" i="1" a="1"/>
  <c r="AA40" i="1" s="1"/>
  <c r="Y42" i="1" a="1"/>
  <c r="Y42" i="1" s="1"/>
  <c r="AD38" i="1" a="1"/>
  <c r="AD38" i="1" s="1"/>
  <c r="AD40" i="1" a="1"/>
  <c r="AD40" i="1" s="1"/>
  <c r="Y40" i="1" a="1"/>
  <c r="Y40" i="1" s="1"/>
  <c r="AB39" i="1" a="1"/>
  <c r="AB39" i="1" s="1"/>
  <c r="AC40" i="1" a="1"/>
  <c r="AC40" i="1" s="1"/>
  <c r="AD41" i="1" a="1"/>
  <c r="AD41" i="1" s="1"/>
  <c r="AA41" i="1" a="1"/>
  <c r="AA41" i="1" s="1"/>
  <c r="Y41" i="1" a="1"/>
  <c r="Y41" i="1" s="1"/>
  <c r="Z40" i="1" a="1"/>
  <c r="Z40" i="1" s="1"/>
  <c r="AD39" i="1" a="1"/>
  <c r="AD39" i="1" s="1"/>
  <c r="Y39" i="1" a="1"/>
  <c r="Y39" i="1" s="1"/>
  <c r="AC38" i="1" a="1"/>
  <c r="AC38" i="1" s="1"/>
  <c r="AC39" i="1" a="1"/>
  <c r="AC39" i="1" s="1"/>
  <c r="Z39" i="1" a="1"/>
  <c r="Z39" i="1" s="1"/>
  <c r="AB38" i="1" a="1"/>
  <c r="AB38" i="1" s="1"/>
  <c r="AB41" i="1" a="1"/>
  <c r="AB41" i="1" s="1"/>
  <c r="AA39" i="1" a="1"/>
  <c r="AA39" i="1" s="1"/>
  <c r="Y38" i="1" a="1"/>
  <c r="Y38" i="1" s="1"/>
  <c r="AC41" i="1" a="1"/>
  <c r="AC41" i="1" s="1"/>
  <c r="AD42" i="1" a="1"/>
  <c r="AD42" i="1" s="1"/>
  <c r="AA38" i="1" a="1"/>
  <c r="AA38" i="1" s="1"/>
  <c r="AB40" i="1" a="1"/>
  <c r="AB40" i="1" s="1"/>
  <c r="AC42" i="1" a="1"/>
  <c r="AC42" i="1" s="1"/>
  <c r="AB42" i="1" a="1"/>
  <c r="AB42" i="1" s="1"/>
  <c r="AA42" i="1" a="1"/>
  <c r="AA42" i="1" s="1"/>
  <c r="Z42" i="1" a="1"/>
  <c r="Z42" i="1" s="1"/>
  <c r="Z41" i="1" a="1"/>
  <c r="Z41" i="1" s="1"/>
  <c r="Z38" i="1" a="1"/>
  <c r="Z38" i="1" s="1"/>
  <c r="AD36" i="1" a="1"/>
  <c r="AD36" i="1" s="1"/>
  <c r="Y37" i="1" a="1"/>
  <c r="Y37" i="1" s="1"/>
  <c r="AD30" i="1" a="1"/>
  <c r="AD30" i="1" s="1"/>
  <c r="AA29" i="1" a="1"/>
  <c r="AA29" i="1" s="1"/>
  <c r="AD28" i="1" a="1"/>
  <c r="AD28" i="1" s="1"/>
  <c r="AD27" i="1" a="1"/>
  <c r="AD27" i="1" s="1"/>
  <c r="AA30" i="1" a="1"/>
  <c r="AA30" i="1" s="1"/>
  <c r="AC28" i="1" a="1"/>
  <c r="AC28" i="1" s="1"/>
  <c r="AA28" i="1" a="1"/>
  <c r="AA28" i="1" s="1"/>
  <c r="Y28" i="1" a="1"/>
  <c r="Y28" i="1" s="1"/>
  <c r="Y31" i="1" a="1"/>
  <c r="Y31" i="1" s="1"/>
  <c r="AC29" i="1" a="1"/>
  <c r="AC29" i="1" s="1"/>
  <c r="AC30" i="1" a="1"/>
  <c r="AC30" i="1" s="1"/>
  <c r="Y30" i="1" a="1"/>
  <c r="Y30" i="1" s="1"/>
  <c r="AB29" i="1" a="1"/>
  <c r="AB29" i="1" s="1"/>
  <c r="Z27" i="1" a="1"/>
  <c r="Z27" i="1" s="1"/>
  <c r="AA27" i="1" a="1"/>
  <c r="AA27" i="1" s="1"/>
  <c r="AD29" i="1" a="1"/>
  <c r="AD29" i="1" s="1"/>
  <c r="Y27" i="1" a="1"/>
  <c r="Y27" i="1" s="1"/>
  <c r="Z28" i="1" a="1"/>
  <c r="Z28" i="1" s="1"/>
  <c r="AB28" i="1" a="1"/>
  <c r="AB28" i="1" s="1"/>
  <c r="AB30" i="1" a="1"/>
  <c r="AB30" i="1" s="1"/>
  <c r="Z30" i="1" a="1"/>
  <c r="Z30" i="1" s="1"/>
  <c r="Z29" i="1" a="1"/>
  <c r="Z29" i="1" s="1"/>
  <c r="AC27" i="1" a="1"/>
  <c r="AC27" i="1" s="1"/>
  <c r="AB27" i="1" a="1"/>
  <c r="AB27" i="1" s="1"/>
  <c r="Y29" i="1" a="1"/>
  <c r="Y29" i="1" s="1"/>
  <c r="AC31" i="1" a="1"/>
  <c r="AC31" i="1" s="1"/>
  <c r="AB31" i="1" a="1"/>
  <c r="AB31" i="1" s="1"/>
  <c r="AA31" i="1" a="1"/>
  <c r="AA31" i="1" s="1"/>
  <c r="Z31" i="1" a="1"/>
  <c r="Z31" i="1" s="1"/>
  <c r="AD24" i="1" a="1"/>
  <c r="AD24" i="1" s="1"/>
  <c r="AB24" i="1" a="1"/>
  <c r="AB24" i="1" s="1"/>
  <c r="AA24" i="1" a="1"/>
  <c r="AA24" i="1" s="1"/>
  <c r="AB22" i="1" a="1"/>
  <c r="AB22" i="1" s="1"/>
  <c r="Z22" i="1" a="1"/>
  <c r="Z22" i="1" s="1"/>
  <c r="AC23" i="1" a="1"/>
  <c r="AC23" i="1" s="1"/>
  <c r="AA23" i="1" a="1"/>
  <c r="AA23" i="1" s="1"/>
  <c r="AB23" i="1" a="1"/>
  <c r="AB23" i="1" s="1"/>
  <c r="Z23" i="1" a="1"/>
  <c r="Z23" i="1" s="1"/>
  <c r="AC22" i="1" a="1"/>
  <c r="AC22" i="1" s="1"/>
  <c r="Y26" i="1" a="1"/>
  <c r="Y26" i="1" s="1"/>
  <c r="AC24" i="1" a="1"/>
  <c r="AC24" i="1" s="1"/>
  <c r="AD26" i="1" a="1"/>
  <c r="AD26" i="1" s="1"/>
  <c r="AC26" i="1" a="1"/>
  <c r="AC26" i="1" s="1"/>
  <c r="AB26" i="1" a="1"/>
  <c r="AB26" i="1" s="1"/>
  <c r="AA26" i="1" a="1"/>
  <c r="AA26" i="1" s="1"/>
  <c r="Z26" i="1" a="1"/>
  <c r="Z26" i="1" s="1"/>
  <c r="AD23" i="1" a="1"/>
  <c r="AD23" i="1" s="1"/>
  <c r="AB25" i="1" a="1"/>
  <c r="AB25" i="1" s="1"/>
  <c r="Y25" i="1" a="1"/>
  <c r="Y25" i="1" s="1"/>
  <c r="AA22" i="1" a="1"/>
  <c r="AA22" i="1" s="1"/>
  <c r="Y24" i="1" a="1"/>
  <c r="Y24" i="1" s="1"/>
  <c r="Y22" i="1" a="1"/>
  <c r="Y22" i="1" s="1"/>
  <c r="Z24" i="1" a="1"/>
  <c r="Z24" i="1" s="1"/>
  <c r="Z25" i="1" a="1"/>
  <c r="Z25" i="1" s="1"/>
  <c r="AD25" i="1" a="1"/>
  <c r="AD25" i="1" s="1"/>
  <c r="AC25" i="1" a="1"/>
  <c r="AC25" i="1" s="1"/>
  <c r="AD22" i="1" a="1"/>
  <c r="AD22" i="1" s="1"/>
  <c r="AA25" i="1" a="1"/>
  <c r="AA25" i="1" s="1"/>
  <c r="Y23" i="1" a="1"/>
  <c r="Y23" i="1" s="1"/>
  <c r="AC20" i="1" a="1"/>
  <c r="AC20" i="1" s="1"/>
  <c r="AC19" i="1" a="1"/>
  <c r="AC19" i="1" s="1"/>
  <c r="Y18" i="1" a="1"/>
  <c r="Y18" i="1" s="1"/>
  <c r="Y19" i="1" a="1"/>
  <c r="Y19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19" i="1" a="1"/>
  <c r="Z19" i="1" s="1"/>
  <c r="AB21" i="1" a="1"/>
  <c r="AB21" i="1" s="1"/>
  <c r="AA21" i="1" a="1"/>
  <c r="AA21" i="1" s="1"/>
  <c r="Y20" i="1" a="1"/>
  <c r="Y20" i="1" s="1"/>
  <c r="Z20" i="1" a="1"/>
  <c r="Z20" i="1" s="1"/>
  <c r="AD19" i="1" a="1"/>
  <c r="AD19" i="1" s="1"/>
  <c r="AC17" i="1" a="1"/>
  <c r="AC17" i="1" s="1"/>
  <c r="AD21" i="1" a="1"/>
  <c r="AD21" i="1" s="1"/>
  <c r="AC21" i="1" a="1"/>
  <c r="AC21" i="1" s="1"/>
  <c r="Z21" i="1" a="1"/>
  <c r="Z21" i="1" s="1"/>
  <c r="AD20" i="1" a="1"/>
  <c r="AD20" i="1" s="1"/>
  <c r="AB20" i="1" a="1"/>
  <c r="AB20" i="1" s="1"/>
  <c r="AA20" i="1" a="1"/>
  <c r="AA20" i="1" s="1"/>
  <c r="AA19" i="1" a="1"/>
  <c r="AA19" i="1" s="1"/>
  <c r="AB19" i="1" a="1"/>
  <c r="AB19" i="1" s="1"/>
  <c r="Y21" i="1" a="1"/>
  <c r="Y21" i="1" s="1"/>
  <c r="AD17" i="1" a="1"/>
  <c r="AD17" i="1" s="1"/>
  <c r="AC18" i="1" a="1"/>
  <c r="AC18" i="1" s="1"/>
  <c r="Y17" i="1" a="1"/>
  <c r="Y17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6" i="1" a="1"/>
  <c r="AC36" i="1" s="1"/>
  <c r="AB35" i="1" a="1"/>
  <c r="AB35" i="1" s="1"/>
  <c r="Y32" i="1" a="1"/>
  <c r="Y32" i="1" s="1"/>
  <c r="Z34" i="1" a="1"/>
  <c r="Z34" i="1" s="1"/>
  <c r="Z36" i="1" a="1"/>
  <c r="Z36" i="1" s="1"/>
  <c r="AB34" i="1" a="1"/>
  <c r="AB34" i="1" s="1"/>
  <c r="Z33" i="1" a="1"/>
  <c r="Z33" i="1" s="1"/>
  <c r="AD32" i="1" a="1"/>
  <c r="AD32" i="1" s="1"/>
  <c r="AA32" i="1" a="1"/>
  <c r="AA32" i="1" s="1"/>
  <c r="Y36" i="1" a="1"/>
  <c r="Y36" i="1" s="1"/>
  <c r="AD35" i="1" a="1"/>
  <c r="AD35" i="1" s="1"/>
  <c r="AC35" i="1" a="1"/>
  <c r="AC35" i="1" s="1"/>
  <c r="AD33" i="1" a="1"/>
  <c r="AD33" i="1" s="1"/>
  <c r="AB33" i="1" a="1"/>
  <c r="AB33" i="1" s="1"/>
  <c r="Z35" i="1" a="1"/>
  <c r="Z35" i="1" s="1"/>
  <c r="AC34" i="1" a="1"/>
  <c r="AC34" i="1" s="1"/>
  <c r="Z32" i="1" a="1"/>
  <c r="Z32" i="1" s="1"/>
  <c r="AD34" i="1" a="1"/>
  <c r="AD34" i="1" s="1"/>
  <c r="AC32" i="1" a="1"/>
  <c r="AC32" i="1" s="1"/>
  <c r="AC33" i="1" a="1"/>
  <c r="AC33" i="1" s="1"/>
  <c r="AD31" i="1" a="1"/>
  <c r="AD31" i="1" s="1"/>
  <c r="AA34" i="1" a="1"/>
  <c r="AA34" i="1" s="1"/>
  <c r="Y34" i="1" a="1"/>
  <c r="Y34" i="1" s="1"/>
  <c r="AA35" i="1" a="1"/>
  <c r="AA35" i="1" s="1"/>
  <c r="AA33" i="1" a="1"/>
  <c r="AA33" i="1" s="1"/>
  <c r="Y33" i="1" a="1"/>
  <c r="Y33" i="1" s="1"/>
  <c r="Y35" i="1" a="1"/>
  <c r="Y35" i="1" s="1"/>
  <c r="AB32" i="1" a="1"/>
  <c r="AB32" i="1" s="1"/>
  <c r="AB36" i="1" a="1"/>
  <c r="AB36" i="1" s="1"/>
  <c r="AA36" i="1" a="1"/>
  <c r="AA36" i="1" s="1"/>
  <c r="Z37" i="1" a="1"/>
  <c r="Z37" i="1" s="1"/>
  <c r="AC37" i="1" a="1"/>
  <c r="AC37" i="1" s="1"/>
  <c r="AD37" i="1" a="1"/>
  <c r="AD37" i="1" s="1"/>
  <c r="AB37" i="1" a="1"/>
  <c r="AB37" i="1" s="1"/>
  <c r="AA37" i="1" a="1"/>
  <c r="AA37" i="1" s="1"/>
  <c r="AR42" i="1"/>
  <c r="AQ42" i="1"/>
  <c r="AR41" i="1"/>
  <c r="AQ41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48" i="1" a="1"/>
  <c r="U48" i="1" s="1"/>
  <c r="S48" i="1" a="1"/>
  <c r="S48" i="1" s="1"/>
  <c r="R48" i="1" a="1"/>
  <c r="R48" i="1" s="1"/>
  <c r="R49" i="1" a="1"/>
  <c r="R49" i="1" s="1"/>
  <c r="U49" i="1" a="1"/>
  <c r="U49" i="1" s="1"/>
  <c r="S49" i="1" a="1"/>
  <c r="S49" i="1" s="1"/>
  <c r="T49" i="1" a="1"/>
  <c r="T49" i="1" s="1"/>
  <c r="V49" i="1" a="1"/>
  <c r="V49" i="1" s="1"/>
  <c r="V48" i="1" a="1"/>
  <c r="V48" i="1" s="1"/>
  <c r="T48" i="1" a="1"/>
  <c r="T48" i="1" s="1"/>
  <c r="V47" i="1" a="1"/>
  <c r="V47" i="1" s="1"/>
  <c r="V45" i="1" a="1"/>
  <c r="V45" i="1" s="1"/>
  <c r="U45" i="1" a="1"/>
  <c r="U45" i="1" s="1"/>
  <c r="T47" i="1" a="1"/>
  <c r="T47" i="1" s="1"/>
  <c r="R47" i="1" a="1"/>
  <c r="R47" i="1" s="1"/>
  <c r="R44" i="1" a="1"/>
  <c r="R44" i="1" s="1"/>
  <c r="U43" i="1" a="1"/>
  <c r="U43" i="1" s="1"/>
  <c r="S46" i="1" a="1"/>
  <c r="S46" i="1" s="1"/>
  <c r="R45" i="1" a="1"/>
  <c r="R45" i="1" s="1"/>
  <c r="V46" i="1" a="1"/>
  <c r="V46" i="1" s="1"/>
  <c r="U46" i="1" a="1"/>
  <c r="U46" i="1" s="1"/>
  <c r="R46" i="1" a="1"/>
  <c r="R46" i="1" s="1"/>
  <c r="T44" i="1" a="1"/>
  <c r="T44" i="1" s="1"/>
  <c r="U44" i="1" a="1"/>
  <c r="U44" i="1" s="1"/>
  <c r="U47" i="1" a="1"/>
  <c r="U47" i="1" s="1"/>
  <c r="S47" i="1" a="1"/>
  <c r="S47" i="1" s="1"/>
  <c r="S44" i="1" a="1"/>
  <c r="S44" i="1" s="1"/>
  <c r="T46" i="1" a="1"/>
  <c r="T46" i="1" s="1"/>
  <c r="V44" i="1" a="1"/>
  <c r="V44" i="1" s="1"/>
  <c r="T43" i="1" a="1"/>
  <c r="T43" i="1" s="1"/>
  <c r="S45" i="1" a="1"/>
  <c r="S45" i="1" s="1"/>
  <c r="T45" i="1" a="1"/>
  <c r="T45" i="1" s="1"/>
  <c r="V43" i="1" a="1"/>
  <c r="V43" i="1" s="1"/>
  <c r="V41" i="1" a="1"/>
  <c r="V41" i="1" s="1"/>
  <c r="V39" i="1" a="1"/>
  <c r="V39" i="1" s="1"/>
  <c r="S41" i="1" a="1"/>
  <c r="S41" i="1" s="1"/>
  <c r="S42" i="1" a="1"/>
  <c r="S42" i="1" s="1"/>
  <c r="R39" i="1" a="1"/>
  <c r="R39" i="1" s="1"/>
  <c r="T42" i="1" a="1"/>
  <c r="T42" i="1" s="1"/>
  <c r="T40" i="1" a="1"/>
  <c r="T40" i="1" s="1"/>
  <c r="V42" i="1" a="1"/>
  <c r="V42" i="1" s="1"/>
  <c r="U42" i="1" a="1"/>
  <c r="U42" i="1" s="1"/>
  <c r="R42" i="1" a="1"/>
  <c r="R42" i="1" s="1"/>
  <c r="T41" i="1" a="1"/>
  <c r="T41" i="1" s="1"/>
  <c r="S39" i="1" a="1"/>
  <c r="S39" i="1" s="1"/>
  <c r="V40" i="1" a="1"/>
  <c r="V40" i="1" s="1"/>
  <c r="R40" i="1" a="1"/>
  <c r="R40" i="1" s="1"/>
  <c r="U40" i="1" a="1"/>
  <c r="U40" i="1" s="1"/>
  <c r="U39" i="1" a="1"/>
  <c r="U39" i="1" s="1"/>
  <c r="V38" i="1" a="1"/>
  <c r="V38" i="1" s="1"/>
  <c r="U41" i="1" a="1"/>
  <c r="U41" i="1" s="1"/>
  <c r="T39" i="1" a="1"/>
  <c r="T39" i="1" s="1"/>
  <c r="S43" i="1" a="1"/>
  <c r="S43" i="1" s="1"/>
  <c r="R41" i="1" a="1"/>
  <c r="R41" i="1" s="1"/>
  <c r="R43" i="1" a="1"/>
  <c r="R43" i="1" s="1"/>
  <c r="S40" i="1" a="1"/>
  <c r="S40" i="1" s="1"/>
  <c r="R37" i="1" a="1"/>
  <c r="R37" i="1" s="1"/>
  <c r="T37" i="1" a="1"/>
  <c r="T37" i="1" s="1"/>
  <c r="S37" i="1" a="1"/>
  <c r="S37" i="1" s="1"/>
  <c r="V37" i="1" a="1"/>
  <c r="V37" i="1" s="1"/>
  <c r="U37" i="1" a="1"/>
  <c r="U37" i="1" s="1"/>
  <c r="U31" i="1" a="1"/>
  <c r="U31" i="1" s="1"/>
  <c r="T31" i="1" a="1"/>
  <c r="T31" i="1" s="1"/>
  <c r="U30" i="1" a="1"/>
  <c r="U30" i="1" s="1"/>
  <c r="T30" i="1" a="1"/>
  <c r="T30" i="1" s="1"/>
  <c r="U27" i="1" a="1"/>
  <c r="U27" i="1" s="1"/>
  <c r="U29" i="1" a="1"/>
  <c r="U29" i="1" s="1"/>
  <c r="T28" i="1" a="1"/>
  <c r="T28" i="1" s="1"/>
  <c r="S29" i="1" a="1"/>
  <c r="S29" i="1" s="1"/>
  <c r="R31" i="1" a="1"/>
  <c r="R31" i="1" s="1"/>
  <c r="S27" i="1" a="1"/>
  <c r="S27" i="1" s="1"/>
  <c r="V31" i="1" a="1"/>
  <c r="V31" i="1" s="1"/>
  <c r="S31" i="1" a="1"/>
  <c r="S31" i="1" s="1"/>
  <c r="R30" i="1" a="1"/>
  <c r="R30" i="1" s="1"/>
  <c r="T27" i="1" a="1"/>
  <c r="T27" i="1" s="1"/>
  <c r="V30" i="1" a="1"/>
  <c r="V30" i="1" s="1"/>
  <c r="V27" i="1" a="1"/>
  <c r="V27" i="1" s="1"/>
  <c r="U28" i="1" a="1"/>
  <c r="U28" i="1" s="1"/>
  <c r="V28" i="1" a="1"/>
  <c r="V28" i="1" s="1"/>
  <c r="S30" i="1" a="1"/>
  <c r="S30" i="1" s="1"/>
  <c r="V29" i="1" a="1"/>
  <c r="V29" i="1" s="1"/>
  <c r="T29" i="1" a="1"/>
  <c r="T29" i="1" s="1"/>
  <c r="R29" i="1" a="1"/>
  <c r="R29" i="1" s="1"/>
  <c r="S28" i="1" a="1"/>
  <c r="S28" i="1" s="1"/>
  <c r="R28" i="1" a="1"/>
  <c r="R28" i="1" s="1"/>
  <c r="U25" i="1" a="1"/>
  <c r="U25" i="1" s="1"/>
  <c r="T24" i="1" a="1"/>
  <c r="T24" i="1" s="1"/>
  <c r="R27" i="1" a="1"/>
  <c r="R27" i="1" s="1"/>
  <c r="U23" i="1" a="1"/>
  <c r="U23" i="1" s="1"/>
  <c r="R25" i="1" a="1"/>
  <c r="R25" i="1" s="1"/>
  <c r="V23" i="1" a="1"/>
  <c r="V23" i="1" s="1"/>
  <c r="V22" i="1" a="1"/>
  <c r="V22" i="1" s="1"/>
  <c r="T23" i="1" a="1"/>
  <c r="T23" i="1" s="1"/>
  <c r="V26" i="1" a="1"/>
  <c r="V26" i="1" s="1"/>
  <c r="T26" i="1" a="1"/>
  <c r="T26" i="1" s="1"/>
  <c r="V25" i="1" a="1"/>
  <c r="V25" i="1" s="1"/>
  <c r="S25" i="1" a="1"/>
  <c r="S25" i="1" s="1"/>
  <c r="U24" i="1" a="1"/>
  <c r="U24" i="1" s="1"/>
  <c r="S23" i="1" a="1"/>
  <c r="S23" i="1" s="1"/>
  <c r="U22" i="1" a="1"/>
  <c r="U22" i="1" s="1"/>
  <c r="S24" i="1" a="1"/>
  <c r="S24" i="1" s="1"/>
  <c r="V24" i="1" a="1"/>
  <c r="V24" i="1" s="1"/>
  <c r="U26" i="1" a="1"/>
  <c r="U26" i="1" s="1"/>
  <c r="S26" i="1" a="1"/>
  <c r="S26" i="1" s="1"/>
  <c r="R23" i="1" a="1"/>
  <c r="R23" i="1" s="1"/>
  <c r="R24" i="1" a="1"/>
  <c r="R24" i="1" s="1"/>
  <c r="T22" i="1" a="1"/>
  <c r="T22" i="1" s="1"/>
  <c r="T25" i="1" a="1"/>
  <c r="T25" i="1" s="1"/>
  <c r="R26" i="1" a="1"/>
  <c r="R26" i="1" s="1"/>
  <c r="S22" i="1" a="1"/>
  <c r="S22" i="1" s="1"/>
  <c r="S20" i="1" a="1"/>
  <c r="S20" i="1" s="1"/>
  <c r="T18" i="1" a="1"/>
  <c r="T18" i="1" s="1"/>
  <c r="R22" i="1" a="1"/>
  <c r="R22" i="1" s="1"/>
  <c r="U20" i="1" a="1"/>
  <c r="U20" i="1" s="1"/>
  <c r="V21" i="1" a="1"/>
  <c r="V21" i="1" s="1"/>
  <c r="S21" i="1" a="1"/>
  <c r="S21" i="1" s="1"/>
  <c r="U19" i="1" a="1"/>
  <c r="U19" i="1" s="1"/>
  <c r="U17" i="1" a="1"/>
  <c r="U17" i="1" s="1"/>
  <c r="S18" i="1" a="1"/>
  <c r="S18" i="1" s="1"/>
  <c r="T20" i="1" a="1"/>
  <c r="T20" i="1" s="1"/>
  <c r="R20" i="1" a="1"/>
  <c r="R20" i="1" s="1"/>
  <c r="V19" i="1" a="1"/>
  <c r="V19" i="1" s="1"/>
  <c r="R18" i="1" a="1"/>
  <c r="R18" i="1" s="1"/>
  <c r="V20" i="1" a="1"/>
  <c r="V20" i="1" s="1"/>
  <c r="T19" i="1" a="1"/>
  <c r="T19" i="1" s="1"/>
  <c r="V18" i="1" a="1"/>
  <c r="V18" i="1" s="1"/>
  <c r="V17" i="1" a="1"/>
  <c r="V17" i="1" s="1"/>
  <c r="U21" i="1" a="1"/>
  <c r="U21" i="1" s="1"/>
  <c r="T21" i="1" a="1"/>
  <c r="T21" i="1" s="1"/>
  <c r="U18" i="1" a="1"/>
  <c r="U18" i="1" s="1"/>
  <c r="R21" i="1" a="1"/>
  <c r="R21" i="1" s="1"/>
  <c r="R19" i="1" a="1"/>
  <c r="R19" i="1" s="1"/>
  <c r="S19" i="1" a="1"/>
  <c r="S19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5" i="1" a="1"/>
  <c r="U35" i="1" s="1"/>
  <c r="S32" i="1" a="1"/>
  <c r="S32" i="1" s="1"/>
  <c r="R32" i="1" a="1"/>
  <c r="R32" i="1" s="1"/>
  <c r="V33" i="1" a="1"/>
  <c r="V33" i="1" s="1"/>
  <c r="V32" i="1" a="1"/>
  <c r="V32" i="1" s="1"/>
  <c r="T35" i="1" a="1"/>
  <c r="T35" i="1" s="1"/>
  <c r="U36" i="1" a="1"/>
  <c r="U36" i="1" s="1"/>
  <c r="R36" i="1" a="1"/>
  <c r="R36" i="1" s="1"/>
  <c r="V34" i="1" a="1"/>
  <c r="V34" i="1" s="1"/>
  <c r="R33" i="1" a="1"/>
  <c r="R33" i="1" s="1"/>
  <c r="T32" i="1" a="1"/>
  <c r="T32" i="1" s="1"/>
  <c r="S33" i="1" a="1"/>
  <c r="S33" i="1" s="1"/>
  <c r="U34" i="1" a="1"/>
  <c r="U34" i="1" s="1"/>
  <c r="V36" i="1" a="1"/>
  <c r="V36" i="1" s="1"/>
  <c r="S36" i="1" a="1"/>
  <c r="S36" i="1" s="1"/>
  <c r="T34" i="1" a="1"/>
  <c r="T34" i="1" s="1"/>
  <c r="U33" i="1" a="1"/>
  <c r="U33" i="1" s="1"/>
  <c r="S34" i="1" a="1"/>
  <c r="S34" i="1" s="1"/>
  <c r="T33" i="1" a="1"/>
  <c r="T33" i="1" s="1"/>
  <c r="T36" i="1" a="1"/>
  <c r="T36" i="1" s="1"/>
  <c r="U32" i="1" a="1"/>
  <c r="U32" i="1" s="1"/>
  <c r="V35" i="1" a="1"/>
  <c r="V35" i="1" s="1"/>
  <c r="R34" i="1" a="1"/>
  <c r="R34" i="1" s="1"/>
  <c r="R35" i="1" a="1"/>
  <c r="R35" i="1" s="1"/>
  <c r="S35" i="1" a="1"/>
  <c r="S35" i="1" s="1"/>
  <c r="T38" i="1" a="1"/>
  <c r="T38" i="1" s="1"/>
  <c r="S38" i="1" a="1"/>
  <c r="S38" i="1" s="1"/>
  <c r="R38" i="1" a="1"/>
  <c r="R38" i="1" s="1"/>
  <c r="U38" i="1" a="1"/>
  <c r="U38" i="1" s="1"/>
  <c r="AW67" i="1"/>
  <c r="AU67" i="1"/>
  <c r="AS67" i="1"/>
  <c r="AP67" i="1"/>
  <c r="AO67" i="1"/>
  <c r="AN67" i="1"/>
  <c r="AM67" i="1"/>
  <c r="AL67" i="1"/>
  <c r="AW66" i="1"/>
  <c r="AU66" i="1"/>
  <c r="AS66" i="1"/>
  <c r="AP66" i="1"/>
  <c r="AO66" i="1"/>
  <c r="AN66" i="1"/>
  <c r="AM66" i="1"/>
  <c r="AL66" i="1"/>
  <c r="AK66" i="1"/>
  <c r="AW65" i="1"/>
  <c r="AU65" i="1"/>
  <c r="AS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P62" i="1"/>
  <c r="AO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P53" i="1"/>
  <c r="AO53" i="1"/>
  <c r="AN53" i="1"/>
  <c r="AM53" i="1"/>
  <c r="AL53" i="1"/>
  <c r="AK53" i="1"/>
  <c r="AW52" i="1"/>
  <c r="AU52" i="1"/>
  <c r="AS52" i="1"/>
  <c r="AP52" i="1"/>
  <c r="AO52" i="1"/>
  <c r="AN52" i="1"/>
  <c r="AM52" i="1"/>
  <c r="AL52" i="1"/>
  <c r="AK52" i="1"/>
  <c r="AW51" i="1"/>
  <c r="AU51" i="1"/>
  <c r="AS51" i="1"/>
  <c r="AL51" i="1"/>
  <c r="AK51" i="1"/>
  <c r="AW50" i="1"/>
  <c r="AU50" i="1"/>
  <c r="AS50" i="1"/>
  <c r="AP50" i="1"/>
  <c r="AO50" i="1"/>
  <c r="AN50" i="1"/>
  <c r="AM50" i="1"/>
  <c r="AL50" i="1"/>
  <c r="AK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20" i="1"/>
  <c r="AO20" i="1"/>
  <c r="AN20" i="1"/>
  <c r="AM20" i="1"/>
  <c r="AL20" i="1"/>
  <c r="AK20" i="1"/>
  <c r="AJ20" i="1"/>
  <c r="AI20" i="1"/>
  <c r="AP19" i="1"/>
  <c r="AO19" i="1"/>
  <c r="AN19" i="1"/>
  <c r="AM19" i="1"/>
  <c r="AL19" i="1"/>
  <c r="AK19" i="1"/>
  <c r="AJ19" i="1"/>
  <c r="AI19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67" i="1"/>
  <c r="BB67" i="1"/>
  <c r="BA67" i="1"/>
  <c r="AZ67" i="1"/>
  <c r="AY67" i="1"/>
  <c r="AX67" i="1"/>
  <c r="AV67" i="1"/>
  <c r="BC66" i="1"/>
  <c r="BB66" i="1"/>
  <c r="BA66" i="1"/>
  <c r="AZ66" i="1"/>
  <c r="AY66" i="1"/>
  <c r="AX66" i="1"/>
  <c r="AV66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BC51" i="1"/>
  <c r="BB51" i="1"/>
  <c r="BA51" i="1"/>
  <c r="AZ51" i="1"/>
  <c r="AY51" i="1"/>
  <c r="AX51" i="1"/>
  <c r="AV51" i="1"/>
  <c r="BC50" i="1"/>
  <c r="BB50" i="1"/>
  <c r="BA50" i="1"/>
  <c r="AZ50" i="1"/>
  <c r="AY50" i="1"/>
  <c r="AX50" i="1"/>
  <c r="AV50" i="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L49" i="1" a="1"/>
  <c r="L45" i="1" a="1"/>
  <c r="F49" i="1" a="1"/>
  <c r="L11" i="1" a="1"/>
  <c r="F20" i="1" a="1"/>
  <c r="F34" i="1" a="1"/>
  <c r="F27" i="1" a="1"/>
  <c r="L20" i="1" a="1"/>
  <c r="L7" i="1" a="1"/>
  <c r="F22" i="1" a="1"/>
  <c r="L17" i="1" a="1"/>
  <c r="F6" i="1" a="1"/>
  <c r="L32" i="1" a="1"/>
  <c r="L13" i="1" a="1"/>
  <c r="L36" i="1" a="1"/>
  <c r="F36" i="1" a="1"/>
  <c r="F23" i="1" a="1"/>
  <c r="L22" i="1" a="1"/>
  <c r="L29" i="1" a="1"/>
  <c r="L4" i="1" a="1"/>
  <c r="F35" i="1" a="1"/>
  <c r="L44" i="1" a="1"/>
  <c r="F8" i="1" a="1"/>
  <c r="L37" i="1" a="1"/>
  <c r="F31" i="1" a="1"/>
  <c r="F28" i="1" a="1"/>
  <c r="L41" i="1" a="1"/>
  <c r="L38" i="1" a="1"/>
  <c r="F26" i="1" a="1"/>
  <c r="L43" i="1" a="1"/>
  <c r="L27" i="1" a="1"/>
  <c r="F7" i="1" a="1"/>
  <c r="L33" i="1" a="1"/>
  <c r="F21" i="1" a="1"/>
  <c r="L3" i="1" a="1"/>
  <c r="L23" i="1" a="1"/>
  <c r="F24" i="1" a="1"/>
  <c r="L40" i="1" a="1"/>
  <c r="L5" i="1" a="1"/>
  <c r="L19" i="1" a="1"/>
  <c r="F17" i="1" a="1"/>
  <c r="F42" i="1" a="1"/>
  <c r="F30" i="1" a="1"/>
  <c r="F3" i="1" a="1"/>
  <c r="L6" i="1" a="1"/>
  <c r="L8" i="1" a="1"/>
  <c r="L30" i="1" a="1"/>
  <c r="L26" i="1" a="1"/>
  <c r="F11" i="1" a="1"/>
  <c r="L48" i="1" a="1"/>
  <c r="F32" i="1" a="1"/>
  <c r="L25" i="1" a="1"/>
  <c r="L15" i="1" a="1"/>
  <c r="L42" i="1" a="1"/>
  <c r="F19" i="1" a="1"/>
  <c r="L16" i="1" a="1"/>
  <c r="F10" i="1" a="1"/>
  <c r="L24" i="1" a="1"/>
  <c r="F29" i="1" a="1"/>
  <c r="L35" i="1" a="1"/>
  <c r="L9" i="1" a="1"/>
  <c r="F43" i="1" a="1"/>
  <c r="F40" i="1" a="1"/>
  <c r="F9" i="1" a="1"/>
  <c r="F44" i="1" a="1"/>
  <c r="F25" i="1" a="1"/>
  <c r="F45" i="1" a="1"/>
  <c r="F46" i="1" a="1"/>
  <c r="F48" i="1" a="1"/>
  <c r="F39" i="1" a="1"/>
  <c r="L47" i="1" a="1"/>
  <c r="L31" i="1" a="1"/>
  <c r="L46" i="1" a="1"/>
  <c r="L28" i="1" a="1"/>
  <c r="F47" i="1" a="1"/>
  <c r="L10" i="1" a="1"/>
  <c r="F16" i="1" a="1"/>
  <c r="F14" i="1" a="1"/>
  <c r="F41" i="1" a="1"/>
  <c r="L12" i="1" a="1"/>
  <c r="F33" i="1" a="1"/>
  <c r="L18" i="1" a="1"/>
  <c r="F4" i="1" a="1"/>
  <c r="L21" i="1" a="1"/>
  <c r="F18" i="1" a="1"/>
  <c r="F5" i="1" a="1"/>
  <c r="F15" i="1" a="1"/>
  <c r="L39" i="1" a="1"/>
  <c r="F12" i="1" a="1"/>
  <c r="F38" i="1" a="1"/>
  <c r="F13" i="1" a="1"/>
  <c r="L34" i="1" a="1"/>
  <c r="L14" i="1" a="1"/>
  <c r="F37" i="1" a="1"/>
  <c r="H11" i="12" l="1"/>
  <c r="L42" i="1"/>
  <c r="L25" i="1"/>
  <c r="L34" i="1"/>
  <c r="L9" i="1"/>
  <c r="L19" i="1"/>
  <c r="L40" i="1"/>
  <c r="L41" i="1"/>
  <c r="L38" i="1"/>
  <c r="L6" i="1"/>
  <c r="L13" i="1"/>
  <c r="L21" i="1"/>
  <c r="L30" i="1"/>
  <c r="L45" i="1"/>
  <c r="L27" i="1"/>
  <c r="L4" i="1"/>
  <c r="L8" i="1"/>
  <c r="L18" i="1"/>
  <c r="L5" i="1"/>
  <c r="L20" i="1"/>
  <c r="L36" i="1"/>
  <c r="L7" i="1"/>
  <c r="L15" i="1"/>
  <c r="L22" i="1"/>
  <c r="L29" i="1"/>
  <c r="L11" i="1"/>
  <c r="L32" i="1"/>
  <c r="L12" i="1"/>
  <c r="L47" i="1"/>
  <c r="L24" i="1"/>
  <c r="L10" i="1"/>
  <c r="L31" i="1"/>
  <c r="L35" i="1"/>
  <c r="L3" i="1"/>
  <c r="L16" i="1"/>
  <c r="L23" i="1"/>
  <c r="L28" i="1"/>
  <c r="L46" i="1"/>
  <c r="L26" i="1"/>
  <c r="L37" i="1"/>
  <c r="L44" i="1"/>
  <c r="L43" i="1"/>
  <c r="L48" i="1"/>
  <c r="L39" i="1"/>
  <c r="L33" i="1"/>
  <c r="L14" i="1"/>
  <c r="L17" i="1"/>
  <c r="L49" i="1"/>
  <c r="F14" i="1"/>
  <c r="F4" i="1"/>
  <c r="F5" i="1"/>
  <c r="F11" i="1"/>
  <c r="F28" i="1"/>
  <c r="F49" i="1"/>
  <c r="F20" i="1"/>
  <c r="F3" i="1"/>
  <c r="F7" i="1"/>
  <c r="F13" i="1"/>
  <c r="F12" i="1"/>
  <c r="F44" i="1"/>
  <c r="F22" i="1"/>
  <c r="F33" i="1"/>
  <c r="F24" i="1"/>
  <c r="F23" i="1"/>
  <c r="F9" i="1"/>
  <c r="F46" i="1"/>
  <c r="F18" i="1"/>
  <c r="F8" i="1"/>
  <c r="F42" i="1"/>
  <c r="F39" i="1"/>
  <c r="F17" i="1"/>
  <c r="F47" i="1"/>
  <c r="F21" i="1"/>
  <c r="F41" i="1"/>
  <c r="F36" i="1"/>
  <c r="F29" i="1"/>
  <c r="F31" i="1"/>
  <c r="F48" i="1"/>
  <c r="F25" i="1"/>
  <c r="F27" i="1"/>
  <c r="F26" i="1"/>
  <c r="F43" i="1"/>
  <c r="F30" i="1"/>
  <c r="F15" i="1"/>
  <c r="F32" i="1"/>
  <c r="F6" i="1"/>
  <c r="F34" i="1"/>
  <c r="F40" i="1"/>
  <c r="F10" i="1"/>
  <c r="F19" i="1"/>
  <c r="F45" i="1"/>
  <c r="F35" i="1"/>
  <c r="F16" i="1"/>
  <c r="F37" i="1"/>
  <c r="F38" i="1"/>
  <c r="B40" i="1"/>
  <c r="B38" i="1"/>
  <c r="C36" i="11" l="1"/>
  <c r="D67" i="12"/>
  <c r="F67" i="12" s="1"/>
  <c r="H67" i="12" s="1"/>
  <c r="C34" i="11"/>
  <c r="D66" i="12"/>
  <c r="F66" i="12" s="1"/>
  <c r="H66" i="12" s="1"/>
  <c r="B62" i="1"/>
  <c r="B56" i="1"/>
  <c r="B60" i="1"/>
  <c r="B63" i="1"/>
  <c r="B61" i="1"/>
  <c r="B59" i="1"/>
  <c r="B57" i="1"/>
  <c r="B55" i="1"/>
  <c r="B54" i="1"/>
  <c r="B58" i="1"/>
  <c r="B50" i="1"/>
  <c r="B67" i="1"/>
  <c r="B65" i="1"/>
  <c r="B66" i="1"/>
  <c r="B64" i="1"/>
  <c r="B53" i="1"/>
  <c r="B51" i="1"/>
  <c r="B52" i="1"/>
  <c r="C62" i="11" l="1"/>
  <c r="D89" i="12"/>
  <c r="F89" i="12" s="1"/>
  <c r="H89" i="12" s="1"/>
  <c r="C49" i="11"/>
  <c r="D76" i="12"/>
  <c r="F76" i="12" s="1"/>
  <c r="H76" i="12" s="1"/>
  <c r="C55" i="11"/>
  <c r="D82" i="12"/>
  <c r="F82" i="12" s="1"/>
  <c r="H82" i="12" s="1"/>
  <c r="C57" i="11"/>
  <c r="D81" i="12"/>
  <c r="F81" i="12" s="1"/>
  <c r="H81" i="12" s="1"/>
  <c r="C61" i="11"/>
  <c r="D79" i="12"/>
  <c r="F79" i="12" s="1"/>
  <c r="H79" i="12" s="1"/>
  <c r="C54" i="11"/>
  <c r="D93" i="12"/>
  <c r="F93" i="12" s="1"/>
  <c r="H93" i="12" s="1"/>
  <c r="C51" i="11"/>
  <c r="D85" i="12"/>
  <c r="F85" i="12" s="1"/>
  <c r="H85" i="12" s="1"/>
  <c r="C59" i="11"/>
  <c r="D80" i="12"/>
  <c r="F80" i="12" s="1"/>
  <c r="H80" i="12" s="1"/>
  <c r="C60" i="11"/>
  <c r="D90" i="12"/>
  <c r="F90" i="12" s="1"/>
  <c r="H90" i="12" s="1"/>
  <c r="C50" i="11"/>
  <c r="D86" i="12"/>
  <c r="F86" i="12" s="1"/>
  <c r="H86" i="12" s="1"/>
  <c r="C53" i="11"/>
  <c r="D83" i="12"/>
  <c r="F83" i="12" s="1"/>
  <c r="H83" i="12" s="1"/>
  <c r="C56" i="11"/>
  <c r="D92" i="12"/>
  <c r="F92" i="12" s="1"/>
  <c r="H92" i="12" s="1"/>
  <c r="C63" i="11"/>
  <c r="D78" i="12"/>
  <c r="F78" i="12" s="1"/>
  <c r="H78" i="12" s="1"/>
  <c r="C48" i="11"/>
  <c r="D87" i="12"/>
  <c r="F87" i="12" s="1"/>
  <c r="H87" i="12" s="1"/>
  <c r="C52" i="11"/>
  <c r="D84" i="12"/>
  <c r="F84" i="12" s="1"/>
  <c r="H84" i="12" s="1"/>
  <c r="C46" i="11"/>
  <c r="D88" i="12"/>
  <c r="F88" i="12" s="1"/>
  <c r="H88" i="12" s="1"/>
  <c r="C47" i="11"/>
  <c r="D77" i="12"/>
  <c r="F77" i="12" s="1"/>
  <c r="H77" i="12" s="1"/>
  <c r="C58" i="11"/>
  <c r="D91" i="12"/>
  <c r="F91" i="12" s="1"/>
  <c r="H91" i="12" s="1"/>
  <c r="B41" i="1"/>
  <c r="B42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B39" i="1" s="1"/>
  <c r="AE40" i="1"/>
  <c r="AE41" i="1"/>
  <c r="AE42" i="1"/>
  <c r="AE43" i="1"/>
  <c r="AE44" i="1"/>
  <c r="AE45" i="1"/>
  <c r="AE46" i="1"/>
  <c r="AE47" i="1"/>
  <c r="AE48" i="1"/>
  <c r="AE49" i="1"/>
  <c r="AE4" i="1"/>
  <c r="AE3" i="1"/>
  <c r="C35" i="11" l="1"/>
  <c r="D75" i="12"/>
  <c r="F75" i="12" s="1"/>
  <c r="H75" i="12" s="1"/>
  <c r="C37" i="11"/>
  <c r="B37" i="11" s="1"/>
  <c r="D5" i="12"/>
  <c r="E47" i="1"/>
  <c r="E49" i="1"/>
  <c r="E43" i="1"/>
  <c r="E46" i="1"/>
  <c r="E48" i="1"/>
  <c r="E44" i="1"/>
  <c r="E45" i="1"/>
  <c r="C38" i="11"/>
  <c r="B38" i="11" s="1"/>
  <c r="E39" i="1"/>
  <c r="E42" i="1"/>
  <c r="E40" i="1"/>
  <c r="E41" i="1"/>
  <c r="E38" i="1"/>
  <c r="D42" i="1"/>
  <c r="D41" i="1"/>
  <c r="D40" i="1"/>
  <c r="D39" i="1"/>
  <c r="C39" i="1"/>
  <c r="C42" i="1"/>
  <c r="C40" i="1"/>
  <c r="C38" i="1"/>
  <c r="C41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4" i="1"/>
  <c r="E3" i="1"/>
  <c r="F5" i="12" l="1"/>
  <c r="B49" i="1"/>
  <c r="B48" i="1"/>
  <c r="B46" i="1"/>
  <c r="B44" i="1"/>
  <c r="B47" i="1"/>
  <c r="B45" i="1"/>
  <c r="B43" i="1"/>
  <c r="C41" i="11" l="1"/>
  <c r="D71" i="12"/>
  <c r="F71" i="12" s="1"/>
  <c r="H71" i="12" s="1"/>
  <c r="C42" i="11"/>
  <c r="D72" i="12"/>
  <c r="F72" i="12" s="1"/>
  <c r="H72" i="12" s="1"/>
  <c r="C39" i="11"/>
  <c r="D70" i="12"/>
  <c r="F70" i="12" s="1"/>
  <c r="H70" i="12" s="1"/>
  <c r="C43" i="11"/>
  <c r="D73" i="12"/>
  <c r="F73" i="12" s="1"/>
  <c r="H73" i="12" s="1"/>
  <c r="C45" i="11"/>
  <c r="D69" i="12"/>
  <c r="F69" i="12" s="1"/>
  <c r="H69" i="12" s="1"/>
  <c r="C40" i="11"/>
  <c r="D74" i="12"/>
  <c r="F74" i="12" s="1"/>
  <c r="H74" i="12" s="1"/>
  <c r="C44" i="11"/>
  <c r="D68" i="12"/>
  <c r="F68" i="12" s="1"/>
  <c r="H68" i="12" s="1"/>
  <c r="H5" i="12"/>
  <c r="D24" i="1"/>
  <c r="D30" i="1"/>
  <c r="D33" i="1"/>
  <c r="D23" i="1"/>
  <c r="D18" i="1"/>
  <c r="D21" i="1"/>
  <c r="D5" i="1"/>
  <c r="D8" i="1"/>
  <c r="D27" i="1"/>
  <c r="D11" i="1"/>
  <c r="D14" i="1"/>
  <c r="D17" i="1"/>
  <c r="D20" i="1"/>
  <c r="D7" i="1"/>
  <c r="D26" i="1"/>
  <c r="D10" i="1"/>
  <c r="D13" i="1"/>
  <c r="D16" i="1"/>
  <c r="D6" i="1"/>
  <c r="D19" i="1"/>
  <c r="D22" i="1"/>
  <c r="D25" i="1"/>
  <c r="D9" i="1"/>
  <c r="D28" i="1"/>
  <c r="D15" i="1"/>
  <c r="D12" i="1"/>
  <c r="D34" i="1"/>
  <c r="D37" i="1"/>
  <c r="D36" i="1"/>
  <c r="D29" i="1"/>
  <c r="D32" i="1"/>
  <c r="D35" i="1"/>
  <c r="D31" i="1"/>
  <c r="C29" i="1"/>
  <c r="C13" i="1"/>
  <c r="C20" i="1"/>
  <c r="C12" i="1"/>
  <c r="C35" i="1"/>
  <c r="C11" i="1"/>
  <c r="C27" i="1"/>
  <c r="C19" i="1"/>
  <c r="C34" i="1"/>
  <c r="C10" i="1"/>
  <c r="C26" i="1"/>
  <c r="C18" i="1"/>
  <c r="C33" i="1"/>
  <c r="C9" i="1"/>
  <c r="C25" i="1"/>
  <c r="C17" i="1"/>
  <c r="C32" i="1"/>
  <c r="C8" i="1"/>
  <c r="C24" i="1"/>
  <c r="C16" i="1"/>
  <c r="C31" i="1"/>
  <c r="C7" i="1"/>
  <c r="C36" i="1"/>
  <c r="C23" i="1"/>
  <c r="C15" i="1"/>
  <c r="C30" i="1"/>
  <c r="C6" i="1"/>
  <c r="C28" i="1"/>
  <c r="C22" i="1"/>
  <c r="C14" i="1"/>
  <c r="C37" i="1"/>
  <c r="C21" i="1"/>
  <c r="C5" i="1"/>
  <c r="D3" i="1"/>
  <c r="D4" i="1"/>
  <c r="B21" i="1" l="1"/>
  <c r="C21" i="11"/>
  <c r="D58" i="12"/>
  <c r="F58" i="12" s="1"/>
  <c r="H58" i="12" s="1"/>
  <c r="B30" i="1"/>
  <c r="B24" i="1"/>
  <c r="B33" i="1"/>
  <c r="B25" i="1"/>
  <c r="B14" i="1"/>
  <c r="B13" i="1"/>
  <c r="B8" i="1"/>
  <c r="B22" i="1"/>
  <c r="B18" i="1"/>
  <c r="B23" i="1"/>
  <c r="B5" i="1"/>
  <c r="B28" i="1"/>
  <c r="B27" i="1"/>
  <c r="B7" i="1"/>
  <c r="B11" i="1"/>
  <c r="B20" i="1"/>
  <c r="B32" i="1"/>
  <c r="B29" i="1"/>
  <c r="B6" i="1"/>
  <c r="B26" i="1"/>
  <c r="D63" i="12" s="1"/>
  <c r="B10" i="1"/>
  <c r="B15" i="1"/>
  <c r="B34" i="1"/>
  <c r="B37" i="1"/>
  <c r="B9" i="1"/>
  <c r="B19" i="1"/>
  <c r="B36" i="1"/>
  <c r="B31" i="1"/>
  <c r="B35" i="1"/>
  <c r="B16" i="1"/>
  <c r="B12" i="1"/>
  <c r="C3" i="1"/>
  <c r="B3" i="1" s="1"/>
  <c r="C4" i="1"/>
  <c r="B4" i="1" s="1"/>
  <c r="C23" i="11" l="1"/>
  <c r="D60" i="12"/>
  <c r="F60" i="12" s="1"/>
  <c r="H60" i="12" s="1"/>
  <c r="C5" i="11"/>
  <c r="D42" i="12"/>
  <c r="F42" i="12" s="1"/>
  <c r="H42" i="12" s="1"/>
  <c r="C25" i="11"/>
  <c r="D62" i="12"/>
  <c r="F62" i="12" s="1"/>
  <c r="H62" i="12" s="1"/>
  <c r="C16" i="11"/>
  <c r="D53" i="12"/>
  <c r="F53" i="12" s="1"/>
  <c r="H53" i="12" s="1"/>
  <c r="C28" i="11"/>
  <c r="D65" i="12"/>
  <c r="F65" i="12" s="1"/>
  <c r="H65" i="12" s="1"/>
  <c r="C9" i="11"/>
  <c r="D46" i="12"/>
  <c r="F46" i="12" s="1"/>
  <c r="H46" i="12" s="1"/>
  <c r="C33" i="11"/>
  <c r="D98" i="12"/>
  <c r="F98" i="12" s="1"/>
  <c r="H98" i="12" s="1"/>
  <c r="C15" i="11"/>
  <c r="D52" i="12"/>
  <c r="F52" i="12" s="1"/>
  <c r="H52" i="12" s="1"/>
  <c r="C32" i="11"/>
  <c r="D97" i="12"/>
  <c r="F97" i="12" s="1"/>
  <c r="H97" i="12" s="1"/>
  <c r="C30" i="11"/>
  <c r="D95" i="12"/>
  <c r="F95" i="12" s="1"/>
  <c r="H95" i="12" s="1"/>
  <c r="C19" i="11"/>
  <c r="D56" i="12"/>
  <c r="F56" i="12" s="1"/>
  <c r="H56" i="12" s="1"/>
  <c r="C22" i="11"/>
  <c r="D59" i="12"/>
  <c r="F59" i="12" s="1"/>
  <c r="H59" i="12" s="1"/>
  <c r="C13" i="11"/>
  <c r="D50" i="12"/>
  <c r="F50" i="12" s="1"/>
  <c r="H50" i="12" s="1"/>
  <c r="C26" i="11"/>
  <c r="F63" i="12"/>
  <c r="H63" i="12" s="1"/>
  <c r="C29" i="11"/>
  <c r="D94" i="12"/>
  <c r="F94" i="12" s="1"/>
  <c r="H94" i="12" s="1"/>
  <c r="C24" i="11"/>
  <c r="D61" i="12"/>
  <c r="F61" i="12" s="1"/>
  <c r="H61" i="12" s="1"/>
  <c r="C18" i="11"/>
  <c r="D55" i="12"/>
  <c r="F55" i="12" s="1"/>
  <c r="H55" i="12" s="1"/>
  <c r="C8" i="11"/>
  <c r="D45" i="12"/>
  <c r="F45" i="12" s="1"/>
  <c r="H45" i="12" s="1"/>
  <c r="C14" i="11"/>
  <c r="D51" i="12"/>
  <c r="F51" i="12" s="1"/>
  <c r="H51" i="12" s="1"/>
  <c r="C4" i="11"/>
  <c r="D41" i="12"/>
  <c r="F41" i="12" s="1"/>
  <c r="H41" i="12" s="1"/>
  <c r="C31" i="11"/>
  <c r="D96" i="12"/>
  <c r="F96" i="12" s="1"/>
  <c r="H96" i="12" s="1"/>
  <c r="C27" i="11"/>
  <c r="D64" i="12"/>
  <c r="F64" i="12" s="1"/>
  <c r="H64" i="12" s="1"/>
  <c r="C10" i="11"/>
  <c r="D47" i="12"/>
  <c r="F47" i="12" s="1"/>
  <c r="H47" i="12" s="1"/>
  <c r="C6" i="11"/>
  <c r="D43" i="12"/>
  <c r="F43" i="12" s="1"/>
  <c r="H43" i="12" s="1"/>
  <c r="C3" i="11"/>
  <c r="D40" i="12"/>
  <c r="C20" i="11"/>
  <c r="D57" i="12"/>
  <c r="F57" i="12" s="1"/>
  <c r="H57" i="12" s="1"/>
  <c r="C7" i="11"/>
  <c r="D44" i="12"/>
  <c r="F44" i="12" s="1"/>
  <c r="H44" i="12" s="1"/>
  <c r="C12" i="11"/>
  <c r="D49" i="12"/>
  <c r="F49" i="12" s="1"/>
  <c r="H49" i="12" s="1"/>
  <c r="C11" i="11"/>
  <c r="D48" i="12"/>
  <c r="F48" i="12" s="1"/>
  <c r="H48" i="12" s="1"/>
  <c r="P17" i="7"/>
  <c r="E17" i="1" s="1"/>
  <c r="B17" i="1" s="1"/>
  <c r="F40" i="12" l="1"/>
  <c r="C17" i="11"/>
  <c r="D54" i="12"/>
  <c r="F54" i="12" s="1"/>
  <c r="H54" i="12" s="1"/>
  <c r="B24" i="11"/>
  <c r="H40" i="12" l="1"/>
  <c r="H99" i="12" s="1"/>
  <c r="F99" i="12"/>
  <c r="D99" i="12"/>
  <c r="B15" i="11"/>
  <c r="B44" i="11"/>
  <c r="B33" i="11"/>
  <c r="B31" i="11"/>
  <c r="B29" i="11"/>
  <c r="B41" i="11"/>
  <c r="B32" i="11"/>
  <c r="B28" i="11"/>
  <c r="B39" i="11"/>
  <c r="B6" i="11"/>
  <c r="B42" i="11"/>
  <c r="B17" i="11"/>
  <c r="B43" i="11"/>
  <c r="B30" i="11"/>
  <c r="B40" i="11"/>
  <c r="B35" i="11"/>
  <c r="B45" i="11"/>
  <c r="B63" i="11" l="1"/>
  <c r="B13" i="11"/>
  <c r="B49" i="11"/>
  <c r="B11" i="11"/>
  <c r="B60" i="11"/>
  <c r="B10" i="11"/>
  <c r="B55" i="11"/>
  <c r="B21" i="11"/>
  <c r="B58" i="11"/>
  <c r="B16" i="11"/>
  <c r="B53" i="11"/>
  <c r="B22" i="11"/>
  <c r="B54" i="11"/>
  <c r="B8" i="11"/>
  <c r="B50" i="11"/>
  <c r="B4" i="11"/>
  <c r="B62" i="11"/>
  <c r="B9" i="11"/>
  <c r="B48" i="11"/>
  <c r="B5" i="11"/>
  <c r="B61" i="11"/>
  <c r="B19" i="11"/>
  <c r="B36" i="11"/>
  <c r="B34" i="11"/>
  <c r="B25" i="11"/>
  <c r="B26" i="11"/>
  <c r="B59" i="11"/>
  <c r="B18" i="11"/>
  <c r="B27" i="11"/>
  <c r="B51" i="11"/>
  <c r="B3" i="11"/>
  <c r="B46" i="11"/>
  <c r="B7" i="11"/>
  <c r="B57" i="11"/>
  <c r="B20" i="11"/>
  <c r="B56" i="11"/>
  <c r="B14" i="11"/>
  <c r="B47" i="11"/>
  <c r="B12" i="11"/>
  <c r="B52" i="11"/>
  <c r="B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<sst xmlns="http://schemas.openxmlformats.org/spreadsheetml/2006/main" count="1689" uniqueCount="261">
  <si>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</si>
  <si>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</si>
  <si>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</si>
  <si>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</si>
  <si>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</si>
  <si>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</si>
  <si>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</si>
  <si>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</si>
  <si>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</si>
  <si>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</si>
  <si>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</si>
  <si>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</si>
  <si>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</si>
  <si>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</si>
  <si>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</si>
  <si>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</si>
  <si>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</si>
  <si>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</si>
  <si>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</si>
  <si>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</si>
  <si>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</si>
  <si>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</si>
  <si>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</si>
  <si>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</si>
  <si>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</si>
  <si>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</si>
  <si>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</si>
  <si>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</si>
  <si>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</si>
  <si>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</si>
  <si>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</si>
  <si>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</si>
  <si>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</si>
  <si>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</si>
  <si>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</si>
  <si>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</si>
  <si>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</si>
  <si>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</si>
  <si>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</si>
  <si>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</si>
  <si>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</si>
  <si>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</si>
  <si>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</si>
  <si>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</si>
  <si>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</si>
  <si>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</si>
  <si>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</si>
  <si>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</si>
  <si>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</si>
  <si>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</si>
  <si>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</si>
  <si>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放射治疗科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</si>
  <si>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</si>
  <si>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</si>
  <si>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</si>
  <si>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</si>
  <si>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</si>
  <si>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</si>
  <si>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</si>
  <si>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</si>
  <si>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</si>
  <si>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</si>
  <si>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</si>
  <si>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</si>
  <si>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</si>
  <si>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</si>
  <si>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</si>
  <si>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</si>
  <si>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</si>
  <si>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</si>
  <si>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</si>
  <si>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</si>
  <si>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</si>
  <si>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</si>
  <si>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</si>
  <si>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</si>
  <si>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</si>
  <si>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</si>
  <si>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</si>
  <si>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</si>
  <si>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</si>
  <si>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</si>
  <si>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</si>
  <si>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</si>
  <si>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</si>
  <si>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</si>
  <si>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</si>
  <si>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</si>
  <si>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</si>
  <si>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</si>
  <si>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</si>
  <si>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</si>
  <si>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</si>
  <si>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</si>
  <si>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</si>
  <si>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放射治疗科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</si>
  <si>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</si>
  <si>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</si>
  <si>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</si>
  <si>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</si>
  <si>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</si>
  <si>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</si>
  <si>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</si>
  <si>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</si>
  <si>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</si>
  <si>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</si>
  <si>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</si>
  <si>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</si>
  <si>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</si>
  <si>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</si>
  <si>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</si>
  <si>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</si>
  <si>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</si>
  <si>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</si>
  <si>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</si>
  <si>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</si>
  <si>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</si>
  <si>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</si>
  <si>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</si>
  <si>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</si>
  <si>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</si>
  <si>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</si>
  <si>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</si>
  <si>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</si>
  <si>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</si>
  <si>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</si>
  <si>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</si>
  <si>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</si>
  <si>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</si>
  <si>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</si>
  <si>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</si>
  <si>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</si>
  <si>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</si>
  <si>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</si>
  <si>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</si>
  <si>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</si>
  <si>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</si>
  <si>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</si>
  <si>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</si>
  <si>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</si>
  <si>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</si>
  <si>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</si>
  <si>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</si>
  <si>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</si>
  <si>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放射治疗科护理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</si>
  <si>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</si>
  <si>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</si>
  <si>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</si>
  <si>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</si>
  <si>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</si>
  <si>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</si>
  <si>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</si>
  <si>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</si>
  <si>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</si>
  <si>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</si>
  <si>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</si>
  <si>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</si>
  <si>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放射治疗科护理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</si>
  <si>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</si>
  <si>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</si>
  <si>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</si>
  <si>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</si>
  <si>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</si>
  <si>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</si>
  <si>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</si>
  <si>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</si>
  <si>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</si>
  <si>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</si>
  <si>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</si>
  <si>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</si>
  <si>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</si>
  <si>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</si>
  <si>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</si>
  <si>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</si>
  <si>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</si>
  <si>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</si>
  <si>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</si>
  <si>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</si>
  <si>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</si>
  <si>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</si>
  <si>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</si>
  <si>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</si>
  <si>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</si>
  <si>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</si>
  <si>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</si>
  <si>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</si>
  <si>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</si>
  <si>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</si>
  <si>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</si>
  <si>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</si>
  <si>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</si>
  <si>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</si>
  <si>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科室奖罚</t>
    <phoneticPr fontId="1" type="noConversion"/>
  </si>
  <si>
    <t>应发绩效</t>
    <phoneticPr fontId="1" type="noConversion"/>
  </si>
  <si>
    <t>实发绩效</t>
    <phoneticPr fontId="1" type="noConversion"/>
  </si>
  <si>
    <t>门诊收费室</t>
    <phoneticPr fontId="1" type="noConversion"/>
  </si>
  <si>
    <t>核医学科</t>
    <phoneticPr fontId="1" type="noConversion"/>
  </si>
  <si>
    <t>住院收费室</t>
    <phoneticPr fontId="1" type="noConversion"/>
  </si>
  <si>
    <t>放射科</t>
    <phoneticPr fontId="1" type="noConversion"/>
  </si>
  <si>
    <t>内窥镜中心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</si>
  <si>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</si>
  <si>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</si>
  <si>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</si>
  <si>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</si>
  <si>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</si>
  <si>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</si>
  <si>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</si>
  <si>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</si>
  <si>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</si>
  <si>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</si>
  <si>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</si>
  <si>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</si>
  <si>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</si>
  <si>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</si>
  <si>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</si>
  <si>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</si>
  <si>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</si>
  <si>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</si>
  <si>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</si>
  <si>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</si>
  <si>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</si>
  <si>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</si>
  <si>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</si>
  <si>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</si>
  <si>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</si>
  <si>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</si>
  <si>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</si>
  <si>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</si>
  <si>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</si>
  <si>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</si>
  <si>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</si>
  <si>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</si>
  <si>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</si>
  <si>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</si>
  <si>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</si>
  <si>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</si>
  <si>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</si>
  <si>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</si>
  <si>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</si>
  <si>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</si>
  <si>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</si>
  <si>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</si>
  <si>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</si>
  <si>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</si>
  <si>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</si>
  <si>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</si>
  <si>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</si>
  <si>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</si>
  <si>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</si>
  <si>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</si>
  <si>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</si>
  <si>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</si>
  <si>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</si>
  <si>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</si>
  <si>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</si>
  <si>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</si>
  <si>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</si>
  <si>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</si>
  <si>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纪委办公室</t>
    <phoneticPr fontId="7" type="noConversion"/>
  </si>
  <si>
    <t>肿瘤健康体检中心</t>
  </si>
  <si>
    <t>健康促进科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</si>
</sst>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.000_);[Red]\(0.000\)"/>
    <numFmt numFmtId="178" formatCode="0.00_);[Red]\(0.00\)"/>
    <numFmt numFmtId="179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42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9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10" Type="http://schemas.openxmlformats.org/officeDocument/2006/relationships/externalLink" Target="externalLinks/externalLink4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&#24037;&#20316;\2&#26376;&#32489;&#25928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1 (2)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99" sqref="H99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31" t="s">
        <v>200</v>
      </c>
      <c r="B1" s="31"/>
      <c r="C1" s="31"/>
      <c r="D1" s="31"/>
      <c r="E1" s="31"/>
      <c r="F1" s="31"/>
      <c r="G1" s="31"/>
      <c r="H1" s="31"/>
    </row>
    <row r="2" spans="1:8" ht="25.8" x14ac:dyDescent="0.55000000000000004">
      <c r="A2" s="32" t="str">
        <f ca="1">" "&amp;YEAR(TODAY())&amp;"年"&amp;MONTH(TODAY())-1&amp;"月绩效科室考核结果"</f>
        <v xml:space="preserve"> 2025年2月绩效科室考核结果</v>
      </c>
      <c r="B2" s="32"/>
      <c r="C2" s="32"/>
      <c r="D2" s="32"/>
      <c r="E2" s="32"/>
      <c r="F2" s="32"/>
      <c r="G2" s="32"/>
      <c r="H2" s="32"/>
    </row>
    <row r="3" spans="1:8" ht="17.399999999999999" x14ac:dyDescent="0.25">
      <c r="A3" s="33" t="str">
        <f ca="1">" "&amp;YEAR(TODAY())&amp;"年"&amp;MONTH(TODAY())-1&amp;"月绩效[未发布]"</f>
        <v xml:space="preserve"> 2025年2月绩效[未发布]</v>
      </c>
      <c r="B3" s="33"/>
      <c r="C3" s="33"/>
      <c r="D3" s="33"/>
      <c r="E3" s="33"/>
      <c r="F3" s="33"/>
      <c r="G3" s="33"/>
      <c r="H3" s="33"/>
    </row>
    <row r="4" spans="1:8" ht="19.2" x14ac:dyDescent="0.25">
      <c r="A4" s="19" t="s">
        <v>201</v>
      </c>
      <c r="B4" s="19" t="s">
        <v>202</v>
      </c>
      <c r="C4" s="19" t="s">
        <v>203</v>
      </c>
      <c r="D4" s="19" t="s">
        <v>257</v>
      </c>
      <c r="E4" s="19" t="s">
        <v>204</v>
      </c>
      <c r="F4" s="19" t="s">
        <v>205</v>
      </c>
      <c r="G4" s="19" t="s">
        <v>206</v>
      </c>
      <c r="H4" s="19" t="s">
        <v>207</v>
      </c>
    </row>
    <row r="5" spans="1:8" ht="17.399999999999999" x14ac:dyDescent="0.25">
      <c r="A5" s="20">
        <v>1</v>
      </c>
      <c r="B5" s="20" t="s">
        <v>208</v>
      </c>
      <c r="C5" s="21" t="s">
        <v>209</v>
      </c>
      <c r="D5" s="22">
        <f>VLOOKUP(B5,结果!A:B,2,FALSE)</f>
        <v>1322690.1499999999</v>
      </c>
      <c r="E5" s="22">
        <f>VLOOKUP(B5,[1]结果!A:B,2,FALSE)</f>
        <v>0</v>
      </c>
      <c r="F5" s="22">
        <f>IF(D5=0,1,D5)*IF(E5=0,1,E5/100)</f>
        <v>1322690.1499999999</v>
      </c>
      <c r="G5" s="22" t="str">
        <f>IFERROR(INDEX([2]Sheet1!B:B, MATCH(B5, [2]Sheet1!A:A, 0)), "0.00")</f>
        <v>0.00</v>
      </c>
      <c r="H5" s="22">
        <f>F5+G5</f>
        <v>1322690.1499999999</v>
      </c>
    </row>
    <row r="6" spans="1:8" ht="17.399999999999999" x14ac:dyDescent="0.25">
      <c r="A6" s="20">
        <v>2</v>
      </c>
      <c r="B6" s="20" t="s">
        <v>122</v>
      </c>
      <c r="C6" s="21" t="s">
        <v>209</v>
      </c>
      <c r="D6" s="22">
        <f>VLOOKUP(B6,结果!A:B,2,FALSE)</f>
        <v>197552.61</v>
      </c>
      <c r="E6" s="22">
        <f>VLOOKUP(B6,[1]结果!A:B,2,FALSE)</f>
        <v>0</v>
      </c>
      <c r="F6" s="22">
        <f t="shared" ref="F6:F70" si="0">IF(D6=0,1,D6)*IF(E6=0,1,E6/100)</f>
        <v>197552.61</v>
      </c>
      <c r="G6" s="22" t="str">
        <f>IFERROR(INDEX([2]Sheet1!B:B, MATCH(B6, [2]Sheet1!A:A, 0)), "0.00")</f>
        <v>0.00</v>
      </c>
      <c r="H6" s="22">
        <f t="shared" ref="H6:H70" si="1">F6+G6</f>
        <v>197552.61</v>
      </c>
    </row>
    <row r="7" spans="1:8" ht="17.399999999999999" x14ac:dyDescent="0.25">
      <c r="A7" s="20">
        <v>3</v>
      </c>
      <c r="B7" s="20" t="s">
        <v>210</v>
      </c>
      <c r="C7" s="21" t="s">
        <v>211</v>
      </c>
      <c r="D7" s="22">
        <f>IFERROR(VLOOKUP(B7,结果!A:B,2,FALSE),0)</f>
        <v>0</v>
      </c>
      <c r="E7" s="22">
        <f>VLOOKUP(B7,[1]结果!A:B,2,FALSE)</f>
        <v>89.3</v>
      </c>
      <c r="F7" s="22">
        <v>0</v>
      </c>
      <c r="G7" s="22" t="str">
        <f>IFERROR(INDEX([2]Sheet1!B:B, MATCH(B7, [2]Sheet1!A:A, 0)), "0.00")</f>
        <v>0.00</v>
      </c>
      <c r="H7" s="22">
        <f t="shared" si="1"/>
        <v>0</v>
      </c>
    </row>
    <row r="8" spans="1:8" ht="17.399999999999999" x14ac:dyDescent="0.25">
      <c r="A8" s="20">
        <v>4</v>
      </c>
      <c r="B8" s="20" t="s">
        <v>212</v>
      </c>
      <c r="C8" s="21" t="s">
        <v>211</v>
      </c>
      <c r="D8" s="22">
        <f>IFERROR(VLOOKUP(B8,结果!A:B,2,FALSE),0)</f>
        <v>0</v>
      </c>
      <c r="E8" s="22">
        <f>VLOOKUP(B8,[1]结果!A:B,2,FALSE)</f>
        <v>89.3</v>
      </c>
      <c r="F8" s="22">
        <v>0</v>
      </c>
      <c r="G8" s="22" t="str">
        <f>IFERROR(INDEX([2]Sheet1!B:B, MATCH(B8, [2]Sheet1!A:A, 0)), "0.00")</f>
        <v>0.00</v>
      </c>
      <c r="H8" s="22">
        <f t="shared" si="1"/>
        <v>0</v>
      </c>
    </row>
    <row r="9" spans="1:8" ht="17.399999999999999" x14ac:dyDescent="0.25">
      <c r="A9" s="20">
        <v>5</v>
      </c>
      <c r="B9" s="20" t="s">
        <v>213</v>
      </c>
      <c r="C9" s="21" t="s">
        <v>211</v>
      </c>
      <c r="D9" s="22">
        <f>IFERROR(VLOOKUP(B9,结果!A:B,2,FALSE),0)</f>
        <v>0</v>
      </c>
      <c r="E9" s="22">
        <f>VLOOKUP(B9,[1]结果!A:B,2,FALSE)</f>
        <v>88.44</v>
      </c>
      <c r="F9" s="22">
        <v>0</v>
      </c>
      <c r="G9" s="22" t="str">
        <f>IFERROR(INDEX([2]Sheet1!B:B, MATCH(B9, [2]Sheet1!A:A, 0)), "0.00")</f>
        <v>0.00</v>
      </c>
      <c r="H9" s="22">
        <f t="shared" si="1"/>
        <v>0</v>
      </c>
    </row>
    <row r="10" spans="1:8" ht="17.399999999999999" x14ac:dyDescent="0.25">
      <c r="A10" s="20">
        <v>6</v>
      </c>
      <c r="B10" s="20" t="s">
        <v>214</v>
      </c>
      <c r="C10" s="21" t="s">
        <v>211</v>
      </c>
      <c r="D10" s="22">
        <f>IFERROR(VLOOKUP(B10,结果!A:B,2,FALSE),0)</f>
        <v>0</v>
      </c>
      <c r="E10" s="22">
        <f>VLOOKUP(B10,[1]结果!A:B,2,FALSE)</f>
        <v>88.88</v>
      </c>
      <c r="F10" s="22">
        <v>0</v>
      </c>
      <c r="G10" s="22" t="str">
        <f>IFERROR(INDEX([2]Sheet1!B:B, MATCH(B10, [2]Sheet1!A:A, 0)), "0.00")</f>
        <v>0.00</v>
      </c>
      <c r="H10" s="22">
        <f t="shared" si="1"/>
        <v>0</v>
      </c>
    </row>
    <row r="11" spans="1:8" ht="17.399999999999999" x14ac:dyDescent="0.25">
      <c r="A11" s="20">
        <v>7</v>
      </c>
      <c r="B11" s="20" t="s">
        <v>258</v>
      </c>
      <c r="C11" s="21" t="s">
        <v>211</v>
      </c>
      <c r="D11" s="22">
        <f>IFERROR(VLOOKUP(B11,结果!A:B,2,FALSE),0)</f>
        <v>0</v>
      </c>
      <c r="E11" s="22">
        <f>VLOOKUP("纪委办公室",[1]结果!A:B,2,FALSE)</f>
        <v>89.3</v>
      </c>
      <c r="F11" s="22">
        <v>0</v>
      </c>
      <c r="G11" s="22" t="str">
        <f>IFERROR(INDEX([2]Sheet1!B:B, MATCH(B11, [2]Sheet1!A:A, 0)), "0.00")</f>
        <v>0.00</v>
      </c>
      <c r="H11" s="22">
        <f t="shared" si="1"/>
        <v>0</v>
      </c>
    </row>
    <row r="12" spans="1:8" ht="17.399999999999999" x14ac:dyDescent="0.25">
      <c r="A12" s="20">
        <v>8</v>
      </c>
      <c r="B12" s="20" t="s">
        <v>215</v>
      </c>
      <c r="C12" s="21" t="s">
        <v>211</v>
      </c>
      <c r="D12" s="22">
        <f>IFERROR(VLOOKUP(B12,结果!A:B,2,FALSE),0)</f>
        <v>0</v>
      </c>
      <c r="E12" s="22">
        <f>VLOOKUP(B12,[1]结果!A:B,2,FALSE)</f>
        <v>88.02</v>
      </c>
      <c r="F12" s="22">
        <v>0</v>
      </c>
      <c r="G12" s="22" t="str">
        <f>IFERROR(INDEX([2]Sheet1!B:B, MATCH(B12, [2]Sheet1!A:A, 0)), "0.00")</f>
        <v>0.00</v>
      </c>
      <c r="H12" s="22">
        <f t="shared" si="1"/>
        <v>0</v>
      </c>
    </row>
    <row r="13" spans="1:8" ht="17.399999999999999" x14ac:dyDescent="0.25">
      <c r="A13" s="20">
        <v>9</v>
      </c>
      <c r="B13" s="20" t="s">
        <v>216</v>
      </c>
      <c r="C13" s="21" t="s">
        <v>211</v>
      </c>
      <c r="D13" s="22">
        <f>IFERROR(VLOOKUP(B13,结果!A:B,2,FALSE),0)</f>
        <v>0</v>
      </c>
      <c r="E13" s="22">
        <f>VLOOKUP(B13,[1]结果!A:B,2,FALSE)</f>
        <v>88.88</v>
      </c>
      <c r="F13" s="22">
        <v>0</v>
      </c>
      <c r="G13" s="22" t="str">
        <f>IFERROR(INDEX([2]Sheet1!B:B, MATCH(B13, [2]Sheet1!A:A, 0)), "0.00")</f>
        <v>0.00</v>
      </c>
      <c r="H13" s="22">
        <f t="shared" si="1"/>
        <v>0</v>
      </c>
    </row>
    <row r="14" spans="1:8" ht="17.399999999999999" x14ac:dyDescent="0.25">
      <c r="A14" s="20">
        <v>10</v>
      </c>
      <c r="B14" s="20" t="s">
        <v>217</v>
      </c>
      <c r="C14" s="21" t="s">
        <v>211</v>
      </c>
      <c r="D14" s="22">
        <f>IFERROR(VLOOKUP(B14,结果!A:B,2,FALSE),0)</f>
        <v>0</v>
      </c>
      <c r="E14" s="22">
        <f>VLOOKUP(B14,[1]结果!A:B,2,FALSE)</f>
        <v>88.44</v>
      </c>
      <c r="F14" s="22">
        <v>0</v>
      </c>
      <c r="G14" s="22" t="str">
        <f>IFERROR(INDEX([2]Sheet1!B:B, MATCH(B14, [2]Sheet1!A:A, 0)), "0.00")</f>
        <v>0.00</v>
      </c>
      <c r="H14" s="22">
        <f t="shared" si="1"/>
        <v>0</v>
      </c>
    </row>
    <row r="15" spans="1:8" ht="17.399999999999999" x14ac:dyDescent="0.25">
      <c r="A15" s="20">
        <v>11</v>
      </c>
      <c r="B15" s="20" t="s">
        <v>218</v>
      </c>
      <c r="C15" s="21" t="s">
        <v>211</v>
      </c>
      <c r="D15" s="22">
        <f>IFERROR(VLOOKUP(B15,结果!A:B,2,FALSE),0)</f>
        <v>0</v>
      </c>
      <c r="E15" s="22">
        <f>VLOOKUP(B15,[1]结果!A:B,2,FALSE)</f>
        <v>88.44</v>
      </c>
      <c r="F15" s="22">
        <v>0</v>
      </c>
      <c r="G15" s="22" t="str">
        <f>IFERROR(INDEX([2]Sheet1!B:B, MATCH(B15, [2]Sheet1!A:A, 0)), "0.00")</f>
        <v>0.00</v>
      </c>
      <c r="H15" s="22">
        <f t="shared" si="1"/>
        <v>0</v>
      </c>
    </row>
    <row r="16" spans="1:8" ht="17.399999999999999" x14ac:dyDescent="0.25">
      <c r="A16" s="20">
        <v>12</v>
      </c>
      <c r="B16" s="20" t="s">
        <v>219</v>
      </c>
      <c r="C16" s="21" t="s">
        <v>211</v>
      </c>
      <c r="D16" s="22">
        <f>IFERROR(VLOOKUP(B16,结果!A:B,2,FALSE),0)</f>
        <v>0</v>
      </c>
      <c r="E16" s="22">
        <f>VLOOKUP(B16,[1]结果!A:B,2,FALSE)</f>
        <v>88.44</v>
      </c>
      <c r="F16" s="22">
        <v>0</v>
      </c>
      <c r="G16" s="22" t="str">
        <f>IFERROR(INDEX([2]Sheet1!B:B, MATCH(B16, [2]Sheet1!A:A, 0)), "0.00")</f>
        <v>0.00</v>
      </c>
      <c r="H16" s="22">
        <f t="shared" si="1"/>
        <v>0</v>
      </c>
    </row>
    <row r="17" spans="1:8" ht="17.399999999999999" x14ac:dyDescent="0.25">
      <c r="A17" s="20">
        <v>13</v>
      </c>
      <c r="B17" s="20" t="s">
        <v>220</v>
      </c>
      <c r="C17" s="21" t="s">
        <v>211</v>
      </c>
      <c r="D17" s="22">
        <f>IFERROR(VLOOKUP(B17,结果!A:B,2,FALSE),0)</f>
        <v>0</v>
      </c>
      <c r="E17" s="22">
        <f>VLOOKUP(B17,[1]结果!A:B,2,FALSE)</f>
        <v>88.02</v>
      </c>
      <c r="F17" s="22">
        <v>0</v>
      </c>
      <c r="G17" s="22" t="str">
        <f>IFERROR(INDEX([2]Sheet1!B:B, MATCH(B17, [2]Sheet1!A:A, 0)), "0.00")</f>
        <v>0.00</v>
      </c>
      <c r="H17" s="22">
        <f t="shared" si="1"/>
        <v>0</v>
      </c>
    </row>
    <row r="18" spans="1:8" ht="17.399999999999999" x14ac:dyDescent="0.25">
      <c r="A18" s="20">
        <v>14</v>
      </c>
      <c r="B18" s="20" t="s">
        <v>221</v>
      </c>
      <c r="C18" s="21" t="s">
        <v>211</v>
      </c>
      <c r="D18" s="22">
        <f>IFERROR(VLOOKUP(B18,结果!A:B,2,FALSE),0)</f>
        <v>0</v>
      </c>
      <c r="E18" s="22">
        <f>VLOOKUP(B18,[1]结果!A:B,2,FALSE)</f>
        <v>88.44</v>
      </c>
      <c r="F18" s="22">
        <v>0</v>
      </c>
      <c r="G18" s="22" t="str">
        <f>IFERROR(INDEX([2]Sheet1!B:B, MATCH(B18, [2]Sheet1!A:A, 0)), "0.00")</f>
        <v>0.00</v>
      </c>
      <c r="H18" s="22">
        <f t="shared" si="1"/>
        <v>0</v>
      </c>
    </row>
    <row r="19" spans="1:8" ht="17.399999999999999" x14ac:dyDescent="0.25">
      <c r="A19" s="20">
        <v>15</v>
      </c>
      <c r="B19" s="20" t="s">
        <v>222</v>
      </c>
      <c r="C19" s="21" t="s">
        <v>211</v>
      </c>
      <c r="D19" s="22">
        <f>IFERROR(VLOOKUP(B19,结果!A:B,2,FALSE),0)</f>
        <v>0</v>
      </c>
      <c r="E19" s="22">
        <f>VLOOKUP(B19,[1]结果!A:B,2,FALSE)</f>
        <v>88.02</v>
      </c>
      <c r="F19" s="22">
        <v>0</v>
      </c>
      <c r="G19" s="22" t="str">
        <f>IFERROR(INDEX([2]Sheet1!B:B, MATCH(B19, [2]Sheet1!A:A, 0)), "0.00")</f>
        <v>0.00</v>
      </c>
      <c r="H19" s="22">
        <f t="shared" si="1"/>
        <v>0</v>
      </c>
    </row>
    <row r="20" spans="1:8" ht="17.399999999999999" x14ac:dyDescent="0.25">
      <c r="A20" s="20">
        <v>16</v>
      </c>
      <c r="B20" s="20" t="s">
        <v>223</v>
      </c>
      <c r="C20" s="21" t="s">
        <v>211</v>
      </c>
      <c r="D20" s="22">
        <f>IFERROR(VLOOKUP(B20,结果!A:B,2,FALSE),0)</f>
        <v>0</v>
      </c>
      <c r="E20" s="22">
        <f>VLOOKUP(B20,[1]结果!A:B,2,FALSE)</f>
        <v>88.88</v>
      </c>
      <c r="F20" s="22">
        <v>0</v>
      </c>
      <c r="G20" s="22" t="str">
        <f>IFERROR(INDEX([2]Sheet1!B:B, MATCH(B20, [2]Sheet1!A:A, 0)), "0.00")</f>
        <v>0.00</v>
      </c>
      <c r="H20" s="22">
        <f t="shared" si="1"/>
        <v>0</v>
      </c>
    </row>
    <row r="21" spans="1:8" ht="17.399999999999999" x14ac:dyDescent="0.25">
      <c r="A21" s="20">
        <v>17</v>
      </c>
      <c r="B21" s="20" t="s">
        <v>224</v>
      </c>
      <c r="C21" s="21" t="s">
        <v>211</v>
      </c>
      <c r="D21" s="22">
        <f>IFERROR(VLOOKUP(B21,结果!A:B,2,FALSE),0)</f>
        <v>0</v>
      </c>
      <c r="E21" s="22">
        <f>VLOOKUP(B21,[1]结果!A:B,2,FALSE)</f>
        <v>87.16</v>
      </c>
      <c r="F21" s="22">
        <v>0</v>
      </c>
      <c r="G21" s="22" t="str">
        <f>IFERROR(INDEX([2]Sheet1!B:B, MATCH(B21, [2]Sheet1!A:A, 0)), "0.00")</f>
        <v>0.00</v>
      </c>
      <c r="H21" s="22">
        <f t="shared" si="1"/>
        <v>0</v>
      </c>
    </row>
    <row r="22" spans="1:8" ht="17.399999999999999" x14ac:dyDescent="0.25">
      <c r="A22" s="20">
        <v>18</v>
      </c>
      <c r="B22" s="20" t="s">
        <v>225</v>
      </c>
      <c r="C22" s="21" t="s">
        <v>211</v>
      </c>
      <c r="D22" s="22">
        <f>IFERROR(VLOOKUP(B22,结果!A:B,2,FALSE),0)</f>
        <v>0</v>
      </c>
      <c r="E22" s="22">
        <f>VLOOKUP(B22,[1]结果!A:B,2,FALSE)</f>
        <v>88.44</v>
      </c>
      <c r="F22" s="22">
        <v>0</v>
      </c>
      <c r="G22" s="22" t="str">
        <f>IFERROR(INDEX([2]Sheet1!B:B, MATCH(B22, [2]Sheet1!A:A, 0)), "0.00")</f>
        <v>0.00</v>
      </c>
      <c r="H22" s="22">
        <f t="shared" si="1"/>
        <v>0</v>
      </c>
    </row>
    <row r="23" spans="1:8" ht="17.399999999999999" x14ac:dyDescent="0.25">
      <c r="A23" s="20">
        <v>19</v>
      </c>
      <c r="B23" s="20" t="s">
        <v>226</v>
      </c>
      <c r="C23" s="21" t="s">
        <v>211</v>
      </c>
      <c r="D23" s="22">
        <f>IFERROR(VLOOKUP(B23,结果!A:B,2,FALSE),0)</f>
        <v>0</v>
      </c>
      <c r="E23" s="22">
        <f>VLOOKUP(B23,[1]结果!A:B,2,FALSE)</f>
        <v>87.59</v>
      </c>
      <c r="F23" s="22">
        <v>0</v>
      </c>
      <c r="G23" s="22">
        <f>IFERROR(INDEX([2]Sheet1!B:B, MATCH(B23, [2]Sheet1!A:A, 0)), "0.00")</f>
        <v>1140</v>
      </c>
      <c r="H23" s="22">
        <f t="shared" si="1"/>
        <v>1140</v>
      </c>
    </row>
    <row r="24" spans="1:8" ht="17.399999999999999" x14ac:dyDescent="0.25">
      <c r="A24" s="20">
        <v>20</v>
      </c>
      <c r="B24" s="20" t="s">
        <v>227</v>
      </c>
      <c r="C24" s="21" t="s">
        <v>211</v>
      </c>
      <c r="D24" s="22">
        <f>IFERROR(VLOOKUP(B24,结果!A:B,2,FALSE),0)</f>
        <v>0</v>
      </c>
      <c r="E24" s="22">
        <f>VLOOKUP(B24,[1]结果!A:B,2,FALSE)</f>
        <v>87.16</v>
      </c>
      <c r="F24" s="22">
        <v>0</v>
      </c>
      <c r="G24" s="22" t="str">
        <f>IFERROR(INDEX([2]Sheet1!B:B, MATCH(B24, [2]Sheet1!A:A, 0)), "0.00")</f>
        <v>0.00</v>
      </c>
      <c r="H24" s="22">
        <f t="shared" si="1"/>
        <v>0</v>
      </c>
    </row>
    <row r="25" spans="1:8" ht="17.399999999999999" x14ac:dyDescent="0.25">
      <c r="A25" s="20">
        <v>21</v>
      </c>
      <c r="B25" s="20" t="s">
        <v>228</v>
      </c>
      <c r="C25" s="21" t="s">
        <v>211</v>
      </c>
      <c r="D25" s="22">
        <f>IFERROR(VLOOKUP(B25,结果!A:B,2,FALSE),0)</f>
        <v>0</v>
      </c>
      <c r="E25" s="22">
        <f>VLOOKUP(B25,[1]结果!A:B,2,FALSE)</f>
        <v>88.02</v>
      </c>
      <c r="F25" s="22">
        <v>0</v>
      </c>
      <c r="G25" s="22" t="str">
        <f>IFERROR(INDEX([2]Sheet1!B:B, MATCH(B25, [2]Sheet1!A:A, 0)), "0.00")</f>
        <v>0.00</v>
      </c>
      <c r="H25" s="22">
        <f t="shared" si="1"/>
        <v>0</v>
      </c>
    </row>
    <row r="26" spans="1:8" ht="17.399999999999999" x14ac:dyDescent="0.25">
      <c r="A26" s="20">
        <v>22</v>
      </c>
      <c r="B26" s="20" t="s">
        <v>260</v>
      </c>
      <c r="C26" s="21" t="s">
        <v>211</v>
      </c>
      <c r="D26" s="22">
        <f>IFERROR(VLOOKUP(B26,结果!A:B,2,FALSE),0)</f>
        <v>0</v>
      </c>
      <c r="E26" s="22">
        <f>VLOOKUP(B26,[1]结果!A:B,2,FALSE)</f>
        <v>88.02</v>
      </c>
      <c r="F26" s="22">
        <v>0</v>
      </c>
      <c r="G26" s="22" t="str">
        <f>IFERROR(INDEX([2]Sheet1!B:B, MATCH(B26, [2]Sheet1!A:A, 0)), "0.00")</f>
        <v>0.00</v>
      </c>
      <c r="H26" s="22">
        <f t="shared" si="1"/>
        <v>0</v>
      </c>
    </row>
    <row r="27" spans="1:8" ht="17.399999999999999" x14ac:dyDescent="0.25">
      <c r="A27" s="20">
        <v>23</v>
      </c>
      <c r="B27" s="20" t="s">
        <v>229</v>
      </c>
      <c r="C27" s="21" t="s">
        <v>211</v>
      </c>
      <c r="D27" s="22">
        <f>IFERROR(VLOOKUP(B27,结果!A:B,2,FALSE),0)</f>
        <v>0</v>
      </c>
      <c r="E27" s="22">
        <f>VLOOKUP(B27,[1]结果!A:B,2,FALSE)</f>
        <v>87.16</v>
      </c>
      <c r="F27" s="22">
        <v>0</v>
      </c>
      <c r="G27" s="22" t="str">
        <f>IFERROR(INDEX([2]Sheet1!B:B, MATCH(B27, [2]Sheet1!A:A, 0)), "0.00")</f>
        <v>0.00</v>
      </c>
      <c r="H27" s="22">
        <f t="shared" si="1"/>
        <v>0</v>
      </c>
    </row>
    <row r="28" spans="1:8" ht="17.399999999999999" x14ac:dyDescent="0.25">
      <c r="A28" s="20">
        <v>24</v>
      </c>
      <c r="B28" s="20" t="s">
        <v>230</v>
      </c>
      <c r="C28" s="21" t="s">
        <v>211</v>
      </c>
      <c r="D28" s="22">
        <f>IFERROR(VLOOKUP(B28,结果!A:B,2,FALSE),0)</f>
        <v>0</v>
      </c>
      <c r="E28" s="22">
        <f>VLOOKUP(B28,[1]结果!A:B,2,FALSE)</f>
        <v>88.44</v>
      </c>
      <c r="F28" s="22">
        <v>0</v>
      </c>
      <c r="G28" s="22" t="str">
        <f>IFERROR(INDEX([2]Sheet1!B:B, MATCH(B28, [2]Sheet1!A:A, 0)), "0.00")</f>
        <v>0.00</v>
      </c>
      <c r="H28" s="22">
        <f t="shared" si="1"/>
        <v>0</v>
      </c>
    </row>
    <row r="29" spans="1:8" ht="17.399999999999999" x14ac:dyDescent="0.25">
      <c r="A29" s="20">
        <v>25</v>
      </c>
      <c r="B29" s="20" t="s">
        <v>231</v>
      </c>
      <c r="C29" s="21" t="s">
        <v>211</v>
      </c>
      <c r="D29" s="22">
        <f>IFERROR(VLOOKUP(B29,结果!A:B,2,FALSE),0)</f>
        <v>0</v>
      </c>
      <c r="E29" s="22">
        <f>VLOOKUP(B29,[1]结果!A:B,2,FALSE)</f>
        <v>88.88</v>
      </c>
      <c r="F29" s="22">
        <v>0</v>
      </c>
      <c r="G29" s="22" t="str">
        <f>IFERROR(INDEX([2]Sheet1!B:B, MATCH(B29, [2]Sheet1!A:A, 0)), "0.00")</f>
        <v>0.00</v>
      </c>
      <c r="H29" s="22">
        <f t="shared" si="1"/>
        <v>0</v>
      </c>
    </row>
    <row r="30" spans="1:8" ht="17.399999999999999" x14ac:dyDescent="0.25">
      <c r="A30" s="20">
        <v>26</v>
      </c>
      <c r="B30" s="20" t="s">
        <v>232</v>
      </c>
      <c r="C30" s="21" t="s">
        <v>211</v>
      </c>
      <c r="D30" s="22">
        <f>IFERROR(VLOOKUP(B30,结果!A:B,2,FALSE),0)</f>
        <v>0</v>
      </c>
      <c r="E30" s="22">
        <f>VLOOKUP(B30,[1]结果!A:B,2,FALSE)</f>
        <v>88.44</v>
      </c>
      <c r="F30" s="22">
        <v>0</v>
      </c>
      <c r="G30" s="22" t="str">
        <f>IFERROR(INDEX([2]Sheet1!B:B, MATCH(B30, [2]Sheet1!A:A, 0)), "0.00")</f>
        <v>0.00</v>
      </c>
      <c r="H30" s="22">
        <f t="shared" si="1"/>
        <v>0</v>
      </c>
    </row>
    <row r="31" spans="1:8" ht="17.399999999999999" x14ac:dyDescent="0.25">
      <c r="A31" s="20">
        <v>27</v>
      </c>
      <c r="B31" s="20" t="s">
        <v>233</v>
      </c>
      <c r="C31" s="21" t="s">
        <v>211</v>
      </c>
      <c r="D31" s="22">
        <f>IFERROR(VLOOKUP(B31,结果!A:B,2,FALSE),0)</f>
        <v>0</v>
      </c>
      <c r="E31" s="22">
        <f>VLOOKUP(B31,[1]结果!A:B,2,FALSE)</f>
        <v>88.02</v>
      </c>
      <c r="F31" s="22">
        <v>0</v>
      </c>
      <c r="G31" s="22" t="str">
        <f>IFERROR(INDEX([2]Sheet1!B:B, MATCH(B31, [2]Sheet1!A:A, 0)), "0.00")</f>
        <v>0.00</v>
      </c>
      <c r="H31" s="22">
        <f t="shared" si="1"/>
        <v>0</v>
      </c>
    </row>
    <row r="32" spans="1:8" ht="17.399999999999999" x14ac:dyDescent="0.25">
      <c r="A32" s="20">
        <v>28</v>
      </c>
      <c r="B32" s="20" t="s">
        <v>234</v>
      </c>
      <c r="C32" s="21" t="s">
        <v>211</v>
      </c>
      <c r="D32" s="22">
        <f>IFERROR(VLOOKUP(B32,结果!A:B,2,FALSE),0)</f>
        <v>0</v>
      </c>
      <c r="E32" s="22">
        <f>VLOOKUP(B32,[1]结果!A:B,2,FALSE)</f>
        <v>88.44</v>
      </c>
      <c r="F32" s="22">
        <v>0</v>
      </c>
      <c r="G32" s="22" t="str">
        <f>IFERROR(INDEX([2]Sheet1!B:B, MATCH(B32, [2]Sheet1!A:A, 0)), "0.00")</f>
        <v>0.00</v>
      </c>
      <c r="H32" s="22">
        <f t="shared" si="1"/>
        <v>0</v>
      </c>
    </row>
    <row r="33" spans="1:8" ht="17.399999999999999" x14ac:dyDescent="0.25">
      <c r="A33" s="20">
        <v>29</v>
      </c>
      <c r="B33" s="20" t="s">
        <v>235</v>
      </c>
      <c r="C33" s="21" t="s">
        <v>211</v>
      </c>
      <c r="D33" s="22">
        <f>IFERROR(VLOOKUP(B33,结果!A:B,2,FALSE),0)</f>
        <v>0</v>
      </c>
      <c r="E33" s="22">
        <f>VLOOKUP(B33,[1]结果!A:B,2,FALSE)</f>
        <v>88.02</v>
      </c>
      <c r="F33" s="22">
        <v>0</v>
      </c>
      <c r="G33" s="22" t="str">
        <f>IFERROR(INDEX([2]Sheet1!B:B, MATCH(B33, [2]Sheet1!A:A, 0)), "0.00")</f>
        <v>0.00</v>
      </c>
      <c r="H33" s="22">
        <f t="shared" si="1"/>
        <v>0</v>
      </c>
    </row>
    <row r="34" spans="1:8" ht="17.399999999999999" x14ac:dyDescent="0.25">
      <c r="A34" s="20">
        <v>30</v>
      </c>
      <c r="B34" s="20" t="s">
        <v>236</v>
      </c>
      <c r="C34" s="21" t="s">
        <v>211</v>
      </c>
      <c r="D34" s="22">
        <f>IFERROR(VLOOKUP(B34,结果!A:B,2,FALSE),0)</f>
        <v>0</v>
      </c>
      <c r="E34" s="22">
        <f>VLOOKUP(B34,[1]结果!A:B,2,FALSE)</f>
        <v>88.02</v>
      </c>
      <c r="F34" s="22">
        <v>0</v>
      </c>
      <c r="G34" s="22" t="str">
        <f>IFERROR(INDEX([2]Sheet1!B:B, MATCH(B34, [2]Sheet1!A:A, 0)), "0.00")</f>
        <v>0.00</v>
      </c>
      <c r="H34" s="22">
        <f t="shared" si="1"/>
        <v>0</v>
      </c>
    </row>
    <row r="35" spans="1:8" ht="17.399999999999999" x14ac:dyDescent="0.25">
      <c r="A35" s="20">
        <v>31</v>
      </c>
      <c r="B35" s="20" t="s">
        <v>237</v>
      </c>
      <c r="C35" s="21" t="s">
        <v>211</v>
      </c>
      <c r="D35" s="22">
        <f>IFERROR(VLOOKUP(B35,结果!A:B,2,FALSE),0)</f>
        <v>0</v>
      </c>
      <c r="E35" s="22">
        <f>VLOOKUP(B35,[1]结果!A:B,2,FALSE)</f>
        <v>87.16</v>
      </c>
      <c r="F35" s="22">
        <v>0</v>
      </c>
      <c r="G35" s="22" t="str">
        <f>IFERROR(INDEX([2]Sheet1!B:B, MATCH(B35, [2]Sheet1!A:A, 0)), "0.00")</f>
        <v>0.00</v>
      </c>
      <c r="H35" s="22">
        <f t="shared" si="1"/>
        <v>0</v>
      </c>
    </row>
    <row r="36" spans="1:8" ht="17.399999999999999" x14ac:dyDescent="0.25">
      <c r="A36" s="20">
        <v>32</v>
      </c>
      <c r="B36" s="20" t="s">
        <v>238</v>
      </c>
      <c r="C36" s="21" t="s">
        <v>211</v>
      </c>
      <c r="D36" s="22">
        <f>IFERROR(VLOOKUP(B36,结果!A:B,2,FALSE),0)</f>
        <v>0</v>
      </c>
      <c r="E36" s="22">
        <f>VLOOKUP(B36,[1]结果!A:B,2,FALSE)</f>
        <v>88.02</v>
      </c>
      <c r="F36" s="22">
        <v>0</v>
      </c>
      <c r="G36" s="22" t="str">
        <f>IFERROR(INDEX([2]Sheet1!B:B, MATCH(B36, [2]Sheet1!A:A, 0)), "0.00")</f>
        <v>0.00</v>
      </c>
      <c r="H36" s="22">
        <f t="shared" si="1"/>
        <v>0</v>
      </c>
    </row>
    <row r="37" spans="1:8" ht="17.399999999999999" x14ac:dyDescent="0.25">
      <c r="A37" s="20">
        <v>33</v>
      </c>
      <c r="B37" s="20" t="s">
        <v>239</v>
      </c>
      <c r="C37" s="21" t="s">
        <v>211</v>
      </c>
      <c r="D37" s="22">
        <f>IFERROR(VLOOKUP(B37,结果!A:B,2,FALSE),0)</f>
        <v>0</v>
      </c>
      <c r="E37" s="22">
        <f>VLOOKUP(B37,[1]结果!A:B,2,FALSE)</f>
        <v>0</v>
      </c>
      <c r="F37" s="22">
        <v>0</v>
      </c>
      <c r="G37" s="22" t="str">
        <f>IFERROR(INDEX([2]Sheet1!B:B, MATCH(B37, [2]Sheet1!A:A, 0)), "0.00")</f>
        <v>0.00</v>
      </c>
      <c r="H37" s="22">
        <f t="shared" si="1"/>
        <v>0</v>
      </c>
    </row>
    <row r="38" spans="1:8" ht="17.399999999999999" x14ac:dyDescent="0.25">
      <c r="A38" s="20">
        <v>34</v>
      </c>
      <c r="B38" s="20" t="s">
        <v>240</v>
      </c>
      <c r="C38" s="21" t="s">
        <v>211</v>
      </c>
      <c r="D38" s="22">
        <f>IFERROR(VLOOKUP(B38,结果!A:B,2,FALSE),0)</f>
        <v>0</v>
      </c>
      <c r="E38" s="22">
        <f>VLOOKUP(B38,[1]结果!A:B,2,FALSE)</f>
        <v>0</v>
      </c>
      <c r="F38" s="22">
        <v>0</v>
      </c>
      <c r="G38" s="22" t="str">
        <f>IFERROR(INDEX([2]Sheet1!B:B, MATCH(B38, [2]Sheet1!A:A, 0)), "0.00")</f>
        <v>0.00</v>
      </c>
      <c r="H38" s="22">
        <f t="shared" si="1"/>
        <v>0</v>
      </c>
    </row>
    <row r="39" spans="1:8" ht="17.399999999999999" x14ac:dyDescent="0.25">
      <c r="A39" s="29">
        <v>35</v>
      </c>
      <c r="B39" s="29" t="s">
        <v>259</v>
      </c>
      <c r="C39" s="21" t="s">
        <v>211</v>
      </c>
      <c r="D39" s="22">
        <f>IFERROR(VLOOKUP(B39,结果!A:B,2,FALSE),0)</f>
        <v>0</v>
      </c>
      <c r="E39" s="22">
        <f>E26</f>
        <v>88.02</v>
      </c>
      <c r="F39" s="22">
        <v>0</v>
      </c>
      <c r="G39" s="22">
        <f>IFERROR(INDEX([2]Sheet1!B:B, MATCH(B39, [2]Sheet1!A:A, 0)), "0.00")</f>
        <v>150</v>
      </c>
      <c r="H39" s="22">
        <f t="shared" ref="H39" si="2">F39+G39</f>
        <v>150</v>
      </c>
    </row>
    <row r="40" spans="1:8" ht="17.399999999999999" x14ac:dyDescent="0.25">
      <c r="A40" s="29">
        <v>36</v>
      </c>
      <c r="B40" s="20" t="s">
        <v>80</v>
      </c>
      <c r="C40" s="21" t="s">
        <v>241</v>
      </c>
      <c r="D40" s="22">
        <f>VLOOKUP(B40,结果!A:B,2,FALSE)</f>
        <v>101249.18</v>
      </c>
      <c r="E40" s="22">
        <f>VLOOKUP(B40,[1]结果!A:B,2,FALSE)</f>
        <v>92.64</v>
      </c>
      <c r="F40" s="22">
        <f t="shared" si="0"/>
        <v>93797.240351999993</v>
      </c>
      <c r="G40" s="22">
        <f>IFERROR(INDEX([2]Sheet1!B:B, MATCH(B40, [2]Sheet1!A:A, 0)), "0.00")</f>
        <v>2700</v>
      </c>
      <c r="H40" s="22">
        <f t="shared" si="1"/>
        <v>96497.240351999993</v>
      </c>
    </row>
    <row r="41" spans="1:8" ht="17.399999999999999" x14ac:dyDescent="0.25">
      <c r="A41" s="29">
        <v>37</v>
      </c>
      <c r="B41" s="20" t="s">
        <v>81</v>
      </c>
      <c r="C41" s="21" t="s">
        <v>241</v>
      </c>
      <c r="D41" s="22">
        <f>VLOOKUP(B41,结果!A:B,2,FALSE)</f>
        <v>109600.52</v>
      </c>
      <c r="E41" s="22">
        <f>VLOOKUP(B41,[1]结果!A:B,2,FALSE)</f>
        <v>92.9</v>
      </c>
      <c r="F41" s="22">
        <f t="shared" si="0"/>
        <v>101818.88308000001</v>
      </c>
      <c r="G41" s="22">
        <f>IFERROR(INDEX([2]Sheet1!B:B, MATCH(B41, [2]Sheet1!A:A, 0)), "0.00")</f>
        <v>2700</v>
      </c>
      <c r="H41" s="22">
        <f t="shared" si="1"/>
        <v>104518.88308000001</v>
      </c>
    </row>
    <row r="42" spans="1:8" ht="17.399999999999999" x14ac:dyDescent="0.25">
      <c r="A42" s="29">
        <v>38</v>
      </c>
      <c r="B42" s="20" t="s">
        <v>82</v>
      </c>
      <c r="C42" s="21" t="s">
        <v>241</v>
      </c>
      <c r="D42" s="22">
        <f>VLOOKUP(B42,结果!A:B,2,FALSE)</f>
        <v>61797.79</v>
      </c>
      <c r="E42" s="22">
        <f>VLOOKUP(B42,[1]结果!A:B,2,FALSE)</f>
        <v>89.96</v>
      </c>
      <c r="F42" s="22">
        <f t="shared" si="0"/>
        <v>55593.291883999998</v>
      </c>
      <c r="G42" s="22">
        <f>IFERROR(INDEX([2]Sheet1!B:B, MATCH(B42, [2]Sheet1!A:A, 0)), "0.00")</f>
        <v>-838.23</v>
      </c>
      <c r="H42" s="22">
        <f t="shared" si="1"/>
        <v>54755.061883999995</v>
      </c>
    </row>
    <row r="43" spans="1:8" ht="17.399999999999999" x14ac:dyDescent="0.25">
      <c r="A43" s="29">
        <v>39</v>
      </c>
      <c r="B43" s="20" t="s">
        <v>83</v>
      </c>
      <c r="C43" s="21" t="s">
        <v>241</v>
      </c>
      <c r="D43" s="22">
        <f>VLOOKUP(B43,结果!A:B,2,FALSE)</f>
        <v>36235.870000000003</v>
      </c>
      <c r="E43" s="22">
        <f>VLOOKUP(B43,[1]结果!A:B,2,FALSE)</f>
        <v>93.65</v>
      </c>
      <c r="F43" s="22">
        <f t="shared" si="0"/>
        <v>33934.892255000006</v>
      </c>
      <c r="G43" s="22">
        <f>IFERROR(INDEX([2]Sheet1!B:B, MATCH(B43, [2]Sheet1!A:A, 0)), "0.00")</f>
        <v>5450</v>
      </c>
      <c r="H43" s="22">
        <f t="shared" si="1"/>
        <v>39384.892255000006</v>
      </c>
    </row>
    <row r="44" spans="1:8" ht="17.399999999999999" x14ac:dyDescent="0.25">
      <c r="A44" s="29">
        <v>40</v>
      </c>
      <c r="B44" s="20" t="s">
        <v>84</v>
      </c>
      <c r="C44" s="21" t="s">
        <v>241</v>
      </c>
      <c r="D44" s="22">
        <f>VLOOKUP(B44,结果!A:B,2,FALSE)</f>
        <v>57823.89</v>
      </c>
      <c r="E44" s="22">
        <f>VLOOKUP(B44,[1]结果!A:B,2,FALSE)</f>
        <v>88.11</v>
      </c>
      <c r="F44" s="22">
        <f t="shared" si="0"/>
        <v>50948.629478999996</v>
      </c>
      <c r="G44" s="22">
        <f>IFERROR(INDEX([2]Sheet1!B:B, MATCH(B44, [2]Sheet1!A:A, 0)), "0.00")</f>
        <v>2780</v>
      </c>
      <c r="H44" s="22">
        <f t="shared" si="1"/>
        <v>53728.629478999996</v>
      </c>
    </row>
    <row r="45" spans="1:8" ht="17.399999999999999" x14ac:dyDescent="0.25">
      <c r="A45" s="29">
        <v>41</v>
      </c>
      <c r="B45" s="20" t="s">
        <v>85</v>
      </c>
      <c r="C45" s="21" t="s">
        <v>241</v>
      </c>
      <c r="D45" s="22">
        <f>VLOOKUP(B45,结果!A:B,2,FALSE)</f>
        <v>43936.79</v>
      </c>
      <c r="E45" s="22">
        <f>VLOOKUP(B45,[1]结果!A:B,2,FALSE)</f>
        <v>96.59</v>
      </c>
      <c r="F45" s="22">
        <f t="shared" si="0"/>
        <v>42438.545461000002</v>
      </c>
      <c r="G45" s="22">
        <f>IFERROR(INDEX([2]Sheet1!B:B, MATCH(B45, [2]Sheet1!A:A, 0)), "0.00")</f>
        <v>5680</v>
      </c>
      <c r="H45" s="22">
        <f t="shared" si="1"/>
        <v>48118.545461000002</v>
      </c>
    </row>
    <row r="46" spans="1:8" ht="17.399999999999999" x14ac:dyDescent="0.25">
      <c r="A46" s="29">
        <v>42</v>
      </c>
      <c r="B46" s="20" t="s">
        <v>86</v>
      </c>
      <c r="C46" s="21" t="s">
        <v>241</v>
      </c>
      <c r="D46" s="22">
        <f>VLOOKUP(B46,结果!A:B,2,FALSE)</f>
        <v>113669.33</v>
      </c>
      <c r="E46" s="22">
        <f>VLOOKUP(B46,[1]结果!A:B,2,FALSE)</f>
        <v>92.89</v>
      </c>
      <c r="F46" s="22">
        <f t="shared" si="0"/>
        <v>105587.44063700001</v>
      </c>
      <c r="G46" s="22">
        <f>IFERROR(INDEX([2]Sheet1!B:B, MATCH(B46, [2]Sheet1!A:A, 0)), "0.00")</f>
        <v>8100</v>
      </c>
      <c r="H46" s="22">
        <f t="shared" si="1"/>
        <v>113687.44063700001</v>
      </c>
    </row>
    <row r="47" spans="1:8" ht="17.399999999999999" x14ac:dyDescent="0.25">
      <c r="A47" s="29">
        <v>43</v>
      </c>
      <c r="B47" s="20" t="s">
        <v>87</v>
      </c>
      <c r="C47" s="21" t="s">
        <v>241</v>
      </c>
      <c r="D47" s="22">
        <f>VLOOKUP(B47,结果!A:B,2,FALSE)</f>
        <v>79811.47</v>
      </c>
      <c r="E47" s="22">
        <f>VLOOKUP(B47,[1]结果!A:B,2,FALSE)</f>
        <v>89.44</v>
      </c>
      <c r="F47" s="22">
        <f t="shared" si="0"/>
        <v>71383.378767999995</v>
      </c>
      <c r="G47" s="22">
        <f>IFERROR(INDEX([2]Sheet1!B:B, MATCH(B47, [2]Sheet1!A:A, 0)), "0.00")</f>
        <v>2700</v>
      </c>
      <c r="H47" s="22">
        <f t="shared" si="1"/>
        <v>74083.378767999995</v>
      </c>
    </row>
    <row r="48" spans="1:8" ht="17.399999999999999" x14ac:dyDescent="0.25">
      <c r="A48" s="29">
        <v>44</v>
      </c>
      <c r="B48" s="20" t="s">
        <v>88</v>
      </c>
      <c r="C48" s="21" t="s">
        <v>241</v>
      </c>
      <c r="D48" s="22">
        <f>VLOOKUP(B48,结果!A:B,2,FALSE)</f>
        <v>94762.44</v>
      </c>
      <c r="E48" s="22">
        <f>VLOOKUP(B48,[1]结果!A:B,2,FALSE)</f>
        <v>84.6</v>
      </c>
      <c r="F48" s="22">
        <f t="shared" si="0"/>
        <v>80169.024239999999</v>
      </c>
      <c r="G48" s="22">
        <f>IFERROR(INDEX([2]Sheet1!B:B, MATCH(B48, [2]Sheet1!A:A, 0)), "0.00")</f>
        <v>2700</v>
      </c>
      <c r="H48" s="22">
        <f t="shared" si="1"/>
        <v>82869.024239999999</v>
      </c>
    </row>
    <row r="49" spans="1:8" ht="17.399999999999999" x14ac:dyDescent="0.25">
      <c r="A49" s="29">
        <v>45</v>
      </c>
      <c r="B49" s="20" t="s">
        <v>89</v>
      </c>
      <c r="C49" s="21" t="s">
        <v>241</v>
      </c>
      <c r="D49" s="22">
        <f>VLOOKUP(B49,结果!A:B,2,FALSE)</f>
        <v>39772.92</v>
      </c>
      <c r="E49" s="22">
        <f>VLOOKUP(B49,[1]结果!A:B,2,FALSE)</f>
        <v>87.92</v>
      </c>
      <c r="F49" s="22">
        <f t="shared" si="0"/>
        <v>34968.351263999997</v>
      </c>
      <c r="G49" s="22" t="str">
        <f>IFERROR(INDEX([2]Sheet1!B:B, MATCH(B49, [2]Sheet1!A:A, 0)), "0.00")</f>
        <v>0.00</v>
      </c>
      <c r="H49" s="22">
        <f t="shared" si="1"/>
        <v>34968.351263999997</v>
      </c>
    </row>
    <row r="50" spans="1:8" ht="17.399999999999999" x14ac:dyDescent="0.25">
      <c r="A50" s="29">
        <v>46</v>
      </c>
      <c r="B50" s="20" t="s">
        <v>90</v>
      </c>
      <c r="C50" s="21" t="s">
        <v>241</v>
      </c>
      <c r="D50" s="22">
        <f>VLOOKUP(B50,结果!A:B,2,FALSE)</f>
        <v>64651.81</v>
      </c>
      <c r="E50" s="22">
        <f>VLOOKUP(B50,[1]结果!A:B,2,FALSE)</f>
        <v>79.260000000000005</v>
      </c>
      <c r="F50" s="22">
        <f t="shared" si="0"/>
        <v>51243.024606000006</v>
      </c>
      <c r="G50" s="22">
        <f>IFERROR(INDEX([2]Sheet1!B:B, MATCH(B50, [2]Sheet1!A:A, 0)), "0.00")</f>
        <v>10150</v>
      </c>
      <c r="H50" s="22">
        <f t="shared" si="1"/>
        <v>61393.024606000006</v>
      </c>
    </row>
    <row r="51" spans="1:8" ht="17.399999999999999" x14ac:dyDescent="0.25">
      <c r="A51" s="29">
        <v>47</v>
      </c>
      <c r="B51" s="20" t="s">
        <v>91</v>
      </c>
      <c r="C51" s="21" t="s">
        <v>241</v>
      </c>
      <c r="D51" s="22">
        <f>VLOOKUP(B51,结果!A:B,2,FALSE)</f>
        <v>68108.14</v>
      </c>
      <c r="E51" s="22">
        <f>VLOOKUP(B51,[1]结果!A:B,2,FALSE)</f>
        <v>88.43</v>
      </c>
      <c r="F51" s="22">
        <f t="shared" si="0"/>
        <v>60228.028202000009</v>
      </c>
      <c r="G51" s="22" t="str">
        <f>IFERROR(INDEX([2]Sheet1!B:B, MATCH(B51, [2]Sheet1!A:A, 0)), "0.00")</f>
        <v>0.00</v>
      </c>
      <c r="H51" s="22">
        <f t="shared" si="1"/>
        <v>60228.028202000009</v>
      </c>
    </row>
    <row r="52" spans="1:8" ht="17.399999999999999" x14ac:dyDescent="0.25">
      <c r="A52" s="29">
        <v>48</v>
      </c>
      <c r="B52" s="20" t="s">
        <v>92</v>
      </c>
      <c r="C52" s="21" t="s">
        <v>241</v>
      </c>
      <c r="D52" s="22">
        <f>VLOOKUP(B52,结果!A:B,2,FALSE)</f>
        <v>48452.3</v>
      </c>
      <c r="E52" s="22">
        <f>VLOOKUP(B52,[1]结果!A:B,2,FALSE)</f>
        <v>98.61</v>
      </c>
      <c r="F52" s="22">
        <f t="shared" si="0"/>
        <v>47778.813030000005</v>
      </c>
      <c r="G52" s="22">
        <f>IFERROR(INDEX([2]Sheet1!B:B, MATCH(B52, [2]Sheet1!A:A, 0)), "0.00")</f>
        <v>5400</v>
      </c>
      <c r="H52" s="22">
        <f t="shared" si="1"/>
        <v>53178.813030000005</v>
      </c>
    </row>
    <row r="53" spans="1:8" ht="17.399999999999999" x14ac:dyDescent="0.25">
      <c r="A53" s="29">
        <v>49</v>
      </c>
      <c r="B53" s="20" t="s">
        <v>93</v>
      </c>
      <c r="C53" s="21" t="s">
        <v>241</v>
      </c>
      <c r="D53" s="22">
        <f>VLOOKUP(B53,结果!A:B,2,FALSE)</f>
        <v>73569.070000000007</v>
      </c>
      <c r="E53" s="22">
        <f>VLOOKUP(B53,[1]结果!A:B,2,FALSE)</f>
        <v>81.73</v>
      </c>
      <c r="F53" s="22">
        <f t="shared" si="0"/>
        <v>60128.00091100001</v>
      </c>
      <c r="G53" s="22">
        <f>IFERROR(INDEX([2]Sheet1!B:B, MATCH(B53, [2]Sheet1!A:A, 0)), "0.00")</f>
        <v>2700</v>
      </c>
      <c r="H53" s="22">
        <f t="shared" si="1"/>
        <v>62828.00091100001</v>
      </c>
    </row>
    <row r="54" spans="1:8" ht="17.399999999999999" x14ac:dyDescent="0.25">
      <c r="A54" s="29">
        <v>50</v>
      </c>
      <c r="B54" s="20" t="s">
        <v>94</v>
      </c>
      <c r="C54" s="21" t="s">
        <v>241</v>
      </c>
      <c r="D54" s="22">
        <f>VLOOKUP(B54,结果!A:B,2,FALSE)</f>
        <v>64995.22</v>
      </c>
      <c r="E54" s="22">
        <f>VLOOKUP(B54,[1]结果!A:B,2,FALSE)</f>
        <v>93.58</v>
      </c>
      <c r="F54" s="22">
        <f t="shared" si="0"/>
        <v>60822.526875999996</v>
      </c>
      <c r="G54" s="22">
        <f>IFERROR(INDEX([2]Sheet1!B:B, MATCH(B54, [2]Sheet1!A:A, 0)), "0.00")</f>
        <v>530</v>
      </c>
      <c r="H54" s="22">
        <f t="shared" si="1"/>
        <v>61352.526875999996</v>
      </c>
    </row>
    <row r="55" spans="1:8" ht="17.399999999999999" x14ac:dyDescent="0.25">
      <c r="A55" s="29">
        <v>51</v>
      </c>
      <c r="B55" s="20" t="s">
        <v>95</v>
      </c>
      <c r="C55" s="21" t="s">
        <v>241</v>
      </c>
      <c r="D55" s="22">
        <f>VLOOKUP(B55,结果!A:B,2,FALSE)</f>
        <v>177554.29</v>
      </c>
      <c r="E55" s="22">
        <f>VLOOKUP(B55,[1]结果!A:B,2,FALSE)</f>
        <v>89.48</v>
      </c>
      <c r="F55" s="22">
        <f t="shared" si="0"/>
        <v>158875.57869200001</v>
      </c>
      <c r="G55" s="22">
        <f>IFERROR(INDEX([2]Sheet1!B:B, MATCH(B55, [2]Sheet1!A:A, 0)), "0.00")</f>
        <v>2700</v>
      </c>
      <c r="H55" s="22">
        <f t="shared" si="1"/>
        <v>161575.57869200001</v>
      </c>
    </row>
    <row r="56" spans="1:8" ht="17.399999999999999" x14ac:dyDescent="0.25">
      <c r="A56" s="29">
        <v>52</v>
      </c>
      <c r="B56" s="20" t="s">
        <v>96</v>
      </c>
      <c r="C56" s="21" t="s">
        <v>241</v>
      </c>
      <c r="D56" s="22">
        <f>VLOOKUP(B56,结果!A:B,2,FALSE)</f>
        <v>37960.6</v>
      </c>
      <c r="E56" s="22">
        <f>VLOOKUP(B56,[1]结果!A:B,2,FALSE)</f>
        <v>89.91</v>
      </c>
      <c r="F56" s="22">
        <f t="shared" si="0"/>
        <v>34130.375459999996</v>
      </c>
      <c r="G56" s="22">
        <f>IFERROR(INDEX([2]Sheet1!B:B, MATCH(B56, [2]Sheet1!A:A, 0)), "0.00")</f>
        <v>5530</v>
      </c>
      <c r="H56" s="22">
        <f t="shared" si="1"/>
        <v>39660.375459999996</v>
      </c>
    </row>
    <row r="57" spans="1:8" ht="17.399999999999999" x14ac:dyDescent="0.25">
      <c r="A57" s="29">
        <v>53</v>
      </c>
      <c r="B57" s="20" t="s">
        <v>97</v>
      </c>
      <c r="C57" s="21" t="s">
        <v>241</v>
      </c>
      <c r="D57" s="22">
        <f>VLOOKUP(B57,结果!A:B,2,FALSE)</f>
        <v>76911.839999999997</v>
      </c>
      <c r="E57" s="22">
        <f>VLOOKUP(B57,[1]结果!A:B,2,FALSE)</f>
        <v>93.84</v>
      </c>
      <c r="F57" s="22">
        <f t="shared" si="0"/>
        <v>72174.070655999996</v>
      </c>
      <c r="G57" s="22">
        <f>IFERROR(INDEX([2]Sheet1!B:B, MATCH(B57, [2]Sheet1!A:A, 0)), "0.00")</f>
        <v>230</v>
      </c>
      <c r="H57" s="22">
        <f t="shared" si="1"/>
        <v>72404.070655999996</v>
      </c>
    </row>
    <row r="58" spans="1:8" ht="17.399999999999999" x14ac:dyDescent="0.25">
      <c r="A58" s="29">
        <v>54</v>
      </c>
      <c r="B58" s="20" t="s">
        <v>98</v>
      </c>
      <c r="C58" s="21" t="s">
        <v>241</v>
      </c>
      <c r="D58" s="22">
        <f>VLOOKUP(B58,结果!A:B,2,FALSE)</f>
        <v>81947.19</v>
      </c>
      <c r="E58" s="22">
        <f>VLOOKUP(B58,[1]结果!A:B,2,FALSE)</f>
        <v>93.61</v>
      </c>
      <c r="F58" s="22">
        <f t="shared" si="0"/>
        <v>76710.764559000003</v>
      </c>
      <c r="G58" s="22">
        <f>IFERROR(INDEX([2]Sheet1!B:B, MATCH(B58, [2]Sheet1!A:A, 0)), "0.00")</f>
        <v>2850</v>
      </c>
      <c r="H58" s="22">
        <f t="shared" si="1"/>
        <v>79560.764559000003</v>
      </c>
    </row>
    <row r="59" spans="1:8" ht="17.399999999999999" x14ac:dyDescent="0.25">
      <c r="A59" s="29">
        <v>55</v>
      </c>
      <c r="B59" s="20" t="s">
        <v>99</v>
      </c>
      <c r="C59" s="21" t="s">
        <v>241</v>
      </c>
      <c r="D59" s="22">
        <f>VLOOKUP(B59,结果!A:B,2,FALSE)</f>
        <v>87302.36</v>
      </c>
      <c r="E59" s="22">
        <f>VLOOKUP(B59,[1]结果!A:B,2,FALSE)</f>
        <v>92.59</v>
      </c>
      <c r="F59" s="22">
        <f t="shared" si="0"/>
        <v>80833.255124000003</v>
      </c>
      <c r="G59" s="22">
        <f>IFERROR(INDEX([2]Sheet1!B:B, MATCH(B59, [2]Sheet1!A:A, 0)), "0.00")</f>
        <v>8100</v>
      </c>
      <c r="H59" s="22">
        <f t="shared" si="1"/>
        <v>88933.255124000003</v>
      </c>
    </row>
    <row r="60" spans="1:8" ht="17.399999999999999" x14ac:dyDescent="0.25">
      <c r="A60" s="29">
        <v>56</v>
      </c>
      <c r="B60" s="20" t="s">
        <v>100</v>
      </c>
      <c r="C60" s="21" t="s">
        <v>241</v>
      </c>
      <c r="D60" s="22">
        <f>VLOOKUP(B60,结果!A:B,2,FALSE)</f>
        <v>74104.570000000007</v>
      </c>
      <c r="E60" s="22">
        <f>VLOOKUP(B60,[1]结果!A:B,2,FALSE)</f>
        <v>96.49</v>
      </c>
      <c r="F60" s="22">
        <f t="shared" si="0"/>
        <v>71503.499593</v>
      </c>
      <c r="G60" s="22">
        <f>IFERROR(INDEX([2]Sheet1!B:B, MATCH(B60, [2]Sheet1!A:A, 0)), "0.00")</f>
        <v>80</v>
      </c>
      <c r="H60" s="22">
        <f t="shared" si="1"/>
        <v>71583.499593</v>
      </c>
    </row>
    <row r="61" spans="1:8" ht="17.399999999999999" x14ac:dyDescent="0.25">
      <c r="A61" s="29">
        <v>57</v>
      </c>
      <c r="B61" s="20" t="s">
        <v>101</v>
      </c>
      <c r="C61" s="21" t="s">
        <v>241</v>
      </c>
      <c r="D61" s="22">
        <f>VLOOKUP(B61,结果!A:B,2,FALSE)</f>
        <v>100777.68</v>
      </c>
      <c r="E61" s="22">
        <f>VLOOKUP(B61,[1]结果!A:B,2,FALSE)</f>
        <v>85.12</v>
      </c>
      <c r="F61" s="22">
        <f t="shared" si="0"/>
        <v>85781.961215999996</v>
      </c>
      <c r="G61" s="22" t="str">
        <f>IFERROR(INDEX([2]Sheet1!B:B, MATCH(B61, [2]Sheet1!A:A, 0)), "0.00")</f>
        <v>0.00</v>
      </c>
      <c r="H61" s="22">
        <f t="shared" si="1"/>
        <v>85781.961215999996</v>
      </c>
    </row>
    <row r="62" spans="1:8" ht="17.399999999999999" x14ac:dyDescent="0.25">
      <c r="A62" s="29">
        <v>58</v>
      </c>
      <c r="B62" s="20" t="s">
        <v>103</v>
      </c>
      <c r="C62" s="21" t="s">
        <v>241</v>
      </c>
      <c r="D62" s="22">
        <f>VLOOKUP(B62,结果!A:B,2,FALSE)</f>
        <v>314236.90000000002</v>
      </c>
      <c r="E62" s="22">
        <f>VLOOKUP(B62,[1]结果!A:B,2,FALSE)</f>
        <v>96.82</v>
      </c>
      <c r="F62" s="22">
        <f t="shared" si="0"/>
        <v>304244.16658000002</v>
      </c>
      <c r="G62" s="22">
        <f>IFERROR(INDEX([2]Sheet1!B:B, MATCH(B62, [2]Sheet1!A:A, 0)), "0.00")</f>
        <v>8100</v>
      </c>
      <c r="H62" s="22">
        <f t="shared" si="1"/>
        <v>312344.16658000002</v>
      </c>
    </row>
    <row r="63" spans="1:8" ht="17.399999999999999" x14ac:dyDescent="0.25">
      <c r="A63" s="29">
        <v>59</v>
      </c>
      <c r="B63" s="20" t="s">
        <v>104</v>
      </c>
      <c r="C63" s="21" t="s">
        <v>241</v>
      </c>
      <c r="D63" s="22">
        <f>VLOOKUP(B63,结果!A:B,2,FALSE)</f>
        <v>281929.33</v>
      </c>
      <c r="E63" s="22">
        <f>VLOOKUP("麻醉手术科",[1]结果!A:B,2,FALSE)</f>
        <v>96.82</v>
      </c>
      <c r="F63" s="22">
        <f t="shared" si="0"/>
        <v>272963.97730600002</v>
      </c>
      <c r="G63" s="22" t="str">
        <f>IFERROR(INDEX([2]Sheet1!B:B, MATCH(B63, [2]Sheet1!A:A, 0)), "0.00")</f>
        <v>0.00</v>
      </c>
      <c r="H63" s="22">
        <f t="shared" si="1"/>
        <v>272963.97730600002</v>
      </c>
    </row>
    <row r="64" spans="1:8" ht="17.399999999999999" x14ac:dyDescent="0.25">
      <c r="A64" s="29">
        <v>60</v>
      </c>
      <c r="B64" s="20" t="s">
        <v>105</v>
      </c>
      <c r="C64" s="21" t="s">
        <v>241</v>
      </c>
      <c r="D64" s="22">
        <f>VLOOKUP(B64,结果!A:B,2,FALSE)</f>
        <v>159112.87</v>
      </c>
      <c r="E64" s="22">
        <f>VLOOKUP("放射治疗科",[1]结果!A:B,2,FALSE)</f>
        <v>89.48</v>
      </c>
      <c r="F64" s="22">
        <f t="shared" si="0"/>
        <v>142374.19607599999</v>
      </c>
      <c r="G64" s="22">
        <f>IFERROR(INDEX([2]Sheet1!B:B, MATCH(B64, [2]Sheet1!A:A, 0)), "0.00")</f>
        <v>50</v>
      </c>
      <c r="H64" s="22">
        <f t="shared" si="1"/>
        <v>142424.19607599999</v>
      </c>
    </row>
    <row r="65" spans="1:8" ht="17.399999999999999" x14ac:dyDescent="0.25">
      <c r="A65" s="29">
        <v>61</v>
      </c>
      <c r="B65" s="20" t="s">
        <v>78</v>
      </c>
      <c r="C65" s="21" t="s">
        <v>241</v>
      </c>
      <c r="D65" s="22">
        <f>VLOOKUP(B65,结果!A:B,2,FALSE)</f>
        <v>49436.88</v>
      </c>
      <c r="E65" s="22">
        <f>VLOOKUP(B65,[1]结果!A:B,2,FALSE)</f>
        <v>95.83</v>
      </c>
      <c r="F65" s="22">
        <f t="shared" si="0"/>
        <v>47375.362103999993</v>
      </c>
      <c r="G65" s="22">
        <f>IFERROR(INDEX([2]Sheet1!B:B, MATCH(B65, [2]Sheet1!A:A, 0)), "0.00")</f>
        <v>2700</v>
      </c>
      <c r="H65" s="22">
        <f t="shared" si="1"/>
        <v>50075.362103999993</v>
      </c>
    </row>
    <row r="66" spans="1:8" ht="17.399999999999999" x14ac:dyDescent="0.25">
      <c r="A66" s="29">
        <v>62</v>
      </c>
      <c r="B66" s="20" t="s">
        <v>120</v>
      </c>
      <c r="C66" s="21" t="s">
        <v>209</v>
      </c>
      <c r="D66" s="22">
        <f>VLOOKUP(B66,结果!A:B,2,FALSE)</f>
        <v>26936.7</v>
      </c>
      <c r="E66" s="22">
        <f>VLOOKUP("收费管理科",[1]结果!A:B,2,FALSE)</f>
        <v>88.44</v>
      </c>
      <c r="F66" s="22">
        <f t="shared" si="0"/>
        <v>23822.817479999998</v>
      </c>
      <c r="G66" s="22" t="str">
        <f>IFERROR(INDEX([2]Sheet1!B:B, MATCH(B66, [2]Sheet1!A:A, 0)), "0.00")</f>
        <v>0.00</v>
      </c>
      <c r="H66" s="22">
        <f t="shared" si="1"/>
        <v>23822.817479999998</v>
      </c>
    </row>
    <row r="67" spans="1:8" ht="17.399999999999999" x14ac:dyDescent="0.25">
      <c r="A67" s="29">
        <v>63</v>
      </c>
      <c r="B67" s="20" t="s">
        <v>121</v>
      </c>
      <c r="C67" s="21" t="s">
        <v>209</v>
      </c>
      <c r="D67" s="22">
        <f>VLOOKUP(B67,结果!A:B,2,FALSE)</f>
        <v>43927.06</v>
      </c>
      <c r="E67" s="22">
        <f>VLOOKUP("收费管理科",[1]结果!A:B,2,FALSE)</f>
        <v>88.44</v>
      </c>
      <c r="F67" s="22">
        <f t="shared" si="0"/>
        <v>38849.091863999995</v>
      </c>
      <c r="G67" s="22" t="str">
        <f>IFERROR(INDEX([2]Sheet1!B:B, MATCH(B67, [2]Sheet1!A:A, 0)), "0.00")</f>
        <v>0.00</v>
      </c>
      <c r="H67" s="22">
        <f t="shared" si="1"/>
        <v>38849.091863999995</v>
      </c>
    </row>
    <row r="68" spans="1:8" ht="17.399999999999999" x14ac:dyDescent="0.25">
      <c r="A68" s="29">
        <v>64</v>
      </c>
      <c r="B68" s="20" t="s">
        <v>125</v>
      </c>
      <c r="C68" s="21" t="s">
        <v>242</v>
      </c>
      <c r="D68" s="22">
        <f>VLOOKUP(B68,结果!A:B,2,FALSE)</f>
        <v>85235.07</v>
      </c>
      <c r="E68" s="22">
        <f>VLOOKUP(B68,[1]结果!A:B,2,FALSE)</f>
        <v>98.68</v>
      </c>
      <c r="F68" s="22">
        <f t="shared" si="0"/>
        <v>84109.967076000015</v>
      </c>
      <c r="G68" s="22">
        <f>IFERROR(INDEX([2]Sheet1!B:B, MATCH(B68, [2]Sheet1!A:A, 0)), "0.00")</f>
        <v>1800</v>
      </c>
      <c r="H68" s="22">
        <f t="shared" si="1"/>
        <v>85909.967076000015</v>
      </c>
    </row>
    <row r="69" spans="1:8" ht="17.399999999999999" x14ac:dyDescent="0.25">
      <c r="A69" s="29">
        <v>65</v>
      </c>
      <c r="B69" s="20" t="s">
        <v>243</v>
      </c>
      <c r="C69" s="21" t="s">
        <v>242</v>
      </c>
      <c r="D69" s="22">
        <f>VLOOKUP(B69,结果!A:B,2,FALSE)</f>
        <v>59020.53</v>
      </c>
      <c r="E69" s="22">
        <f>VLOOKUP("感染管理科",[1]结果!A:B,2,FALSE)</f>
        <v>88.44</v>
      </c>
      <c r="F69" s="22">
        <f t="shared" si="0"/>
        <v>52197.756731999994</v>
      </c>
      <c r="G69" s="22" t="str">
        <f>IFERROR(INDEX([2]Sheet1!B:B, MATCH(B69, [2]Sheet1!A:A, 0)), "0.00")</f>
        <v>0.00</v>
      </c>
      <c r="H69" s="22">
        <f t="shared" si="1"/>
        <v>52197.756731999994</v>
      </c>
    </row>
    <row r="70" spans="1:8" ht="17.399999999999999" x14ac:dyDescent="0.25">
      <c r="A70" s="29">
        <v>66</v>
      </c>
      <c r="B70" s="20" t="s">
        <v>244</v>
      </c>
      <c r="C70" s="21" t="s">
        <v>242</v>
      </c>
      <c r="D70" s="22">
        <f>VLOOKUP(B70,结果!A:B,2,FALSE)</f>
        <v>184051.07</v>
      </c>
      <c r="E70" s="22">
        <f>VLOOKUP(B70,[1]结果!A:B,2,FALSE)</f>
        <v>94.12</v>
      </c>
      <c r="F70" s="22">
        <f t="shared" si="0"/>
        <v>173228.86708400003</v>
      </c>
      <c r="G70" s="22">
        <f>IFERROR(INDEX([2]Sheet1!B:B, MATCH(B70, [2]Sheet1!A:A, 0)), "0.00")</f>
        <v>3000</v>
      </c>
      <c r="H70" s="22">
        <f t="shared" si="1"/>
        <v>176228.86708400003</v>
      </c>
    </row>
    <row r="71" spans="1:8" ht="17.399999999999999" x14ac:dyDescent="0.25">
      <c r="A71" s="29">
        <v>67</v>
      </c>
      <c r="B71" s="20" t="s">
        <v>245</v>
      </c>
      <c r="C71" s="21" t="s">
        <v>242</v>
      </c>
      <c r="D71" s="22">
        <f>VLOOKUP(B71,结果!A:B,2,FALSE)</f>
        <v>219698.76</v>
      </c>
      <c r="E71" s="22">
        <f>VLOOKUP(B71,[1]结果!A:B,2,FALSE)</f>
        <v>99.76</v>
      </c>
      <c r="F71" s="22">
        <f t="shared" ref="F71:F98" si="3">IF(D71=0,1,D71)*IF(E71=0,1,E71/100)</f>
        <v>219171.48297600003</v>
      </c>
      <c r="G71" s="22">
        <f>IFERROR(INDEX([2]Sheet1!B:B, MATCH(B71, [2]Sheet1!A:A, 0)), "0.00")</f>
        <v>2900</v>
      </c>
      <c r="H71" s="22">
        <f t="shared" ref="H71:H98" si="4">F71+G71</f>
        <v>222071.48297600003</v>
      </c>
    </row>
    <row r="72" spans="1:8" ht="17.399999999999999" x14ac:dyDescent="0.25">
      <c r="A72" s="29">
        <v>68</v>
      </c>
      <c r="B72" s="20" t="s">
        <v>124</v>
      </c>
      <c r="C72" s="21" t="s">
        <v>242</v>
      </c>
      <c r="D72" s="22">
        <f>VLOOKUP(B72,结果!A:B,2,FALSE)</f>
        <v>57731.71</v>
      </c>
      <c r="E72" s="22">
        <f>VLOOKUP(B72,[1]结果!A:B,2,FALSE)</f>
        <v>99.3</v>
      </c>
      <c r="F72" s="22">
        <f t="shared" si="3"/>
        <v>57327.588029999999</v>
      </c>
      <c r="G72" s="22">
        <f>IFERROR(INDEX([2]Sheet1!B:B, MATCH(B72, [2]Sheet1!A:A, 0)), "0.00")</f>
        <v>13550</v>
      </c>
      <c r="H72" s="22">
        <f t="shared" si="4"/>
        <v>70877.588029999999</v>
      </c>
    </row>
    <row r="73" spans="1:8" ht="17.399999999999999" x14ac:dyDescent="0.25">
      <c r="A73" s="29">
        <v>69</v>
      </c>
      <c r="B73" s="20" t="s">
        <v>246</v>
      </c>
      <c r="C73" s="21" t="s">
        <v>242</v>
      </c>
      <c r="D73" s="22">
        <f>VLOOKUP(B73,结果!A:B,2,FALSE)</f>
        <v>232971.92</v>
      </c>
      <c r="E73" s="22">
        <f>VLOOKUP(B73,[1]结果!A:B,2,FALSE)</f>
        <v>100</v>
      </c>
      <c r="F73" s="22">
        <f t="shared" si="3"/>
        <v>232971.92</v>
      </c>
      <c r="G73" s="22" t="str">
        <f>IFERROR(INDEX([2]Sheet1!B:B, MATCH(B73, [2]Sheet1!A:A, 0)), "0.00")</f>
        <v>0.00</v>
      </c>
      <c r="H73" s="22">
        <f t="shared" si="4"/>
        <v>232971.92</v>
      </c>
    </row>
    <row r="74" spans="1:8" ht="17.399999999999999" x14ac:dyDescent="0.25">
      <c r="A74" s="29">
        <v>70</v>
      </c>
      <c r="B74" s="20" t="s">
        <v>123</v>
      </c>
      <c r="C74" s="21" t="s">
        <v>242</v>
      </c>
      <c r="D74" s="22">
        <f>VLOOKUP(B74,结果!A:B,2,FALSE)</f>
        <v>328384.78000000003</v>
      </c>
      <c r="E74" s="22">
        <f>VLOOKUP(B74,[1]结果!A:B,2,FALSE)</f>
        <v>99.63</v>
      </c>
      <c r="F74" s="22">
        <f t="shared" si="3"/>
        <v>327169.756314</v>
      </c>
      <c r="G74" s="22">
        <f>IFERROR(INDEX([2]Sheet1!B:B, MATCH(B74, [2]Sheet1!A:A, 0)), "0.00")</f>
        <v>5600</v>
      </c>
      <c r="H74" s="22">
        <f t="shared" si="4"/>
        <v>332769.756314</v>
      </c>
    </row>
    <row r="75" spans="1:8" ht="17.399999999999999" x14ac:dyDescent="0.25">
      <c r="A75" s="29">
        <v>71</v>
      </c>
      <c r="B75" s="20" t="s">
        <v>247</v>
      </c>
      <c r="C75" s="21" t="s">
        <v>242</v>
      </c>
      <c r="D75" s="22">
        <f>VLOOKUP(B75,结果!A:B,2,FALSE)</f>
        <v>305820.15999999997</v>
      </c>
      <c r="E75" s="22">
        <f>VLOOKUP("药学部（职能）",[1]结果!A:B,2,FALSE)</f>
        <v>88.02</v>
      </c>
      <c r="F75" s="22">
        <f t="shared" si="3"/>
        <v>269182.90483199997</v>
      </c>
      <c r="G75" s="22">
        <f>IFERROR(INDEX([2]Sheet1!B:B, MATCH(B75, [2]Sheet1!A:A, 0)), "0.00")</f>
        <v>4000</v>
      </c>
      <c r="H75" s="22">
        <f t="shared" si="4"/>
        <v>273182.90483199997</v>
      </c>
    </row>
    <row r="76" spans="1:8" ht="17.399999999999999" x14ac:dyDescent="0.25">
      <c r="A76" s="29">
        <v>72</v>
      </c>
      <c r="B76" s="20" t="s">
        <v>140</v>
      </c>
      <c r="C76" s="21" t="s">
        <v>248</v>
      </c>
      <c r="D76" s="22">
        <f>VLOOKUP(B76,结果!A:B,2,FALSE)</f>
        <v>153326.47</v>
      </c>
      <c r="E76" s="22">
        <f>VLOOKUP(LEFT(B76, LEN(B76)-2),[1]结果!A:B,2,FALSE)</f>
        <v>84.6</v>
      </c>
      <c r="F76" s="22">
        <f t="shared" si="3"/>
        <v>129714.19361999999</v>
      </c>
      <c r="G76" s="22">
        <f>IFERROR(INDEX([2]Sheet1!B:B, MATCH(B76, [2]Sheet1!A:A, 0)), "0.00")</f>
        <v>1850</v>
      </c>
      <c r="H76" s="22">
        <f t="shared" si="4"/>
        <v>131564.19361999998</v>
      </c>
    </row>
    <row r="77" spans="1:8" ht="17.399999999999999" x14ac:dyDescent="0.25">
      <c r="A77" s="29">
        <v>73</v>
      </c>
      <c r="B77" s="20" t="s">
        <v>141</v>
      </c>
      <c r="C77" s="21" t="s">
        <v>248</v>
      </c>
      <c r="D77" s="22">
        <f>VLOOKUP(B77,结果!A:B,2,FALSE)</f>
        <v>116794.751</v>
      </c>
      <c r="E77" s="22">
        <f>ROUND(ROUND((INDEX([1]结果!$B:$B, MATCH("胸外二科", [1]结果!$A:$A,0))+INDEX([1]结果!$B:$B, MATCH("介入治疗科", [1]结果!$A:$A,0)))/2,2),2)</f>
        <v>91.88</v>
      </c>
      <c r="F77" s="22">
        <f t="shared" si="3"/>
        <v>107311.0172188</v>
      </c>
      <c r="G77" s="22">
        <f>IFERROR(INDEX([2]Sheet1!B:B, MATCH(B77, [2]Sheet1!A:A, 0)), "0.00")</f>
        <v>3650</v>
      </c>
      <c r="H77" s="22">
        <f t="shared" si="4"/>
        <v>110961.0172188</v>
      </c>
    </row>
    <row r="78" spans="1:8" ht="17.399999999999999" x14ac:dyDescent="0.25">
      <c r="A78" s="29">
        <v>74</v>
      </c>
      <c r="B78" s="20" t="s">
        <v>142</v>
      </c>
      <c r="C78" s="21" t="s">
        <v>248</v>
      </c>
      <c r="D78" s="22">
        <f>VLOOKUP(B78,结果!A:B,2,FALSE)</f>
        <v>120774.091</v>
      </c>
      <c r="E78" s="22">
        <f>VLOOKUP(LEFT(B78, LEN(B78)-2),[1]结果!A:B,2,FALSE)</f>
        <v>79.260000000000005</v>
      </c>
      <c r="F78" s="22">
        <f t="shared" si="3"/>
        <v>95725.544526600017</v>
      </c>
      <c r="G78" s="22">
        <f>IFERROR(INDEX([2]Sheet1!B:B, MATCH(B78, [2]Sheet1!A:A, 0)), "0.00")</f>
        <v>180</v>
      </c>
      <c r="H78" s="22">
        <f t="shared" si="4"/>
        <v>95905.544526600017</v>
      </c>
    </row>
    <row r="79" spans="1:8" ht="17.399999999999999" x14ac:dyDescent="0.25">
      <c r="A79" s="29">
        <v>75</v>
      </c>
      <c r="B79" s="20" t="s">
        <v>145</v>
      </c>
      <c r="C79" s="21" t="s">
        <v>248</v>
      </c>
      <c r="D79" s="22">
        <f>VLOOKUP(B79,结果!A:B,2,FALSE)</f>
        <v>113305.079</v>
      </c>
      <c r="E79" s="22">
        <f>ROUND(ROUND((INDEX([1]结果!$B:$B, MATCH("中西医结合科", [1]结果!$A:$A,0))+INDEX([1]结果!$B:$B, MATCH("乳腺内科", [1]结果!$A:$A,0)))/2,2),2)</f>
        <v>91.75</v>
      </c>
      <c r="F79" s="22">
        <f t="shared" si="3"/>
        <v>103957.4099825</v>
      </c>
      <c r="G79" s="22">
        <f>IFERROR(INDEX([2]Sheet1!B:B, MATCH(B79, [2]Sheet1!A:A, 0)), "0.00")</f>
        <v>3800</v>
      </c>
      <c r="H79" s="22">
        <f t="shared" si="4"/>
        <v>107757.4099825</v>
      </c>
    </row>
    <row r="80" spans="1:8" ht="17.399999999999999" x14ac:dyDescent="0.25">
      <c r="A80" s="29">
        <v>76</v>
      </c>
      <c r="B80" s="20" t="s">
        <v>144</v>
      </c>
      <c r="C80" s="21" t="s">
        <v>248</v>
      </c>
      <c r="D80" s="22">
        <f>VLOOKUP(B80,结果!A:B,2,FALSE)</f>
        <v>349696.35</v>
      </c>
      <c r="E80" s="22">
        <f>VLOOKUP(LEFT(B80, LEN(B80)-2),[1]结果!A:B,2,FALSE)</f>
        <v>89.48</v>
      </c>
      <c r="F80" s="22">
        <f t="shared" si="3"/>
        <v>312908.29398000002</v>
      </c>
      <c r="G80" s="22">
        <f>IFERROR(INDEX([2]Sheet1!B:B, MATCH(B80, [2]Sheet1!A:A, 0)), "0.00")</f>
        <v>444.66</v>
      </c>
      <c r="H80" s="22">
        <f t="shared" si="4"/>
        <v>313352.95397999999</v>
      </c>
    </row>
    <row r="81" spans="1:8" ht="17.399999999999999" x14ac:dyDescent="0.25">
      <c r="A81" s="29">
        <v>77</v>
      </c>
      <c r="B81" s="20" t="s">
        <v>146</v>
      </c>
      <c r="C81" s="21" t="s">
        <v>248</v>
      </c>
      <c r="D81" s="22">
        <f>VLOOKUP(B81,结果!A:B,2,FALSE)</f>
        <v>76525.451000000001</v>
      </c>
      <c r="E81" s="22">
        <f>VLOOKUP(LEFT(B81, LEN(B81)-2),[1]结果!A:B,2,FALSE)</f>
        <v>93.84</v>
      </c>
      <c r="F81" s="22">
        <f t="shared" si="3"/>
        <v>71811.483218399997</v>
      </c>
      <c r="G81" s="22">
        <f>IFERROR(INDEX([2]Sheet1!B:B, MATCH(B81, [2]Sheet1!A:A, 0)), "0.00")</f>
        <v>50</v>
      </c>
      <c r="H81" s="22">
        <f t="shared" si="4"/>
        <v>71861.483218399997</v>
      </c>
    </row>
    <row r="82" spans="1:8" ht="17.399999999999999" x14ac:dyDescent="0.25">
      <c r="A82" s="29">
        <v>78</v>
      </c>
      <c r="B82" s="20" t="s">
        <v>147</v>
      </c>
      <c r="C82" s="21" t="s">
        <v>248</v>
      </c>
      <c r="D82" s="22">
        <f>VLOOKUP(B82,结果!A:B,2,FALSE)</f>
        <v>97602.074999999997</v>
      </c>
      <c r="E82" s="22">
        <f>VLOOKUP(LEFT(B82, LEN(B82)-2),[1]结果!A:B,2,FALSE)</f>
        <v>93.61</v>
      </c>
      <c r="F82" s="22">
        <f t="shared" si="3"/>
        <v>91365.302407499999</v>
      </c>
      <c r="G82" s="22">
        <f>IFERROR(INDEX([2]Sheet1!B:B, MATCH(B82, [2]Sheet1!A:A, 0)), "0.00")</f>
        <v>1800</v>
      </c>
      <c r="H82" s="22">
        <f t="shared" si="4"/>
        <v>93165.302407499999</v>
      </c>
    </row>
    <row r="83" spans="1:8" ht="17.399999999999999" x14ac:dyDescent="0.25">
      <c r="A83" s="29">
        <v>79</v>
      </c>
      <c r="B83" s="20" t="s">
        <v>148</v>
      </c>
      <c r="C83" s="21" t="s">
        <v>248</v>
      </c>
      <c r="D83" s="22">
        <f>VLOOKUP(B83,结果!A:B,2,FALSE)</f>
        <v>105973.90399999999</v>
      </c>
      <c r="E83" s="22">
        <f>VLOOKUP(LEFT(B83, LEN(B83)-2),[1]结果!A:B,2,FALSE)</f>
        <v>92.59</v>
      </c>
      <c r="F83" s="22">
        <f t="shared" si="3"/>
        <v>98121.2377136</v>
      </c>
      <c r="G83" s="22">
        <f>IFERROR(INDEX([2]Sheet1!B:B, MATCH(B83, [2]Sheet1!A:A, 0)), "0.00")</f>
        <v>1900</v>
      </c>
      <c r="H83" s="22">
        <f t="shared" si="4"/>
        <v>100021.2377136</v>
      </c>
    </row>
    <row r="84" spans="1:8" ht="17.399999999999999" x14ac:dyDescent="0.25">
      <c r="A84" s="29">
        <v>80</v>
      </c>
      <c r="B84" s="20" t="s">
        <v>149</v>
      </c>
      <c r="C84" s="21" t="s">
        <v>248</v>
      </c>
      <c r="D84" s="22">
        <f>VLOOKUP(B84,结果!A:B,2,FALSE)</f>
        <v>68336.872000000003</v>
      </c>
      <c r="E84" s="22">
        <f>VLOOKUP(LEFT(B84, LEN(B84)-2),[1]结果!A:B,2,FALSE)</f>
        <v>96.49</v>
      </c>
      <c r="F84" s="22">
        <f t="shared" si="3"/>
        <v>65938.247792800001</v>
      </c>
      <c r="G84" s="22">
        <f>IFERROR(INDEX([2]Sheet1!B:B, MATCH(B84, [2]Sheet1!A:A, 0)), "0.00")</f>
        <v>50</v>
      </c>
      <c r="H84" s="22">
        <f t="shared" si="4"/>
        <v>65988.247792800001</v>
      </c>
    </row>
    <row r="85" spans="1:8" ht="17.399999999999999" x14ac:dyDescent="0.25">
      <c r="A85" s="29">
        <v>81</v>
      </c>
      <c r="B85" s="20" t="s">
        <v>135</v>
      </c>
      <c r="C85" s="21" t="s">
        <v>248</v>
      </c>
      <c r="D85" s="22">
        <f>VLOOKUP(B85,结果!A:B,2,FALSE)</f>
        <v>110969.03</v>
      </c>
      <c r="E85" s="22">
        <f>VLOOKUP(LEFT(B85, LEN(B85)-2),[1]结果!A:B,2,FALSE)</f>
        <v>92.64</v>
      </c>
      <c r="F85" s="22">
        <f t="shared" si="3"/>
        <v>102801.709392</v>
      </c>
      <c r="G85" s="22">
        <f>IFERROR(INDEX([2]Sheet1!B:B, MATCH(B85, [2]Sheet1!A:A, 0)), "0.00")</f>
        <v>250</v>
      </c>
      <c r="H85" s="22">
        <f t="shared" si="4"/>
        <v>103051.709392</v>
      </c>
    </row>
    <row r="86" spans="1:8" ht="17.399999999999999" x14ac:dyDescent="0.25">
      <c r="A86" s="29">
        <v>82</v>
      </c>
      <c r="B86" s="20" t="s">
        <v>136</v>
      </c>
      <c r="C86" s="21" t="s">
        <v>248</v>
      </c>
      <c r="D86" s="22">
        <f>VLOOKUP(B86,结果!A:B,2,FALSE)</f>
        <v>120898.91099999999</v>
      </c>
      <c r="E86" s="22">
        <f>VLOOKUP(LEFT(B86, LEN(B86)-2),[1]结果!A:B,2,FALSE)</f>
        <v>92.9</v>
      </c>
      <c r="F86" s="22">
        <f t="shared" si="3"/>
        <v>112315.088319</v>
      </c>
      <c r="G86" s="22">
        <f>IFERROR(INDEX([2]Sheet1!B:B, MATCH(B86, [2]Sheet1!A:A, 0)), "0.00")</f>
        <v>2000</v>
      </c>
      <c r="H86" s="22">
        <f t="shared" si="4"/>
        <v>114315.088319</v>
      </c>
    </row>
    <row r="87" spans="1:8" ht="17.399999999999999" x14ac:dyDescent="0.25">
      <c r="A87" s="29">
        <v>83</v>
      </c>
      <c r="B87" s="20" t="s">
        <v>139</v>
      </c>
      <c r="C87" s="21" t="s">
        <v>248</v>
      </c>
      <c r="D87" s="22">
        <f>VLOOKUP(B87,结果!A:B,2,FALSE)</f>
        <v>65625.926000000007</v>
      </c>
      <c r="E87" s="22">
        <f>VLOOKUP(LEFT(B87, LEN(B87)-2),[1]结果!A:B,2,FALSE)</f>
        <v>89.96</v>
      </c>
      <c r="F87" s="22">
        <f t="shared" si="3"/>
        <v>59037.083029600006</v>
      </c>
      <c r="G87" s="22">
        <f>IFERROR(INDEX([2]Sheet1!B:B, MATCH(B87, [2]Sheet1!A:A, 0)), "0.00")</f>
        <v>200</v>
      </c>
      <c r="H87" s="22">
        <f t="shared" si="4"/>
        <v>59237.083029600006</v>
      </c>
    </row>
    <row r="88" spans="1:8" ht="17.399999999999999" x14ac:dyDescent="0.25">
      <c r="A88" s="29">
        <v>84</v>
      </c>
      <c r="B88" s="20" t="s">
        <v>143</v>
      </c>
      <c r="C88" s="21" t="s">
        <v>248</v>
      </c>
      <c r="D88" s="22">
        <f>VLOOKUP(B88,结果!A:B,2,FALSE)</f>
        <v>101403.18</v>
      </c>
      <c r="E88" s="22">
        <f>VLOOKUP(LEFT(B88, LEN(B88)-2),[1]结果!A:B,2,FALSE)</f>
        <v>88.11</v>
      </c>
      <c r="F88" s="22">
        <f t="shared" si="3"/>
        <v>89346.341897999999</v>
      </c>
      <c r="G88" s="22">
        <f>IFERROR(INDEX([2]Sheet1!B:B, MATCH(B88, [2]Sheet1!A:A, 0)), "0.00")</f>
        <v>200</v>
      </c>
      <c r="H88" s="22">
        <f t="shared" si="4"/>
        <v>89546.341897999999</v>
      </c>
    </row>
    <row r="89" spans="1:8" ht="17.399999999999999" x14ac:dyDescent="0.25">
      <c r="A89" s="29">
        <v>85</v>
      </c>
      <c r="B89" s="20" t="s">
        <v>137</v>
      </c>
      <c r="C89" s="21" t="s">
        <v>248</v>
      </c>
      <c r="D89" s="22">
        <f>VLOOKUP(B89,结果!A:B,2,FALSE)</f>
        <v>147515.08900000001</v>
      </c>
      <c r="E89" s="22">
        <f>VLOOKUP(LEFT(B89, LEN(B89)-2),[1]结果!A:B,2,FALSE)</f>
        <v>92.89</v>
      </c>
      <c r="F89" s="22">
        <f t="shared" si="3"/>
        <v>137026.7661721</v>
      </c>
      <c r="G89" s="22">
        <f>IFERROR(INDEX([2]Sheet1!B:B, MATCH(B89, [2]Sheet1!A:A, 0)), "0.00")</f>
        <v>200</v>
      </c>
      <c r="H89" s="22">
        <f t="shared" si="4"/>
        <v>137226.7661721</v>
      </c>
    </row>
    <row r="90" spans="1:8" ht="17.399999999999999" x14ac:dyDescent="0.25">
      <c r="A90" s="29">
        <v>86</v>
      </c>
      <c r="B90" s="20" t="s">
        <v>138</v>
      </c>
      <c r="C90" s="21" t="s">
        <v>248</v>
      </c>
      <c r="D90" s="22">
        <f>VLOOKUP(B90,结果!A:B,2,FALSE)</f>
        <v>94499.525999999998</v>
      </c>
      <c r="E90" s="22">
        <f>VLOOKUP(LEFT(B90, LEN(B90)-2),[1]结果!A:B,2,FALSE)</f>
        <v>89.44</v>
      </c>
      <c r="F90" s="22">
        <f t="shared" si="3"/>
        <v>84520.376054399996</v>
      </c>
      <c r="G90" s="22">
        <f>IFERROR(INDEX([2]Sheet1!B:B, MATCH(B90, [2]Sheet1!A:A, 0)), "0.00")</f>
        <v>250</v>
      </c>
      <c r="H90" s="22">
        <f t="shared" si="4"/>
        <v>84770.376054399996</v>
      </c>
    </row>
    <row r="91" spans="1:8" ht="17.399999999999999" x14ac:dyDescent="0.25">
      <c r="A91" s="29">
        <v>87</v>
      </c>
      <c r="B91" s="20" t="s">
        <v>152</v>
      </c>
      <c r="C91" s="21" t="s">
        <v>248</v>
      </c>
      <c r="D91" s="22">
        <f>VLOOKUP(B91,结果!A:B,2,FALSE)</f>
        <v>89883.895000000004</v>
      </c>
      <c r="E91" s="22">
        <f>VLOOKUP(LEFT(B91, LEN(B91)-2),[1]结果!A:B,2,FALSE)</f>
        <v>81.73</v>
      </c>
      <c r="F91" s="22">
        <f t="shared" si="3"/>
        <v>73462.107383499999</v>
      </c>
      <c r="G91" s="22">
        <f>IFERROR(INDEX([2]Sheet1!B:B, MATCH(B91, [2]Sheet1!A:A, 0)), "0.00")</f>
        <v>130</v>
      </c>
      <c r="H91" s="22">
        <f t="shared" si="4"/>
        <v>73592.107383499999</v>
      </c>
    </row>
    <row r="92" spans="1:8" ht="17.399999999999999" x14ac:dyDescent="0.25">
      <c r="A92" s="29">
        <v>88</v>
      </c>
      <c r="B92" s="23" t="s">
        <v>150</v>
      </c>
      <c r="C92" s="21" t="s">
        <v>248</v>
      </c>
      <c r="D92" s="22">
        <f>VLOOKUP(B92,结果!A:B,2,FALSE)</f>
        <v>139015.06200000001</v>
      </c>
      <c r="E92" s="22">
        <f>ROUND(ROUND((INDEX([1]结果!$B:$B, MATCH("肝胆胰肿瘤外科", [1]结果!$A:$A,0))+INDEX([1]结果!$B:$B, MATCH("泌尿外科", [1]结果!$A:$A,0)))/2,2),2)</f>
        <v>93.52</v>
      </c>
      <c r="F92" s="22">
        <f t="shared" si="3"/>
        <v>130006.8859824</v>
      </c>
      <c r="G92" s="22">
        <f>IFERROR(INDEX([2]Sheet1!B:B, MATCH(B92, [2]Sheet1!A:A, 0)), "0.00")</f>
        <v>1900</v>
      </c>
      <c r="H92" s="22">
        <f t="shared" si="4"/>
        <v>131906.88598239998</v>
      </c>
    </row>
    <row r="93" spans="1:8" ht="17.399999999999999" x14ac:dyDescent="0.25">
      <c r="A93" s="29">
        <v>89</v>
      </c>
      <c r="B93" s="20" t="s">
        <v>151</v>
      </c>
      <c r="C93" s="21" t="s">
        <v>248</v>
      </c>
      <c r="D93" s="22">
        <f>VLOOKUP(B93,结果!A:B,2,FALSE)</f>
        <v>90916.97</v>
      </c>
      <c r="E93" s="22">
        <f>ROUND(ROUND((INDEX([1]结果!$B:$B, MATCH("骨与软组织二科", [1]结果!$A:$A,0))+INDEX([1]结果!$B:$B, MATCH("妇瘤二科", [1]结果!$A:$A,0)))/2,2),2)</f>
        <v>95.12</v>
      </c>
      <c r="F93" s="22">
        <f t="shared" si="3"/>
        <v>86480.221864000006</v>
      </c>
      <c r="G93" s="22">
        <f>IFERROR(INDEX([2]Sheet1!B:B, MATCH(B93, [2]Sheet1!A:A, 0)), "0.00")</f>
        <v>5500</v>
      </c>
      <c r="H93" s="22">
        <f t="shared" si="4"/>
        <v>91980.221864000006</v>
      </c>
    </row>
    <row r="94" spans="1:8" ht="17.399999999999999" x14ac:dyDescent="0.25">
      <c r="A94" s="29">
        <v>90</v>
      </c>
      <c r="B94" s="20" t="s">
        <v>106</v>
      </c>
      <c r="C94" s="21" t="s">
        <v>249</v>
      </c>
      <c r="D94" s="22">
        <f>VLOOKUP(B94,结果!A:B,2,FALSE)</f>
        <v>136269.82</v>
      </c>
      <c r="E94" s="22">
        <f>VLOOKUP(B94,[1]结果!A:B,2,FALSE)</f>
        <v>99.74</v>
      </c>
      <c r="F94" s="22">
        <f t="shared" si="3"/>
        <v>135915.51846799999</v>
      </c>
      <c r="G94" s="22">
        <f>IFERROR(INDEX([2]Sheet1!B:B, MATCH(B94, [2]Sheet1!A:A, 0)), "0.00")</f>
        <v>600</v>
      </c>
      <c r="H94" s="22">
        <f t="shared" si="4"/>
        <v>136515.51846799999</v>
      </c>
    </row>
    <row r="95" spans="1:8" ht="17.399999999999999" x14ac:dyDescent="0.25">
      <c r="A95" s="29">
        <v>91</v>
      </c>
      <c r="B95" s="20" t="s">
        <v>108</v>
      </c>
      <c r="C95" s="21" t="s">
        <v>249</v>
      </c>
      <c r="D95" s="22">
        <f>VLOOKUP(B95,结果!A:B,2,FALSE)</f>
        <v>15259.41</v>
      </c>
      <c r="E95" s="22">
        <f>VLOOKUP(B95,[1]结果!A:B,2,FALSE)</f>
        <v>97.15</v>
      </c>
      <c r="F95" s="22">
        <f t="shared" si="3"/>
        <v>14824.516815000001</v>
      </c>
      <c r="G95" s="22" t="str">
        <f>IFERROR(INDEX([2]Sheet1!B:B, MATCH(B95, [2]Sheet1!A:A, 0)), "0.00")</f>
        <v>0.00</v>
      </c>
      <c r="H95" s="22">
        <f t="shared" si="4"/>
        <v>14824.516815000001</v>
      </c>
    </row>
    <row r="96" spans="1:8" ht="17.399999999999999" x14ac:dyDescent="0.25">
      <c r="A96" s="29">
        <v>92</v>
      </c>
      <c r="B96" s="20" t="s">
        <v>109</v>
      </c>
      <c r="C96" s="21" t="s">
        <v>249</v>
      </c>
      <c r="D96" s="22">
        <f>VLOOKUP(B96,结果!A:B,2,FALSE)</f>
        <v>61012.44</v>
      </c>
      <c r="E96" s="22">
        <f>VLOOKUP(B96,[1]结果!A:B,2,FALSE)</f>
        <v>97.15</v>
      </c>
      <c r="F96" s="22">
        <f t="shared" si="3"/>
        <v>59273.585460000002</v>
      </c>
      <c r="G96" s="22" t="str">
        <f>IFERROR(INDEX([2]Sheet1!B:B, MATCH(B96, [2]Sheet1!A:A, 0)), "0.00")</f>
        <v>0.00</v>
      </c>
      <c r="H96" s="22">
        <f t="shared" si="4"/>
        <v>59273.585460000002</v>
      </c>
    </row>
    <row r="97" spans="1:8" ht="17.399999999999999" x14ac:dyDescent="0.25">
      <c r="A97" s="29">
        <v>93</v>
      </c>
      <c r="B97" s="20" t="s">
        <v>110</v>
      </c>
      <c r="C97" s="21" t="s">
        <v>249</v>
      </c>
      <c r="D97" s="22">
        <f>VLOOKUP(B97,结果!A:B,2,FALSE)</f>
        <v>13893.82</v>
      </c>
      <c r="E97" s="22">
        <f>VLOOKUP(B97,[1]结果!A:B,2,FALSE)</f>
        <v>98.8</v>
      </c>
      <c r="F97" s="22">
        <f t="shared" si="3"/>
        <v>13727.094159999999</v>
      </c>
      <c r="G97" s="22" t="str">
        <f>IFERROR(INDEX([2]Sheet1!B:B, MATCH(B97, [2]Sheet1!A:A, 0)), "0.00")</f>
        <v>0.00</v>
      </c>
      <c r="H97" s="22">
        <f t="shared" si="4"/>
        <v>13727.094159999999</v>
      </c>
    </row>
    <row r="98" spans="1:8" ht="17.399999999999999" x14ac:dyDescent="0.25">
      <c r="A98" s="29">
        <v>94</v>
      </c>
      <c r="B98" s="20" t="s">
        <v>111</v>
      </c>
      <c r="C98" s="21" t="s">
        <v>249</v>
      </c>
      <c r="D98" s="22">
        <f>VLOOKUP(B98,结果!A:B,2,FALSE)</f>
        <v>17068.93</v>
      </c>
      <c r="E98" s="22">
        <f>VLOOKUP(B98,[1]结果!A:B,2,FALSE)</f>
        <v>97.43</v>
      </c>
      <c r="F98" s="22">
        <f t="shared" si="3"/>
        <v>16630.258499</v>
      </c>
      <c r="G98" s="22" t="str">
        <f>IFERROR(INDEX([2]Sheet1!B:B, MATCH(B98, [2]Sheet1!A:A, 0)), "0.00")</f>
        <v>0.00</v>
      </c>
      <c r="H98" s="22">
        <f t="shared" si="4"/>
        <v>16630.258499</v>
      </c>
    </row>
    <row r="99" spans="1:8" ht="17.399999999999999" x14ac:dyDescent="0.25">
      <c r="A99" s="34" t="s">
        <v>250</v>
      </c>
      <c r="B99" s="34"/>
      <c r="C99" s="34"/>
      <c r="D99" s="22">
        <f>SUM(D5:D98)</f>
        <v>7970298.8220000006</v>
      </c>
      <c r="E99" s="22">
        <f>AVERAGE(E5:E98)</f>
        <v>86.925744680851039</v>
      </c>
      <c r="F99" s="22">
        <f>SUM(F5:F98)</f>
        <v>7488302.474756198</v>
      </c>
      <c r="G99" s="22">
        <f>SUM(G5:G98)</f>
        <v>138186.43</v>
      </c>
      <c r="H99" s="22">
        <f>SUM(H5:H98)</f>
        <v>7626488.9047561986</v>
      </c>
    </row>
    <row r="100" spans="1:8" ht="17.399999999999999" x14ac:dyDescent="0.25">
      <c r="A100" s="35" t="str">
        <f ca="1">"输出时间："&amp;TEXT(NOW(),"yyyy-mm-dd HH:mm:ss")</f>
        <v>输出时间：2025-03-17 08:19:59</v>
      </c>
      <c r="B100" s="35"/>
      <c r="C100" s="35"/>
      <c r="F100" s="24" t="s">
        <v>251</v>
      </c>
      <c r="G100" s="25" t="s">
        <v>252</v>
      </c>
      <c r="H100" s="26"/>
    </row>
    <row r="102" spans="1:8" ht="17.399999999999999" x14ac:dyDescent="0.25">
      <c r="A102" s="30" t="s">
        <v>253</v>
      </c>
      <c r="B102" s="30"/>
      <c r="C102" s="30" t="s">
        <v>254</v>
      </c>
      <c r="D102" s="30"/>
      <c r="E102" s="30" t="s">
        <v>255</v>
      </c>
      <c r="F102" s="30"/>
      <c r="G102" s="25" t="s">
        <v>256</v>
      </c>
      <c r="H102" s="27"/>
    </row>
  </sheetData>
  <mergeCells count="8">
    <mergeCell ref="A102:B102"/>
    <mergeCell ref="C102:D102"/>
    <mergeCell ref="E102:F102"/>
    <mergeCell ref="A1:H1"/>
    <mergeCell ref="A2:H2"/>
    <mergeCell ref="A3:H3"/>
    <mergeCell ref="A99:C99"/>
    <mergeCell ref="A100:C100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5EF7-7AA7-4034-B38E-106B5DF4952C}">
  <sheetPr codeName="Sheet4"/>
  <dimension ref="A1:D64"/>
  <sheetViews>
    <sheetView zoomScale="85" zoomScaleNormal="85" workbookViewId="0">
      <selection activeCell="E64" sqref="B64:E64"/>
    </sheetView>
  </sheetViews>
  <sheetFormatPr defaultRowHeight="13.8" x14ac:dyDescent="0.25"/>
  <cols>
    <col min="1" max="1" width="31.375" bestFit="1" customWidth="1"/>
    <col min="2" max="2" width="23.75" customWidth="1"/>
    <col min="3" max="3" width="19.5" customWidth="1"/>
    <col min="4" max="4" width="22.875" customWidth="1"/>
  </cols>
  <sheetData>
    <row r="1" spans="1:4" x14ac:dyDescent="0.25">
      <c r="A1" s="36" t="s">
        <v>77</v>
      </c>
      <c r="B1" s="36" t="s">
        <v>194</v>
      </c>
      <c r="C1" s="36" t="s">
        <v>193</v>
      </c>
      <c r="D1" s="36" t="s">
        <v>192</v>
      </c>
    </row>
    <row r="2" spans="1:4" x14ac:dyDescent="0.25">
      <c r="A2" s="36"/>
      <c r="B2" s="36"/>
      <c r="C2" s="36"/>
      <c r="D2" s="36"/>
    </row>
    <row r="3" spans="1:4" ht="17.399999999999999" x14ac:dyDescent="0.25">
      <c r="A3" s="1" t="s">
        <v>36</v>
      </c>
      <c r="B3" s="15">
        <f>C3+D3</f>
        <v>96497.24</v>
      </c>
      <c r="C3" s="15">
        <f>ROUND(INDEX([1]结果!$B:$B, MATCH(A3, [1]结果!$A:$A,0))*结果!B3*0.01,2)</f>
        <v>93797.24</v>
      </c>
      <c r="D3" s="15">
        <f>IFERROR(INDEX([2]Sheet1!$B:$B, MATCH(A3, [2]Sheet1!$A:$A, 0)), "0.00")</f>
        <v>2700</v>
      </c>
    </row>
    <row r="4" spans="1:4" ht="17.399999999999999" x14ac:dyDescent="0.25">
      <c r="A4" s="3" t="s">
        <v>37</v>
      </c>
      <c r="B4" s="16">
        <f>C4+D4</f>
        <v>104518.88</v>
      </c>
      <c r="C4" s="16">
        <f>ROUND(INDEX([1]结果!$B:$B, MATCH(A4, [1]结果!$A:$A,0))*结果!B4*0.01,2)</f>
        <v>101818.88</v>
      </c>
      <c r="D4" s="16">
        <f>IFERROR(INDEX([2]Sheet1!$B:$B, MATCH(A4, [2]Sheet1!$A:$A, 0)), "0.00")</f>
        <v>2700</v>
      </c>
    </row>
    <row r="5" spans="1:4" ht="17.399999999999999" x14ac:dyDescent="0.25">
      <c r="A5" s="1" t="s">
        <v>38</v>
      </c>
      <c r="B5" s="15">
        <f t="shared" ref="B5:B63" si="0">C5+D5</f>
        <v>54755.06</v>
      </c>
      <c r="C5" s="15">
        <f>ROUND(INDEX([1]结果!$B:$B, MATCH(A5, [1]结果!$A:$A,0))*结果!B5*0.01,2)</f>
        <v>55593.29</v>
      </c>
      <c r="D5" s="15">
        <f>IFERROR(INDEX([2]Sheet1!$B:$B, MATCH(A5, [2]Sheet1!$A:$A, 0)), "0.00")</f>
        <v>-838.23</v>
      </c>
    </row>
    <row r="6" spans="1:4" ht="17.399999999999999" x14ac:dyDescent="0.25">
      <c r="A6" s="3" t="s">
        <v>39</v>
      </c>
      <c r="B6" s="16">
        <f t="shared" si="0"/>
        <v>39384.89</v>
      </c>
      <c r="C6" s="16">
        <f>ROUND(INDEX([1]结果!$B:$B, MATCH(A6, [1]结果!$A:$A,0))*结果!B6*0.01,2)</f>
        <v>33934.89</v>
      </c>
      <c r="D6" s="16">
        <f>IFERROR(INDEX([2]Sheet1!$B:$B, MATCH(A6, [2]Sheet1!$A:$A, 0)), "0.00")</f>
        <v>5450</v>
      </c>
    </row>
    <row r="7" spans="1:4" ht="17.399999999999999" x14ac:dyDescent="0.25">
      <c r="A7" s="1" t="s">
        <v>40</v>
      </c>
      <c r="B7" s="15">
        <f t="shared" si="0"/>
        <v>53728.63</v>
      </c>
      <c r="C7" s="15">
        <f>ROUND(INDEX([1]结果!$B:$B, MATCH(A7, [1]结果!$A:$A,0))*结果!B7*0.01,2)</f>
        <v>50948.63</v>
      </c>
      <c r="D7" s="15">
        <f>IFERROR(INDEX([2]Sheet1!$B:$B, MATCH(A7, [2]Sheet1!$A:$A, 0)), "0.00")</f>
        <v>2780</v>
      </c>
    </row>
    <row r="8" spans="1:4" ht="17.399999999999999" x14ac:dyDescent="0.25">
      <c r="A8" s="3" t="s">
        <v>41</v>
      </c>
      <c r="B8" s="16">
        <f t="shared" si="0"/>
        <v>48118.55</v>
      </c>
      <c r="C8" s="16">
        <f>ROUND(INDEX([1]结果!$B:$B, MATCH(A8, [1]结果!$A:$A,0))*结果!B8*0.01,2)</f>
        <v>42438.55</v>
      </c>
      <c r="D8" s="16">
        <f>IFERROR(INDEX([2]Sheet1!$B:$B, MATCH(A8, [2]Sheet1!$A:$A, 0)), "0.00")</f>
        <v>5680</v>
      </c>
    </row>
    <row r="9" spans="1:4" ht="17.399999999999999" x14ac:dyDescent="0.25">
      <c r="A9" s="1" t="s">
        <v>42</v>
      </c>
      <c r="B9" s="15">
        <f t="shared" si="0"/>
        <v>113687.44</v>
      </c>
      <c r="C9" s="15">
        <f>ROUND(INDEX([1]结果!$B:$B, MATCH(A9, [1]结果!$A:$A,0))*结果!B9*0.01,2)</f>
        <v>105587.44</v>
      </c>
      <c r="D9" s="15">
        <f>IFERROR(INDEX([2]Sheet1!$B:$B, MATCH(A9, [2]Sheet1!$A:$A, 0)), "0.00")</f>
        <v>8100</v>
      </c>
    </row>
    <row r="10" spans="1:4" ht="17.399999999999999" x14ac:dyDescent="0.25">
      <c r="A10" s="3" t="s">
        <v>43</v>
      </c>
      <c r="B10" s="16">
        <f t="shared" si="0"/>
        <v>74083.38</v>
      </c>
      <c r="C10" s="16">
        <f>ROUND(INDEX([1]结果!$B:$B, MATCH(A10, [1]结果!$A:$A,0))*结果!B10*0.01,2)</f>
        <v>71383.38</v>
      </c>
      <c r="D10" s="16">
        <f>IFERROR(INDEX([2]Sheet1!$B:$B, MATCH(A10, [2]Sheet1!$A:$A, 0)), "0.00")</f>
        <v>2700</v>
      </c>
    </row>
    <row r="11" spans="1:4" ht="17.399999999999999" x14ac:dyDescent="0.25">
      <c r="A11" s="1" t="s">
        <v>44</v>
      </c>
      <c r="B11" s="15">
        <f t="shared" si="0"/>
        <v>82869.02</v>
      </c>
      <c r="C11" s="15">
        <f>ROUND(INDEX([1]结果!$B:$B, MATCH(A11, [1]结果!$A:$A,0))*结果!B11*0.01,2)</f>
        <v>80169.02</v>
      </c>
      <c r="D11" s="15">
        <f>IFERROR(INDEX([2]Sheet1!$B:$B, MATCH(A11, [2]Sheet1!$A:$A, 0)), "0.00")</f>
        <v>2700</v>
      </c>
    </row>
    <row r="12" spans="1:4" ht="17.399999999999999" x14ac:dyDescent="0.25">
      <c r="A12" s="3" t="s">
        <v>45</v>
      </c>
      <c r="B12" s="16">
        <f t="shared" si="0"/>
        <v>34968.35</v>
      </c>
      <c r="C12" s="16">
        <f>ROUND(INDEX([1]结果!$B:$B, MATCH(A12, [1]结果!$A:$A,0))*结果!B12*0.01,2)</f>
        <v>34968.35</v>
      </c>
      <c r="D12" s="16" t="str">
        <f>IFERROR(INDEX([2]Sheet1!$B:$B, MATCH(A12, [2]Sheet1!$A:$A, 0)), "0.00")</f>
        <v>0.00</v>
      </c>
    </row>
    <row r="13" spans="1:4" ht="17.399999999999999" x14ac:dyDescent="0.25">
      <c r="A13" s="1" t="s">
        <v>46</v>
      </c>
      <c r="B13" s="15">
        <f t="shared" si="0"/>
        <v>61393.02</v>
      </c>
      <c r="C13" s="15">
        <f>ROUND(INDEX([1]结果!$B:$B, MATCH(A13, [1]结果!$A:$A,0))*结果!B13*0.01,2)</f>
        <v>51243.02</v>
      </c>
      <c r="D13" s="15">
        <f>IFERROR(INDEX([2]Sheet1!$B:$B, MATCH(A13, [2]Sheet1!$A:$A, 0)), "0.00")</f>
        <v>10150</v>
      </c>
    </row>
    <row r="14" spans="1:4" ht="17.399999999999999" x14ac:dyDescent="0.25">
      <c r="A14" s="3" t="s">
        <v>47</v>
      </c>
      <c r="B14" s="16">
        <f t="shared" si="0"/>
        <v>60228.03</v>
      </c>
      <c r="C14" s="16">
        <f>ROUND(INDEX([1]结果!$B:$B, MATCH(A14, [1]结果!$A:$A,0))*结果!B14*0.01,2)</f>
        <v>60228.03</v>
      </c>
      <c r="D14" s="16" t="str">
        <f>IFERROR(INDEX([2]Sheet1!$B:$B, MATCH(A14, [2]Sheet1!$A:$A, 0)), "0.00")</f>
        <v>0.00</v>
      </c>
    </row>
    <row r="15" spans="1:4" ht="17.399999999999999" x14ac:dyDescent="0.25">
      <c r="A15" s="1" t="s">
        <v>48</v>
      </c>
      <c r="B15" s="15">
        <f t="shared" si="0"/>
        <v>53178.81</v>
      </c>
      <c r="C15" s="15">
        <f>ROUND(INDEX([1]结果!$B:$B, MATCH(A15, [1]结果!$A:$A,0))*结果!B15*0.01,2)</f>
        <v>47778.81</v>
      </c>
      <c r="D15" s="15">
        <f>IFERROR(INDEX([2]Sheet1!$B:$B, MATCH(A15, [2]Sheet1!$A:$A, 0)), "0.00")</f>
        <v>5400</v>
      </c>
    </row>
    <row r="16" spans="1:4" ht="17.399999999999999" x14ac:dyDescent="0.25">
      <c r="A16" s="3" t="s">
        <v>49</v>
      </c>
      <c r="B16" s="16">
        <f t="shared" si="0"/>
        <v>62828</v>
      </c>
      <c r="C16" s="16">
        <f>ROUND(INDEX([1]结果!$B:$B, MATCH(A16, [1]结果!$A:$A,0))*结果!B16*0.01,2)</f>
        <v>60128</v>
      </c>
      <c r="D16" s="16">
        <f>IFERROR(INDEX([2]Sheet1!$B:$B, MATCH(A16, [2]Sheet1!$A:$A, 0)), "0.00")</f>
        <v>2700</v>
      </c>
    </row>
    <row r="17" spans="1:4" ht="17.399999999999999" x14ac:dyDescent="0.25">
      <c r="A17" s="1" t="s">
        <v>50</v>
      </c>
      <c r="B17" s="15">
        <f t="shared" si="0"/>
        <v>61352.53</v>
      </c>
      <c r="C17" s="15">
        <f>ROUND(INDEX([1]结果!$B:$B, MATCH(A17, [1]结果!$A:$A,0))*结果!B17*0.01,2)</f>
        <v>60822.53</v>
      </c>
      <c r="D17" s="15">
        <f>IFERROR(INDEX([2]Sheet1!$B:$B, MATCH(A17, [2]Sheet1!$A:$A, 0)), "0.00")</f>
        <v>530</v>
      </c>
    </row>
    <row r="18" spans="1:4" ht="17.399999999999999" x14ac:dyDescent="0.25">
      <c r="A18" s="3" t="s">
        <v>51</v>
      </c>
      <c r="B18" s="16">
        <f t="shared" si="0"/>
        <v>161575.57999999999</v>
      </c>
      <c r="C18" s="16">
        <f>ROUND(INDEX([1]结果!$B:$B, MATCH(A18, [1]结果!$A:$A,0))*结果!B18*0.01,2)</f>
        <v>158875.57999999999</v>
      </c>
      <c r="D18" s="16">
        <f>IFERROR(INDEX([2]Sheet1!$B:$B, MATCH(A18, [2]Sheet1!$A:$A, 0)), "0.00")</f>
        <v>2700</v>
      </c>
    </row>
    <row r="19" spans="1:4" ht="17.399999999999999" x14ac:dyDescent="0.25">
      <c r="A19" s="1" t="s">
        <v>52</v>
      </c>
      <c r="B19" s="15">
        <f t="shared" si="0"/>
        <v>39660.379999999997</v>
      </c>
      <c r="C19" s="15">
        <f>ROUND(INDEX([1]结果!$B:$B, MATCH(A19, [1]结果!$A:$A,0))*结果!B19*0.01,2)</f>
        <v>34130.379999999997</v>
      </c>
      <c r="D19" s="15">
        <f>IFERROR(INDEX([2]Sheet1!$B:$B, MATCH(A19, [2]Sheet1!$A:$A, 0)), "0.00")</f>
        <v>5530</v>
      </c>
    </row>
    <row r="20" spans="1:4" ht="17.399999999999999" x14ac:dyDescent="0.25">
      <c r="A20" s="3" t="s">
        <v>53</v>
      </c>
      <c r="B20" s="16">
        <f t="shared" si="0"/>
        <v>72404.070000000007</v>
      </c>
      <c r="C20" s="16">
        <f>ROUND(INDEX([1]结果!$B:$B, MATCH(A20, [1]结果!$A:$A,0))*结果!B20*0.01,2)</f>
        <v>72174.070000000007</v>
      </c>
      <c r="D20" s="16">
        <f>IFERROR(INDEX([2]Sheet1!$B:$B, MATCH(A20, [2]Sheet1!$A:$A, 0)), "0.00")</f>
        <v>230</v>
      </c>
    </row>
    <row r="21" spans="1:4" ht="17.399999999999999" x14ac:dyDescent="0.25">
      <c r="A21" s="1" t="s">
        <v>54</v>
      </c>
      <c r="B21" s="15">
        <f t="shared" si="0"/>
        <v>79560.759999999995</v>
      </c>
      <c r="C21" s="15">
        <f>ROUND(INDEX([1]结果!$B:$B, MATCH(A21, [1]结果!$A:$A,0))*结果!B21*0.01,2)</f>
        <v>76710.759999999995</v>
      </c>
      <c r="D21" s="15">
        <f>IFERROR(INDEX([2]Sheet1!$B:$B, MATCH(A21, [2]Sheet1!$A:$A, 0)), "0.00")</f>
        <v>2850</v>
      </c>
    </row>
    <row r="22" spans="1:4" ht="17.399999999999999" x14ac:dyDescent="0.25">
      <c r="A22" s="3" t="s">
        <v>55</v>
      </c>
      <c r="B22" s="16">
        <f t="shared" si="0"/>
        <v>88933.26</v>
      </c>
      <c r="C22" s="16">
        <f>ROUND(INDEX([1]结果!$B:$B, MATCH(A22, [1]结果!$A:$A,0))*结果!B22*0.01,2)</f>
        <v>80833.259999999995</v>
      </c>
      <c r="D22" s="16">
        <f>IFERROR(INDEX([2]Sheet1!$B:$B, MATCH(A22, [2]Sheet1!$A:$A, 0)), "0.00")</f>
        <v>8100</v>
      </c>
    </row>
    <row r="23" spans="1:4" ht="17.399999999999999" x14ac:dyDescent="0.25">
      <c r="A23" s="1" t="s">
        <v>56</v>
      </c>
      <c r="B23" s="15">
        <f t="shared" si="0"/>
        <v>71583.5</v>
      </c>
      <c r="C23" s="15">
        <f>ROUND(INDEX([1]结果!$B:$B, MATCH(A23, [1]结果!$A:$A,0))*结果!B23*0.01,2)</f>
        <v>71503.5</v>
      </c>
      <c r="D23" s="15">
        <f>IFERROR(INDEX([2]Sheet1!$B:$B, MATCH(A23, [2]Sheet1!$A:$A, 0)), "0.00")</f>
        <v>80</v>
      </c>
    </row>
    <row r="24" spans="1:4" ht="17.399999999999999" x14ac:dyDescent="0.25">
      <c r="A24" s="3" t="s">
        <v>57</v>
      </c>
      <c r="B24" s="16">
        <f t="shared" si="0"/>
        <v>85781.96</v>
      </c>
      <c r="C24" s="16">
        <f>ROUND(INDEX([1]结果!$B:$B, MATCH(A24, [1]结果!$A:$A,0))*结果!B24*0.01,2)</f>
        <v>85781.96</v>
      </c>
      <c r="D24" s="16" t="str">
        <f>IFERROR(INDEX([2]Sheet1!$B:$B, MATCH(A24, [2]Sheet1!$A:$A, 0)), "0.00")</f>
        <v>0.00</v>
      </c>
    </row>
    <row r="25" spans="1:4" ht="17.399999999999999" x14ac:dyDescent="0.25">
      <c r="A25" s="1" t="s">
        <v>58</v>
      </c>
      <c r="B25" s="15">
        <f t="shared" si="0"/>
        <v>312344.17</v>
      </c>
      <c r="C25" s="15">
        <f>ROUND(INDEX([1]结果!$B:$B, MATCH(A25, [1]结果!$A:$A,0))*结果!B25*0.01,2)</f>
        <v>304244.17</v>
      </c>
      <c r="D25" s="15">
        <f>IFERROR(INDEX([2]Sheet1!$B:$B, MATCH(A25, [2]Sheet1!$A:$A, 0)), "0.00")</f>
        <v>8100</v>
      </c>
    </row>
    <row r="26" spans="1:4" ht="17.399999999999999" x14ac:dyDescent="0.25">
      <c r="A26" s="3" t="s">
        <v>59</v>
      </c>
      <c r="B26" s="16">
        <f t="shared" si="0"/>
        <v>272963.98</v>
      </c>
      <c r="C26" s="16">
        <f>ROUND(INDEX([1]结果!$B:$B, MATCH("麻醉手术科", [1]结果!$A:$A,0))*结果!B26*0.01,2)</f>
        <v>272963.98</v>
      </c>
      <c r="D26" s="16" t="str">
        <f>IFERROR(INDEX([2]Sheet1!$B:$B, MATCH(A26, [2]Sheet1!$A:$A, 0)), "0.00")</f>
        <v>0.00</v>
      </c>
    </row>
    <row r="27" spans="1:4" ht="17.399999999999999" x14ac:dyDescent="0.25">
      <c r="A27" s="1" t="s">
        <v>60</v>
      </c>
      <c r="B27" s="15">
        <f t="shared" si="0"/>
        <v>142424.20000000001</v>
      </c>
      <c r="C27" s="15">
        <f>ROUND(INDEX([1]结果!$B:$B, MATCH("放射治疗科", [1]结果!$A:$A,0))*结果!B27*0.01,2)</f>
        <v>142374.20000000001</v>
      </c>
      <c r="D27" s="15">
        <f>IFERROR(INDEX([2]Sheet1!$B:$B, MATCH(A27, [2]Sheet1!$A:$A, 0)), "0.00")</f>
        <v>50</v>
      </c>
    </row>
    <row r="28" spans="1:4" ht="17.399999999999999" x14ac:dyDescent="0.25">
      <c r="A28" s="3" t="s">
        <v>61</v>
      </c>
      <c r="B28" s="16">
        <f t="shared" si="0"/>
        <v>50075.360000000001</v>
      </c>
      <c r="C28" s="16">
        <f>ROUND(INDEX([1]结果!$B:$B, MATCH(A28, [1]结果!$A:$A,0))*结果!B28*0.01,2)</f>
        <v>47375.360000000001</v>
      </c>
      <c r="D28" s="16">
        <f>IFERROR(INDEX([2]Sheet1!$B:$B, MATCH(A28, [2]Sheet1!$A:$A, 0)), "0.00")</f>
        <v>2700</v>
      </c>
    </row>
    <row r="29" spans="1:4" ht="17.399999999999999" x14ac:dyDescent="0.25">
      <c r="A29" s="1" t="s">
        <v>62</v>
      </c>
      <c r="B29" s="15">
        <f t="shared" si="0"/>
        <v>136515.51999999999</v>
      </c>
      <c r="C29" s="15">
        <f>ROUND(INDEX([1]结果!$B:$B, MATCH(A29, [1]结果!$A:$A,0))*结果!B29*0.01,2)</f>
        <v>135915.51999999999</v>
      </c>
      <c r="D29" s="15">
        <f>IFERROR(INDEX([2]Sheet1!$B:$B, MATCH(A29, [2]Sheet1!$A:$A, 0)), "0.00")</f>
        <v>600</v>
      </c>
    </row>
    <row r="30" spans="1:4" ht="17.399999999999999" x14ac:dyDescent="0.25">
      <c r="A30" s="3" t="s">
        <v>64</v>
      </c>
      <c r="B30" s="16">
        <f t="shared" si="0"/>
        <v>14824.52</v>
      </c>
      <c r="C30" s="16">
        <f>ROUND(INDEX([1]结果!$B:$B, MATCH(A30, [1]结果!$A:$A,0))*结果!B31*0.01,2)</f>
        <v>14824.52</v>
      </c>
      <c r="D30" s="16" t="str">
        <f>IFERROR(INDEX([2]Sheet1!$B:$B, MATCH(A30, [2]Sheet1!$A:$A, 0)), "0.00")</f>
        <v>0.00</v>
      </c>
    </row>
    <row r="31" spans="1:4" ht="17.399999999999999" x14ac:dyDescent="0.25">
      <c r="A31" s="1" t="s">
        <v>65</v>
      </c>
      <c r="B31" s="15">
        <f t="shared" si="0"/>
        <v>59273.59</v>
      </c>
      <c r="C31" s="15">
        <f>ROUND(INDEX([1]结果!$B:$B, MATCH(A31, [1]结果!$A:$A,0))*结果!B32*0.01,2)</f>
        <v>59273.59</v>
      </c>
      <c r="D31" s="15" t="str">
        <f>IFERROR(INDEX([2]Sheet1!$B:$B, MATCH(A31, [2]Sheet1!$A:$A, 0)), "0.00")</f>
        <v>0.00</v>
      </c>
    </row>
    <row r="32" spans="1:4" ht="17.399999999999999" x14ac:dyDescent="0.25">
      <c r="A32" s="3" t="s">
        <v>66</v>
      </c>
      <c r="B32" s="16">
        <f t="shared" si="0"/>
        <v>13727.09</v>
      </c>
      <c r="C32" s="16">
        <f>ROUND(INDEX([1]结果!$B:$B, MATCH(A32, [1]结果!$A:$A,0))*结果!B33*0.01,2)</f>
        <v>13727.09</v>
      </c>
      <c r="D32" s="16" t="str">
        <f>IFERROR(INDEX([2]Sheet1!$B:$B, MATCH(A32, [2]Sheet1!$A:$A, 0)), "0.00")</f>
        <v>0.00</v>
      </c>
    </row>
    <row r="33" spans="1:4" ht="17.399999999999999" x14ac:dyDescent="0.25">
      <c r="A33" s="1" t="s">
        <v>67</v>
      </c>
      <c r="B33" s="15">
        <f t="shared" si="0"/>
        <v>16630.259999999998</v>
      </c>
      <c r="C33" s="15">
        <f>ROUND(INDEX([1]结果!$B:$B, MATCH(A33, [1]结果!$A:$A,0))*结果!B34*0.01,2)</f>
        <v>16630.259999999998</v>
      </c>
      <c r="D33" s="15" t="str">
        <f>IFERROR(INDEX([2]Sheet1!$B:$B, MATCH(A33, [2]Sheet1!$A:$A, 0)), "0.00")</f>
        <v>0.00</v>
      </c>
    </row>
    <row r="34" spans="1:4" ht="17.399999999999999" x14ac:dyDescent="0.25">
      <c r="A34" s="3" t="s">
        <v>195</v>
      </c>
      <c r="B34" s="16">
        <f t="shared" si="0"/>
        <v>23822.82</v>
      </c>
      <c r="C34" s="16">
        <f>ROUND(INDEX([1]结果!$B:$B, MATCH("收费管理科", [1]结果!$A:$A,0))*结果!B38*0.01,2)</f>
        <v>23822.82</v>
      </c>
      <c r="D34" s="16" t="str">
        <f>IFERROR(INDEX([2]Sheet1!$B:$B, MATCH(A34, [2]Sheet1!$A:$A, 0)), "0.00")</f>
        <v>0.00</v>
      </c>
    </row>
    <row r="35" spans="1:4" ht="17.399999999999999" x14ac:dyDescent="0.25">
      <c r="A35" s="1" t="s">
        <v>126</v>
      </c>
      <c r="B35" s="15">
        <f t="shared" si="0"/>
        <v>273182.90000000002</v>
      </c>
      <c r="C35" s="15">
        <f>ROUND(INDEX([1]结果!$B:$B, MATCH("药学部（职能）", [1]结果!$A:$A,0))*结果!B39*0.01,2)</f>
        <v>269182.90000000002</v>
      </c>
      <c r="D35" s="15">
        <f>IFERROR(INDEX([2]Sheet1!$B:$B, MATCH(A35, [2]Sheet1!$A:$A, 0)), "0.00")</f>
        <v>4000</v>
      </c>
    </row>
    <row r="36" spans="1:4" ht="17.399999999999999" x14ac:dyDescent="0.25">
      <c r="A36" s="3" t="s">
        <v>197</v>
      </c>
      <c r="B36" s="16">
        <f t="shared" si="0"/>
        <v>38849.089999999997</v>
      </c>
      <c r="C36" s="16">
        <f>ROUND(INDEX([1]结果!$B:$B, MATCH("收费管理科", [1]结果!$A:$A,0))*结果!B40*0.01,2)</f>
        <v>38849.089999999997</v>
      </c>
      <c r="D36" s="16" t="str">
        <f>IFERROR(INDEX([2]Sheet1!$B:$B, MATCH(A36, [2]Sheet1!$A:$A, 0)), "0.00")</f>
        <v>0.00</v>
      </c>
    </row>
    <row r="37" spans="1:4" ht="17.399999999999999" x14ac:dyDescent="0.25">
      <c r="A37" s="1" t="s">
        <v>127</v>
      </c>
      <c r="B37" s="15">
        <f t="shared" si="0"/>
        <v>1322690.1499999999</v>
      </c>
      <c r="C37" s="15">
        <f>ROUND(100*结果!B41*0.01,2)</f>
        <v>1322690.1499999999</v>
      </c>
      <c r="D37" s="15" t="str">
        <f>IFERROR(INDEX([2]Sheet1!$B:$B, MATCH(A37, [2]Sheet1!$A:$A, 0)), "0.00")</f>
        <v>0.00</v>
      </c>
    </row>
    <row r="38" spans="1:4" ht="17.399999999999999" x14ac:dyDescent="0.25">
      <c r="A38" s="3" t="s">
        <v>132</v>
      </c>
      <c r="B38" s="16">
        <f t="shared" si="0"/>
        <v>197552.61</v>
      </c>
      <c r="C38" s="16">
        <f>ROUND(100*结果!B42*0.01,2)</f>
        <v>197552.61</v>
      </c>
      <c r="D38" s="16" t="str">
        <f>IFERROR(INDEX([2]Sheet1!$B:$B, MATCH(A38, [2]Sheet1!$A:$A, 0)), "0.00")</f>
        <v>0.00</v>
      </c>
    </row>
    <row r="39" spans="1:4" ht="17.399999999999999" x14ac:dyDescent="0.25">
      <c r="A39" s="1" t="s">
        <v>128</v>
      </c>
      <c r="B39" s="15">
        <f t="shared" si="0"/>
        <v>176228.87</v>
      </c>
      <c r="C39" s="15">
        <f>ROUND(INDEX([1]结果!$B:$B, MATCH(A39, [1]结果!$A:$A,0))*结果!B43*0.01,2)</f>
        <v>173228.87</v>
      </c>
      <c r="D39" s="15">
        <f>IFERROR(INDEX([2]Sheet1!$B:$B, MATCH(A39, [2]Sheet1!$A:$A, 0)), "0.00")</f>
        <v>3000</v>
      </c>
    </row>
    <row r="40" spans="1:4" ht="17.399999999999999" x14ac:dyDescent="0.25">
      <c r="A40" s="3" t="s">
        <v>198</v>
      </c>
      <c r="B40" s="16">
        <f t="shared" si="0"/>
        <v>332769.76</v>
      </c>
      <c r="C40" s="16">
        <f>ROUND(INDEX([1]结果!$B:$B, MATCH(A40, [1]结果!$A:$A,0))*结果!B44*0.01,2)</f>
        <v>327169.76</v>
      </c>
      <c r="D40" s="16">
        <f>IFERROR(INDEX([2]Sheet1!$B:$B, MATCH(A40, [2]Sheet1!$A:$A, 0)), "0.00")</f>
        <v>5600</v>
      </c>
    </row>
    <row r="41" spans="1:4" ht="17.399999999999999" x14ac:dyDescent="0.25">
      <c r="A41" s="1" t="s">
        <v>129</v>
      </c>
      <c r="B41" s="15">
        <f t="shared" si="0"/>
        <v>222071.48</v>
      </c>
      <c r="C41" s="15">
        <f>ROUND(INDEX([1]结果!$B:$B, MATCH(A41, [1]结果!$A:$A,0))*结果!B45*0.01,2)</f>
        <v>219171.48</v>
      </c>
      <c r="D41" s="15">
        <f>IFERROR(INDEX([2]Sheet1!$B:$B, MATCH(A41, [2]Sheet1!$A:$A, 0)), "0.00")</f>
        <v>2900</v>
      </c>
    </row>
    <row r="42" spans="1:4" ht="17.399999999999999" x14ac:dyDescent="0.25">
      <c r="A42" s="3" t="s">
        <v>196</v>
      </c>
      <c r="B42" s="16">
        <f t="shared" si="0"/>
        <v>70877.59</v>
      </c>
      <c r="C42" s="16">
        <f>ROUND(INDEX([1]结果!$B:$B, MATCH(A42, [1]结果!$A:$A,0))*结果!B46*0.01,2)</f>
        <v>57327.59</v>
      </c>
      <c r="D42" s="16">
        <f>IFERROR(INDEX([2]Sheet1!$B:$B, MATCH(A42, [2]Sheet1!$A:$A, 0)), "0.00")</f>
        <v>13550</v>
      </c>
    </row>
    <row r="43" spans="1:4" ht="17.399999999999999" x14ac:dyDescent="0.25">
      <c r="A43" s="1" t="s">
        <v>130</v>
      </c>
      <c r="B43" s="15">
        <f t="shared" si="0"/>
        <v>232971.92</v>
      </c>
      <c r="C43" s="15">
        <f>ROUND(INDEX([1]结果!$B:$B, MATCH(A43, [1]结果!$A:$A,0))*结果!B47*0.01,2)</f>
        <v>232971.92</v>
      </c>
      <c r="D43" s="15" t="str">
        <f>IFERROR(INDEX([2]Sheet1!$B:$B, MATCH(A43, [2]Sheet1!$A:$A, 0)), "0.00")</f>
        <v>0.00</v>
      </c>
    </row>
    <row r="44" spans="1:4" ht="17.399999999999999" x14ac:dyDescent="0.25">
      <c r="A44" s="3" t="s">
        <v>199</v>
      </c>
      <c r="B44" s="16">
        <f t="shared" si="0"/>
        <v>85909.97</v>
      </c>
      <c r="C44" s="16">
        <f>ROUND(INDEX([1]结果!$B:$B, MATCH(A44, [1]结果!$A:$A,0))*结果!B48*0.01,2)</f>
        <v>84109.97</v>
      </c>
      <c r="D44" s="16">
        <f>IFERROR(INDEX([2]Sheet1!$B:$B, MATCH(A44, [2]Sheet1!$A:$A, 0)), "0.00")</f>
        <v>1800</v>
      </c>
    </row>
    <row r="45" spans="1:4" ht="17.399999999999999" x14ac:dyDescent="0.25">
      <c r="A45" s="1" t="s">
        <v>131</v>
      </c>
      <c r="B45" s="15">
        <f t="shared" si="0"/>
        <v>52197.760000000002</v>
      </c>
      <c r="C45" s="15">
        <f>ROUND(INDEX([1]结果!$B:$B, MATCH("感染管理科", [1]结果!$A:$A,0))*结果!B49*0.01,2)</f>
        <v>52197.760000000002</v>
      </c>
      <c r="D45" s="15" t="str">
        <f>IFERROR(INDEX([2]Sheet1!$B:$B, MATCH(A45, [2]Sheet1!$A:$A, 0)), "0.00")</f>
        <v>0.00</v>
      </c>
    </row>
    <row r="46" spans="1:4" ht="17.399999999999999" x14ac:dyDescent="0.25">
      <c r="A46" s="3" t="s">
        <v>172</v>
      </c>
      <c r="B46" s="16">
        <f t="shared" si="0"/>
        <v>89546.34</v>
      </c>
      <c r="C46" s="16">
        <f>ROUND(INDEX([1]结果!$B:$B, MATCH(LEFT(A46, LEN(A46)-2), [1]结果!$A:$A,0))*结果!B50*0.01,2)</f>
        <v>89346.34</v>
      </c>
      <c r="D46" s="16">
        <f>IFERROR(INDEX([2]Sheet1!$B:$B, MATCH(A46, [2]Sheet1!$A:$A, 0)), "0.00")</f>
        <v>200</v>
      </c>
    </row>
    <row r="47" spans="1:4" ht="17.399999999999999" x14ac:dyDescent="0.25">
      <c r="A47" s="1" t="s">
        <v>173</v>
      </c>
      <c r="B47" s="15">
        <f t="shared" si="0"/>
        <v>110961.02</v>
      </c>
      <c r="C47" s="15">
        <f>ROUND(ROUND((INDEX([1]结果!$B:$B, MATCH("胸外二科", [1]结果!$A:$A,0))+INDEX([1]结果!$B:$B, MATCH("介入治疗科", [1]结果!$A:$A,0)))/2,2)*结果!B51*0.01,2)</f>
        <v>107311.02</v>
      </c>
      <c r="D47" s="15">
        <f>IFERROR(INDEX([2]Sheet1!$B:$B, MATCH(A47, [2]Sheet1!$A:$A, 0)), "0.00")</f>
        <v>3650</v>
      </c>
    </row>
    <row r="48" spans="1:4" ht="17.399999999999999" x14ac:dyDescent="0.25">
      <c r="A48" s="3" t="s">
        <v>174</v>
      </c>
      <c r="B48" s="16">
        <f t="shared" si="0"/>
        <v>59237.08</v>
      </c>
      <c r="C48" s="16">
        <f>ROUND(INDEX([1]结果!$B:$B, MATCH(LEFT(A48, LEN(A48)-2), [1]结果!$A:$A,0))*结果!B52*0.01,2)</f>
        <v>59037.08</v>
      </c>
      <c r="D48" s="16">
        <f>IFERROR(INDEX([2]Sheet1!$B:$B, MATCH(A48, [2]Sheet1!$A:$A, 0)), "0.00")</f>
        <v>200</v>
      </c>
    </row>
    <row r="49" spans="1:4" ht="17.399999999999999" x14ac:dyDescent="0.25">
      <c r="A49" s="1" t="s">
        <v>155</v>
      </c>
      <c r="B49" s="15">
        <f t="shared" si="0"/>
        <v>131564.19</v>
      </c>
      <c r="C49" s="15">
        <f>ROUND(INDEX([1]结果!$B:$B, MATCH(LEFT(A49, LEN(A49)-2), [1]结果!$A:$A,0))*结果!B53*0.01,2)</f>
        <v>129714.19</v>
      </c>
      <c r="D49" s="15">
        <f>IFERROR(INDEX([2]Sheet1!$B:$B, MATCH(A49, [2]Sheet1!$A:$A, 0)), "0.00")</f>
        <v>1850</v>
      </c>
    </row>
    <row r="50" spans="1:4" ht="17.399999999999999" x14ac:dyDescent="0.25">
      <c r="A50" s="3" t="s">
        <v>153</v>
      </c>
      <c r="B50" s="16">
        <f t="shared" si="0"/>
        <v>114315.09</v>
      </c>
      <c r="C50" s="16">
        <f>ROUND(INDEX([1]结果!$B:$B, MATCH(LEFT(A50, LEN(A50)-2), [1]结果!$A:$A,0))*结果!B54*0.01,2)</f>
        <v>112315.09</v>
      </c>
      <c r="D50" s="16">
        <f>IFERROR(INDEX([2]Sheet1!$B:$B, MATCH(A50, [2]Sheet1!$A:$A, 0)), "0.00")</f>
        <v>2000</v>
      </c>
    </row>
    <row r="51" spans="1:4" ht="17.399999999999999" x14ac:dyDescent="0.25">
      <c r="A51" s="1" t="s">
        <v>175</v>
      </c>
      <c r="B51" s="15">
        <f t="shared" si="0"/>
        <v>103051.71</v>
      </c>
      <c r="C51" s="15">
        <f>ROUND(INDEX([1]结果!$B:$B, MATCH(LEFT(A51, LEN(A51)-2), [1]结果!$A:$A,0))*结果!B55*0.01,2)</f>
        <v>102801.71</v>
      </c>
      <c r="D51" s="15">
        <f>IFERROR(INDEX([2]Sheet1!$B:$B, MATCH(A51, [2]Sheet1!$A:$A, 0)), "0.00")</f>
        <v>250</v>
      </c>
    </row>
    <row r="52" spans="1:4" ht="17.399999999999999" x14ac:dyDescent="0.25">
      <c r="A52" s="3" t="s">
        <v>176</v>
      </c>
      <c r="B52" s="16">
        <f t="shared" si="0"/>
        <v>65988.25</v>
      </c>
      <c r="C52" s="16">
        <f>ROUND(INDEX([1]结果!$B:$B, MATCH(LEFT(A52, LEN(A52)-2), [1]结果!$A:$A,0))*结果!B56*0.01,2)</f>
        <v>65938.25</v>
      </c>
      <c r="D52" s="16">
        <f>IFERROR(INDEX([2]Sheet1!$B:$B, MATCH(A52, [2]Sheet1!$A:$A, 0)), "0.00")</f>
        <v>50</v>
      </c>
    </row>
    <row r="53" spans="1:4" ht="17.399999999999999" x14ac:dyDescent="0.25">
      <c r="A53" s="1" t="s">
        <v>159</v>
      </c>
      <c r="B53" s="15">
        <f t="shared" si="0"/>
        <v>100021.24</v>
      </c>
      <c r="C53" s="15">
        <f>ROUND(INDEX([1]结果!$B:$B, MATCH(LEFT(A53, LEN(A53)-2), [1]结果!$A:$A,0))*结果!B57*0.01,2)</f>
        <v>98121.24</v>
      </c>
      <c r="D53" s="15">
        <f>IFERROR(INDEX([2]Sheet1!$B:$B, MATCH(A53, [2]Sheet1!$A:$A, 0)), "0.00")</f>
        <v>1900</v>
      </c>
    </row>
    <row r="54" spans="1:4" ht="17.399999999999999" x14ac:dyDescent="0.25">
      <c r="A54" s="3" t="s">
        <v>177</v>
      </c>
      <c r="B54" s="16">
        <f t="shared" si="0"/>
        <v>91980.22</v>
      </c>
      <c r="C54" s="16">
        <f>ROUND(ROUND((INDEX([1]结果!$B:$B, MATCH("骨与软组织二科", [1]结果!$A:$A,0))+INDEX([1]结果!$B:$B, MATCH("妇瘤二科", [1]结果!$A:$A,0)))/2,2)*结果!B58*0.01,2)</f>
        <v>86480.22</v>
      </c>
      <c r="D54" s="16">
        <f>IFERROR(INDEX([2]Sheet1!$B:$B, MATCH(A54, [2]Sheet1!$A:$A, 0)), "0.00")</f>
        <v>5500</v>
      </c>
    </row>
    <row r="55" spans="1:4" ht="17.399999999999999" x14ac:dyDescent="0.25">
      <c r="A55" s="1" t="s">
        <v>178</v>
      </c>
      <c r="B55" s="15">
        <f t="shared" si="0"/>
        <v>93165.3</v>
      </c>
      <c r="C55" s="15">
        <f>ROUND(INDEX([1]结果!$B:$B, MATCH(LEFT(A55, LEN(A55)-2), [1]结果!$A:$A,0))*结果!B59*0.01,2)</f>
        <v>91365.3</v>
      </c>
      <c r="D55" s="15">
        <f>IFERROR(INDEX([2]Sheet1!$B:$B, MATCH(A55, [2]Sheet1!$A:$A, 0)), "0.00")</f>
        <v>1800</v>
      </c>
    </row>
    <row r="56" spans="1:4" ht="17.399999999999999" x14ac:dyDescent="0.25">
      <c r="A56" s="3" t="s">
        <v>160</v>
      </c>
      <c r="B56" s="16">
        <f t="shared" si="0"/>
        <v>131906.89000000001</v>
      </c>
      <c r="C56" s="16">
        <f>ROUND(ROUND((INDEX([1]结果!$B:$B, MATCH("肝胆胰肿瘤外科", [1]结果!$A:$A,0))+INDEX([1]结果!$B:$B, MATCH("泌尿外科", [1]结果!$A:$A,0)))/2,2)*结果!B60*0.01,2)</f>
        <v>130006.89</v>
      </c>
      <c r="D56" s="16">
        <f>IFERROR(INDEX([2]Sheet1!$B:$B, MATCH(A56, [2]Sheet1!$A:$A, 0)), "0.00")</f>
        <v>1900</v>
      </c>
    </row>
    <row r="57" spans="1:4" ht="17.399999999999999" x14ac:dyDescent="0.25">
      <c r="A57" s="1" t="s">
        <v>158</v>
      </c>
      <c r="B57" s="15">
        <f t="shared" si="0"/>
        <v>71861.48</v>
      </c>
      <c r="C57" s="15">
        <f>ROUND(INDEX([1]结果!$B:$B, MATCH(LEFT(A57, LEN(A57)-2), [1]结果!$A:$A,0))*结果!B61*0.01,2)</f>
        <v>71811.48</v>
      </c>
      <c r="D57" s="15">
        <f>IFERROR(INDEX([2]Sheet1!$B:$B, MATCH(A57, [2]Sheet1!$A:$A, 0)), "0.00")</f>
        <v>50</v>
      </c>
    </row>
    <row r="58" spans="1:4" ht="17.399999999999999" x14ac:dyDescent="0.25">
      <c r="A58" s="3" t="s">
        <v>161</v>
      </c>
      <c r="B58" s="16">
        <f t="shared" si="0"/>
        <v>73592.11</v>
      </c>
      <c r="C58" s="16">
        <f>ROUND(INDEX([1]结果!$B:$B, MATCH(LEFT(A58, LEN(A58)-2), [1]结果!$A:$A,0))*结果!B62*0.01,2)</f>
        <v>73462.11</v>
      </c>
      <c r="D58" s="16">
        <f>IFERROR(INDEX([2]Sheet1!$B:$B, MATCH(A58, [2]Sheet1!$A:$A, 0)), "0.00")</f>
        <v>130</v>
      </c>
    </row>
    <row r="59" spans="1:4" ht="17.399999999999999" x14ac:dyDescent="0.25">
      <c r="A59" s="1" t="s">
        <v>157</v>
      </c>
      <c r="B59" s="15">
        <f t="shared" si="0"/>
        <v>313352.94999999995</v>
      </c>
      <c r="C59" s="15">
        <f>ROUND(INDEX([1]结果!$B:$B, MATCH(LEFT(A59, LEN(A59)-2), [1]结果!$A:$A,0))*结果!B63*0.01,2)</f>
        <v>312908.28999999998</v>
      </c>
      <c r="D59" s="15">
        <f>IFERROR(INDEX([2]Sheet1!$B:$B, MATCH(A59, [2]Sheet1!$A:$A, 0)), "0.00")</f>
        <v>444.66</v>
      </c>
    </row>
    <row r="60" spans="1:4" ht="17.399999999999999" x14ac:dyDescent="0.25">
      <c r="A60" s="3" t="s">
        <v>154</v>
      </c>
      <c r="B60" s="16">
        <f t="shared" si="0"/>
        <v>84770.38</v>
      </c>
      <c r="C60" s="16">
        <f>ROUND(INDEX([1]结果!$B:$B, MATCH(LEFT(A60, LEN(A60)-2), [1]结果!$A:$A,0))*结果!B64*0.01,2)</f>
        <v>84520.38</v>
      </c>
      <c r="D60" s="16">
        <f>IFERROR(INDEX([2]Sheet1!$B:$B, MATCH(A60, [2]Sheet1!$A:$A, 0)), "0.00")</f>
        <v>250</v>
      </c>
    </row>
    <row r="61" spans="1:4" ht="17.399999999999999" x14ac:dyDescent="0.25">
      <c r="A61" s="1" t="s">
        <v>179</v>
      </c>
      <c r="B61" s="15">
        <f t="shared" si="0"/>
        <v>107757.41</v>
      </c>
      <c r="C61" s="15">
        <f>ROUND(ROUND((INDEX([1]结果!$B:$B, MATCH("中西医结合科", [1]结果!$A:$A,0))+INDEX([1]结果!$B:$B, MATCH("乳腺内科", [1]结果!$A:$A,0)))/2,2)*结果!B65*0.01,2)</f>
        <v>103957.41</v>
      </c>
      <c r="D61" s="15">
        <f>IFERROR(INDEX([2]Sheet1!$B:$B, MATCH(A61, [2]Sheet1!$A:$A, 0)), "0.00")</f>
        <v>3800</v>
      </c>
    </row>
    <row r="62" spans="1:4" ht="17.399999999999999" x14ac:dyDescent="0.25">
      <c r="A62" s="3" t="s">
        <v>180</v>
      </c>
      <c r="B62" s="16">
        <f t="shared" si="0"/>
        <v>137226.76999999999</v>
      </c>
      <c r="C62" s="16">
        <f>ROUND(INDEX([1]结果!$B:$B, MATCH(LEFT(A62, LEN(A62)-2), [1]结果!$A:$A,0))*结果!B66*0.01,2)</f>
        <v>137026.76999999999</v>
      </c>
      <c r="D62" s="16">
        <f>IFERROR(INDEX([2]Sheet1!$B:$B, MATCH(A62, [2]Sheet1!$A:$A, 0)), "0.00")</f>
        <v>200</v>
      </c>
    </row>
    <row r="63" spans="1:4" ht="17.399999999999999" x14ac:dyDescent="0.25">
      <c r="A63" s="1" t="s">
        <v>156</v>
      </c>
      <c r="B63" s="15">
        <f t="shared" si="0"/>
        <v>95905.54</v>
      </c>
      <c r="C63" s="15">
        <f>ROUND(INDEX([1]结果!$B:$B, MATCH(LEFT(A63, LEN(A63)-2), [1]结果!$A:$A,0))*结果!B67*0.01,2)</f>
        <v>95725.54</v>
      </c>
      <c r="D63" s="15">
        <f>IFERROR(INDEX([2]Sheet1!$B:$B, MATCH(A63, [2]Sheet1!$A:$A, 0)), "0.00")</f>
        <v>180</v>
      </c>
    </row>
    <row r="64" spans="1:4" x14ac:dyDescent="0.25">
      <c r="B64" s="28"/>
      <c r="D64" s="28"/>
    </row>
  </sheetData>
  <mergeCells count="4">
    <mergeCell ref="A1:A2"/>
    <mergeCell ref="B1:B2"/>
    <mergeCell ref="C1:C2"/>
    <mergeCell ref="D1:D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zoomScale="70" zoomScaleNormal="70" workbookViewId="0">
      <pane xSplit="5" ySplit="2" topLeftCell="F37" activePane="bottomRight" state="frozen"/>
      <selection pane="topRight" activeCell="F1" sqref="F1"/>
      <selection pane="bottomLeft" activeCell="A3" sqref="A3"/>
      <selection pane="bottomRight" activeCell="B26" sqref="B2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36"/>
      <c r="B1" s="36" t="s">
        <v>0</v>
      </c>
      <c r="C1" s="36" t="s">
        <v>1</v>
      </c>
      <c r="D1" s="36" t="s">
        <v>2</v>
      </c>
      <c r="E1" s="36" t="s">
        <v>3</v>
      </c>
      <c r="F1" s="39" t="s">
        <v>4</v>
      </c>
      <c r="G1" s="37" t="s">
        <v>5</v>
      </c>
      <c r="H1" s="37" t="s">
        <v>6</v>
      </c>
      <c r="I1" s="37" t="s">
        <v>7</v>
      </c>
      <c r="J1" s="37" t="s">
        <v>8</v>
      </c>
      <c r="K1" s="37" t="s">
        <v>9</v>
      </c>
      <c r="L1" s="37" t="s">
        <v>10</v>
      </c>
      <c r="M1" s="37" t="s">
        <v>11</v>
      </c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  <c r="T1" s="37" t="s">
        <v>18</v>
      </c>
      <c r="U1" s="37" t="s">
        <v>19</v>
      </c>
      <c r="V1" s="37" t="s">
        <v>20</v>
      </c>
      <c r="W1" s="37" t="s">
        <v>21</v>
      </c>
      <c r="X1" s="37" t="s">
        <v>22</v>
      </c>
      <c r="Y1" s="37" t="s">
        <v>23</v>
      </c>
      <c r="Z1" s="37" t="s">
        <v>24</v>
      </c>
      <c r="AA1" s="37" t="s">
        <v>25</v>
      </c>
      <c r="AB1" s="37" t="s">
        <v>118</v>
      </c>
      <c r="AC1" s="37" t="s">
        <v>26</v>
      </c>
      <c r="AD1" s="37" t="s">
        <v>117</v>
      </c>
      <c r="AE1" s="37" t="s">
        <v>28</v>
      </c>
      <c r="AF1" s="37" t="s">
        <v>29</v>
      </c>
      <c r="AG1" s="37" t="s">
        <v>30</v>
      </c>
      <c r="AH1" s="37" t="s">
        <v>31</v>
      </c>
      <c r="AI1" s="37" t="s">
        <v>34</v>
      </c>
      <c r="AJ1" s="37" t="s">
        <v>35</v>
      </c>
      <c r="AK1" s="37" t="s">
        <v>71</v>
      </c>
      <c r="AL1" s="37" t="s">
        <v>72</v>
      </c>
      <c r="AM1" s="37" t="s">
        <v>73</v>
      </c>
      <c r="AN1" s="37" t="s">
        <v>74</v>
      </c>
      <c r="AO1" s="37" t="s">
        <v>75</v>
      </c>
      <c r="AP1" s="37" t="s">
        <v>76</v>
      </c>
      <c r="AQ1" s="37" t="s">
        <v>133</v>
      </c>
      <c r="AR1" s="37" t="s">
        <v>134</v>
      </c>
      <c r="AS1" s="37" t="s">
        <v>181</v>
      </c>
      <c r="AT1" s="37" t="s">
        <v>162</v>
      </c>
      <c r="AU1" s="37" t="s">
        <v>163</v>
      </c>
      <c r="AV1" s="37" t="s">
        <v>164</v>
      </c>
      <c r="AW1" s="37" t="s">
        <v>165</v>
      </c>
      <c r="AX1" s="37" t="s">
        <v>166</v>
      </c>
      <c r="AY1" s="37" t="s">
        <v>167</v>
      </c>
      <c r="AZ1" s="37" t="s">
        <v>168</v>
      </c>
      <c r="BA1" s="37" t="s">
        <v>169</v>
      </c>
      <c r="BB1" s="37" t="s">
        <v>170</v>
      </c>
      <c r="BC1" s="37" t="s">
        <v>171</v>
      </c>
    </row>
    <row r="2" spans="1:55" ht="33.6" customHeight="1" x14ac:dyDescent="0.25">
      <c r="A2" s="36"/>
      <c r="B2" s="36"/>
      <c r="C2" s="36"/>
      <c r="D2" s="36"/>
      <c r="E2" s="36"/>
      <c r="F2" s="40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7" t="s">
        <v>26</v>
      </c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101249.18</v>
      </c>
      <c r="C3" s="2">
        <f>ROUND(IFERROR(L3+AG3+IF(AA3&lt;&gt;"--",AA3,0),"0"),2)</f>
        <v>18080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83169.179999999993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22660.74</v>
      </c>
      <c r="G3" s="2">
        <f>IFERROR(INDEX([4]Sheet1!$AK:$AK, MATCH(A3, [4]Sheet1!$A:$A, 0)) * 积分!C3, "--")</f>
        <v>340</v>
      </c>
      <c r="H3" s="2">
        <f>IFERROR(INDEX([4]Sheet1!$AB:$AB, MATCH(A3, [4]Sheet1!$A:$A, 0)) * 积分!D3, "--")</f>
        <v>210</v>
      </c>
      <c r="I3" s="2">
        <f>IFERROR(INDEX([4]Sheet1!$AA:$AA, MATCH(A3, [4]Sheet1!$A:$A, 0)) * 积分!E3, "--")</f>
        <v>640</v>
      </c>
      <c r="J3" s="2">
        <f>IFERROR(INDEX([4]Sheet1!$Z:$Z, MATCH(A3, [4]Sheet1!$A:$A, 0)) * 积分!F3, "--")</f>
        <v>2880</v>
      </c>
      <c r="K3" s="2">
        <f>IFERROR(INDEX([4]Sheet1!$Y:$Y, MATCH(A3, [4]Sheet1!$A:$A, 0)) * 积分!G3, "--")</f>
        <v>55200</v>
      </c>
      <c r="L3" s="2" cm="1">
        <f t="array" ref="L3">IFERROR(
门诊折扣比例(
(
INDEX([5]Sheet1!$D:$D, MATCH(A3, [5]Sheet1!$B:$B, 0))
/
次均费用!B3
)
)
*INDEX([5]Sheet1!$C:$C, MATCH(A3, [5]Sheet1!$B:$B, 0))
* 积分!H3, "--")</f>
        <v>18080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18.399999999999999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3726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451.17799999999994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600</v>
      </c>
      <c r="AK3" s="2">
        <f>IFERROR(INDEX([4]Sheet1!$AE:$AE, MATCH(A3, [4]Sheet1!$A:$A, 0)) * 积分!AC3, "--")</f>
        <v>204.92000000000002</v>
      </c>
      <c r="AL3" s="2">
        <f>IFERROR(INDEX([4]Sheet1!$AF:$AF, MATCH(A3, [4]Sheet1!$A:$A, 0)) * 积分!AD3, "--")</f>
        <v>230.1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119</v>
      </c>
      <c r="AT3" s="12" t="s">
        <v>119</v>
      </c>
      <c r="AU3" s="12" t="s">
        <v>119</v>
      </c>
      <c r="AV3" s="12" t="s">
        <v>119</v>
      </c>
      <c r="AW3" s="12" t="s">
        <v>119</v>
      </c>
      <c r="AX3" s="12" t="s">
        <v>119</v>
      </c>
      <c r="AY3" s="12" t="s">
        <v>119</v>
      </c>
      <c r="AZ3" s="12" t="s">
        <v>119</v>
      </c>
      <c r="BA3" s="12" t="s">
        <v>119</v>
      </c>
      <c r="BB3" s="12" t="s">
        <v>119</v>
      </c>
      <c r="BC3" s="12" t="s">
        <v>119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109600.52</v>
      </c>
      <c r="C4" s="4">
        <f>ROUND(IFERROR(L4+AG4+IF(AA4&lt;&gt;"--",AA4,0),"0"),2)</f>
        <v>18370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91230.52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26859.62</v>
      </c>
      <c r="G4" s="4">
        <f>IFERROR(INDEX([4]Sheet1!$AK:$AK, MATCH(A4, [4]Sheet1!$A:$A, 0)) * 积分!C4, "--")</f>
        <v>400</v>
      </c>
      <c r="H4" s="4">
        <f>IFERROR(INDEX([4]Sheet1!$AB:$AB, MATCH(A4, [4]Sheet1!$A:$A, 0)) * 积分!D4, "--")</f>
        <v>60</v>
      </c>
      <c r="I4" s="4">
        <f>IFERROR(INDEX([4]Sheet1!$AA:$AA, MATCH(A4, [4]Sheet1!$A:$A, 0)) * 积分!E4, "--")</f>
        <v>240</v>
      </c>
      <c r="J4" s="4">
        <f>IFERROR(INDEX([4]Sheet1!$Z:$Z, MATCH(A4, [4]Sheet1!$A:$A, 0)) * 积分!F4, "--")</f>
        <v>7040</v>
      </c>
      <c r="K4" s="4">
        <f>IFERROR(INDEX([4]Sheet1!$Y:$Y, MATCH(A4, [4]Sheet1!$A:$A, 0)) * 积分!G4, "--")</f>
        <v>51000</v>
      </c>
      <c r="L4" s="4" cm="1">
        <f t="array" ref="L4">IFERROR(
门诊折扣比例(
(
INDEX([5]Sheet1!$D:$D, MATCH(A4, [5]Sheet1!$B:$B, 0))
/
次均费用!B4
)
)
*INDEX([5]Sheet1!$C:$C, MATCH(A4, [5]Sheet1!$B:$B, 0))
* 积分!H4, "--")</f>
        <v>18370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13.8</v>
      </c>
      <c r="O4" s="4">
        <f>IFERROR(INDEX([3]Sheet1!$E:$E, MATCH(A4, [3]Sheet1!$B:$B, 0)) * 积分!K4, "--")</f>
        <v>36.799999999999997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7912.3499999999995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600</v>
      </c>
      <c r="AK4" s="4">
        <f>IFERROR(INDEX([4]Sheet1!$AE:$AE, MATCH(A4, [4]Sheet1!$A:$A, 0)) * 积分!AC4, "--")</f>
        <v>535.76</v>
      </c>
      <c r="AL4" s="4">
        <f>IFERROR(INDEX([4]Sheet1!$AF:$AF, MATCH(A4, [4]Sheet1!$A:$A, 0)) * 积分!AD4, "--")</f>
        <v>1629.6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119</v>
      </c>
      <c r="AT4" s="7" t="s">
        <v>119</v>
      </c>
      <c r="AU4" s="7" t="s">
        <v>119</v>
      </c>
      <c r="AV4" s="7" t="s">
        <v>119</v>
      </c>
      <c r="AW4" s="7" t="s">
        <v>119</v>
      </c>
      <c r="AX4" s="7" t="s">
        <v>119</v>
      </c>
      <c r="AY4" s="7" t="s">
        <v>119</v>
      </c>
      <c r="AZ4" s="7" t="s">
        <v>119</v>
      </c>
      <c r="BA4" s="7" t="s">
        <v>119</v>
      </c>
      <c r="BB4" s="7" t="s">
        <v>119</v>
      </c>
      <c r="BC4" s="7" t="s">
        <v>119</v>
      </c>
    </row>
    <row r="5" spans="1:55" ht="25.2" customHeight="1" x14ac:dyDescent="0.25">
      <c r="A5" s="1" t="s">
        <v>38</v>
      </c>
      <c r="B5" s="1">
        <f t="shared" ref="B5:B49" si="0">ROUND(IF(C5&lt;&gt;"--",C5,0)+IF(D5&lt;&gt;"--",D5,0)+IF(E5&lt;&gt;"--",E5,0),2)</f>
        <v>61797.79</v>
      </c>
      <c r="C5" s="2">
        <f t="shared" ref="C5:C42" si="1">ROUND(IFERROR(L5+AG5+IF(AA5&lt;&gt;"--",AA5,0),"0"),2)</f>
        <v>8308.7999999999993</v>
      </c>
      <c r="D5" s="2">
        <f t="shared" ref="D5:D42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53488.99</v>
      </c>
      <c r="E5" s="2">
        <f t="shared" ref="E5:E42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11493.768</v>
      </c>
      <c r="G5" s="2">
        <f>IFERROR(INDEX([4]Sheet1!$AK:$AK, MATCH(A5, [4]Sheet1!$A:$A, 0)) * 积分!C5, "--")</f>
        <v>220</v>
      </c>
      <c r="H5" s="2">
        <f>IFERROR(INDEX([4]Sheet1!$AB:$AB, MATCH(A5, [4]Sheet1!$A:$A, 0)) * 积分!D5, "--")</f>
        <v>180</v>
      </c>
      <c r="I5" s="2">
        <f>IFERROR(INDEX([4]Sheet1!$AA:$AA, MATCH(A5, [4]Sheet1!$A:$A, 0)) * 积分!E5, "--")</f>
        <v>3120</v>
      </c>
      <c r="J5" s="2">
        <f>IFERROR(INDEX([4]Sheet1!$Z:$Z, MATCH(A5, [4]Sheet1!$A:$A, 0)) * 积分!F5, "--")</f>
        <v>4960</v>
      </c>
      <c r="K5" s="2">
        <f>IFERROR(INDEX([4]Sheet1!$Y:$Y, MATCH(A5, [4]Sheet1!$A:$A, 0)) * 积分!G5, "--")</f>
        <v>19800</v>
      </c>
      <c r="L5" s="2" cm="1">
        <f t="array" ref="L5">IFERROR(
门诊折扣比例(
(
INDEX([5]Sheet1!$D:$D, MATCH(A5, [5]Sheet1!$B:$B, 0))
/
次均费用!B5
)
)
*INDEX([5]Sheet1!$C:$C, MATCH(A5, [5]Sheet1!$B:$B, 0))
* 积分!H5, "--")</f>
        <v>8308.8000000000011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13.8</v>
      </c>
      <c r="O5" s="2">
        <f>IFERROR(INDEX([3]Sheet1!$E:$E, MATCH(A5, [3]Sheet1!$B:$B, 0)) * 积分!K5, "--")</f>
        <v>0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4688.0999999999995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80</v>
      </c>
      <c r="AJ5" s="2">
        <f>IFERROR(INDEX([4]Sheet1!$AC:$AC, MATCH(A5, [4]Sheet1!$A:$A, 0)) * 积分!AB5, "--")</f>
        <v>3850</v>
      </c>
      <c r="AK5" s="2">
        <f>IFERROR(INDEX([4]Sheet1!$AE:$AE, MATCH(A5, [4]Sheet1!$A:$A, 0)) * 积分!AC5, "--")</f>
        <v>3754.2000000000003</v>
      </c>
      <c r="AL5" s="2">
        <f>IFERROR(INDEX([4]Sheet1!$AF:$AF, MATCH(A5, [4]Sheet1!$A:$A, 0)) * 积分!AD5, "--")</f>
        <v>7243.65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119</v>
      </c>
      <c r="AT5" s="12" t="s">
        <v>119</v>
      </c>
      <c r="AU5" s="12" t="s">
        <v>119</v>
      </c>
      <c r="AV5" s="12" t="s">
        <v>119</v>
      </c>
      <c r="AW5" s="12" t="s">
        <v>119</v>
      </c>
      <c r="AX5" s="12" t="s">
        <v>119</v>
      </c>
      <c r="AY5" s="12" t="s">
        <v>119</v>
      </c>
      <c r="AZ5" s="12" t="s">
        <v>119</v>
      </c>
      <c r="BA5" s="12" t="s">
        <v>119</v>
      </c>
      <c r="BB5" s="12" t="s">
        <v>119</v>
      </c>
      <c r="BC5" s="12" t="s">
        <v>119</v>
      </c>
    </row>
    <row r="6" spans="1:55" ht="25.65" customHeight="1" x14ac:dyDescent="0.25">
      <c r="A6" s="3" t="s">
        <v>39</v>
      </c>
      <c r="B6" s="4">
        <f t="shared" si="0"/>
        <v>36235.870000000003</v>
      </c>
      <c r="C6" s="4">
        <f t="shared" si="1"/>
        <v>5048.96</v>
      </c>
      <c r="D6" s="4">
        <f t="shared" si="2"/>
        <v>31186.91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7827.2039999999997</v>
      </c>
      <c r="G6" s="4">
        <f>IFERROR(INDEX([4]Sheet1!$AK:$AK, MATCH(A6, [4]Sheet1!$A:$A, 0)) * 积分!C6, "--")</f>
        <v>220</v>
      </c>
      <c r="H6" s="4">
        <f>IFERROR(INDEX([4]Sheet1!$AB:$AB, MATCH(A6, [4]Sheet1!$A:$A, 0)) * 积分!D6, "--")</f>
        <v>90</v>
      </c>
      <c r="I6" s="4">
        <f>IFERROR(INDEX([4]Sheet1!$AA:$AA, MATCH(A6, [4]Sheet1!$A:$A, 0)) * 积分!E6, "--")</f>
        <v>2800</v>
      </c>
      <c r="J6" s="4">
        <f>IFERROR(INDEX([4]Sheet1!$Z:$Z, MATCH(A6, [4]Sheet1!$A:$A, 0)) * 积分!F6, "--")</f>
        <v>4800</v>
      </c>
      <c r="K6" s="4">
        <f>IFERROR(INDEX([4]Sheet1!$Y:$Y, MATCH(A6, [4]Sheet1!$A:$A, 0)) * 积分!G6, "--")</f>
        <v>9900</v>
      </c>
      <c r="L6" s="4" cm="1">
        <f t="array" ref="L6">IFERROR(
门诊折扣比例(
(
INDEX([5]Sheet1!$D:$D, MATCH(A6, [5]Sheet1!$B:$B, 0))
/
次均费用!B6
)
)
*INDEX([5]Sheet1!$C:$C, MATCH(A6, [5]Sheet1!$B:$B, 0))
* 积分!H6, "--")</f>
        <v>5048.96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13.8</v>
      </c>
      <c r="O6" s="4">
        <f>IFERROR(INDEX([3]Sheet1!$E:$E, MATCH(A6, [3]Sheet1!$B:$B, 0)) * 积分!K6, "--")</f>
        <v>9.1999999999999993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2146.5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320</v>
      </c>
      <c r="AJ6" s="4">
        <f>IFERROR(INDEX([4]Sheet1!$AC:$AC, MATCH(A6, [4]Sheet1!$A:$A, 0)) * 积分!AB6, "--")</f>
        <v>3300</v>
      </c>
      <c r="AK6" s="4">
        <f>IFERROR(INDEX([4]Sheet1!$AE:$AE, MATCH(A6, [4]Sheet1!$A:$A, 0)) * 积分!AC6, "--")</f>
        <v>443.52</v>
      </c>
      <c r="AL6" s="4">
        <f>IFERROR(INDEX([4]Sheet1!$AF:$AF, MATCH(A6, [4]Sheet1!$A:$A, 0)) * 积分!AD6, "--")</f>
        <v>427.7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119</v>
      </c>
      <c r="AT6" s="7" t="s">
        <v>119</v>
      </c>
      <c r="AU6" s="7" t="s">
        <v>119</v>
      </c>
      <c r="AV6" s="7" t="s">
        <v>119</v>
      </c>
      <c r="AW6" s="7" t="s">
        <v>119</v>
      </c>
      <c r="AX6" s="7" t="s">
        <v>119</v>
      </c>
      <c r="AY6" s="7" t="s">
        <v>119</v>
      </c>
      <c r="AZ6" s="7" t="s">
        <v>119</v>
      </c>
      <c r="BA6" s="7" t="s">
        <v>119</v>
      </c>
      <c r="BB6" s="7" t="s">
        <v>119</v>
      </c>
      <c r="BC6" s="7" t="s">
        <v>119</v>
      </c>
    </row>
    <row r="7" spans="1:55" ht="25.65" customHeight="1" x14ac:dyDescent="0.25">
      <c r="A7" s="1" t="s">
        <v>40</v>
      </c>
      <c r="B7" s="1">
        <f t="shared" si="0"/>
        <v>57823.89</v>
      </c>
      <c r="C7" s="2">
        <f t="shared" si="1"/>
        <v>9655.9</v>
      </c>
      <c r="D7" s="2">
        <f t="shared" si="2"/>
        <v>48167.99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20378.358</v>
      </c>
      <c r="G7" s="2">
        <f>IFERROR(INDEX([4]Sheet1!$AK:$AK, MATCH(A7, [4]Sheet1!$A:$A, 0)) * 积分!C7, "--")</f>
        <v>540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9655.9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0</v>
      </c>
      <c r="O7" s="2">
        <f>IFERROR(INDEX([3]Sheet1!$E:$E, MATCH(A7, [3]Sheet1!$B:$B, 0)) * 积分!K7, "--")</f>
        <v>0</v>
      </c>
      <c r="P7" s="2">
        <f>IFERROR(INDEX([3]Sheet1!$F:$F, MATCH(A7, [3]Sheet1!$B:$B, 0)) * 积分!L7, "--")</f>
        <v>15930</v>
      </c>
      <c r="Q7" s="2">
        <f>IFERROR(INDEX([3]Sheet1!$G:$G, MATCH(A7, [3]Sheet1!$B:$B, 0)) * 积分!M7, "--")</f>
        <v>6531.3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548.97</v>
      </c>
      <c r="AL7" s="2">
        <f>IFERROR(INDEX([4]Sheet1!$AF:$AF, MATCH(A7, [4]Sheet1!$A:$A, 0)) * 积分!AD7, "--")</f>
        <v>5054.07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119</v>
      </c>
      <c r="AT7" s="12" t="s">
        <v>119</v>
      </c>
      <c r="AU7" s="12" t="s">
        <v>119</v>
      </c>
      <c r="AV7" s="12" t="s">
        <v>119</v>
      </c>
      <c r="AW7" s="12" t="s">
        <v>119</v>
      </c>
      <c r="AX7" s="12" t="s">
        <v>119</v>
      </c>
      <c r="AY7" s="12" t="s">
        <v>119</v>
      </c>
      <c r="AZ7" s="12" t="s">
        <v>119</v>
      </c>
      <c r="BA7" s="12" t="s">
        <v>119</v>
      </c>
      <c r="BB7" s="12" t="s">
        <v>119</v>
      </c>
      <c r="BC7" s="12" t="s">
        <v>119</v>
      </c>
    </row>
    <row r="8" spans="1:55" ht="25.65" customHeight="1" x14ac:dyDescent="0.25">
      <c r="A8" s="3" t="s">
        <v>41</v>
      </c>
      <c r="B8" s="4">
        <f t="shared" si="0"/>
        <v>43936.79</v>
      </c>
      <c r="C8" s="4">
        <f t="shared" si="1"/>
        <v>5802.72</v>
      </c>
      <c r="D8" s="4">
        <f t="shared" si="2"/>
        <v>38134.07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16546.53</v>
      </c>
      <c r="G8" s="4">
        <f>IFERROR(INDEX([4]Sheet1!$AK:$AK, MATCH(A8, [4]Sheet1!$A:$A, 0)) * 积分!C8, "--")</f>
        <v>220</v>
      </c>
      <c r="H8" s="4">
        <f>IFERROR(INDEX([4]Sheet1!$AB:$AB, MATCH(A8, [4]Sheet1!$A:$A, 0)) * 积分!D8, "--")</f>
        <v>330</v>
      </c>
      <c r="I8" s="4">
        <f>IFERROR(INDEX([4]Sheet1!$AA:$AA, MATCH(A8, [4]Sheet1!$A:$A, 0)) * 积分!E8, "--")</f>
        <v>2960</v>
      </c>
      <c r="J8" s="4">
        <f>IFERROR(INDEX([4]Sheet1!$Z:$Z, MATCH(A8, [4]Sheet1!$A:$A, 0)) * 积分!F8, "--")</f>
        <v>8640</v>
      </c>
      <c r="K8" s="4">
        <f>IFERROR(INDEX([4]Sheet1!$Y:$Y, MATCH(A8, [4]Sheet1!$A:$A, 0)) * 积分!G8, "--")</f>
        <v>4200</v>
      </c>
      <c r="L8" s="4" cm="1">
        <f t="array" ref="L8">IFERROR(
门诊折扣比例(
(
INDEX([5]Sheet1!$D:$D, MATCH(A8, [5]Sheet1!$B:$B, 0))
/
次均费用!B8
)
)
*INDEX([5]Sheet1!$C:$C, MATCH(A8, [5]Sheet1!$B:$B, 0))
* 积分!H8, "--")</f>
        <v>5802.72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96.600000000000009</v>
      </c>
      <c r="O8" s="4">
        <f>IFERROR(INDEX([3]Sheet1!$E:$E, MATCH(A8, [3]Sheet1!$B:$B, 0)) * 积分!K8, "--")</f>
        <v>36.799999999999997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3127.5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700</v>
      </c>
      <c r="AK8" s="4">
        <f>IFERROR(INDEX([4]Sheet1!$AE:$AE, MATCH(A8, [4]Sheet1!$A:$A, 0)) * 积分!AC8, "--")</f>
        <v>240.34</v>
      </c>
      <c r="AL8" s="4">
        <f>IFERROR(INDEX([4]Sheet1!$AF:$AF, MATCH(A8, [4]Sheet1!$A:$A, 0)) * 积分!AD8, "--")</f>
        <v>1649.44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119</v>
      </c>
      <c r="AT8" s="7" t="s">
        <v>119</v>
      </c>
      <c r="AU8" s="7" t="s">
        <v>119</v>
      </c>
      <c r="AV8" s="7" t="s">
        <v>119</v>
      </c>
      <c r="AW8" s="7" t="s">
        <v>119</v>
      </c>
      <c r="AX8" s="7" t="s">
        <v>119</v>
      </c>
      <c r="AY8" s="7" t="s">
        <v>119</v>
      </c>
      <c r="AZ8" s="7" t="s">
        <v>119</v>
      </c>
      <c r="BA8" s="7" t="s">
        <v>119</v>
      </c>
      <c r="BB8" s="7" t="s">
        <v>119</v>
      </c>
      <c r="BC8" s="7" t="s">
        <v>119</v>
      </c>
    </row>
    <row r="9" spans="1:55" ht="25.65" customHeight="1" x14ac:dyDescent="0.25">
      <c r="A9" s="1" t="s">
        <v>42</v>
      </c>
      <c r="B9" s="1">
        <f t="shared" si="0"/>
        <v>113669.33</v>
      </c>
      <c r="C9" s="2">
        <f t="shared" si="1"/>
        <v>19510</v>
      </c>
      <c r="D9" s="2">
        <f t="shared" si="2"/>
        <v>94159.33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26067.216</v>
      </c>
      <c r="G9" s="2">
        <f>IFERROR(INDEX([4]Sheet1!$AK:$AK, MATCH(A9, [4]Sheet1!$A:$A, 0)) * 积分!C9, "--")</f>
        <v>360</v>
      </c>
      <c r="H9" s="2">
        <f>IFERROR(INDEX([4]Sheet1!$AB:$AB, MATCH(A9, [4]Sheet1!$A:$A, 0)) * 积分!D9, "--")</f>
        <v>600</v>
      </c>
      <c r="I9" s="2">
        <f>IFERROR(INDEX([4]Sheet1!$AA:$AA, MATCH(A9, [4]Sheet1!$A:$A, 0)) * 积分!E9, "--")</f>
        <v>12240</v>
      </c>
      <c r="J9" s="2">
        <f>IFERROR(INDEX([4]Sheet1!$Z:$Z, MATCH(A9, [4]Sheet1!$A:$A, 0)) * 积分!F9, "--")</f>
        <v>33280</v>
      </c>
      <c r="K9" s="2">
        <f>IFERROR(INDEX([4]Sheet1!$Y:$Y, MATCH(A9, [4]Sheet1!$A:$A, 0)) * 积分!G9, "--")</f>
        <v>15840</v>
      </c>
      <c r="L9" s="2" cm="1">
        <f t="array" ref="L9">IFERROR(
门诊折扣比例(
(
INDEX([5]Sheet1!$D:$D, MATCH(A9, [5]Sheet1!$B:$B, 0))
/
次均费用!B9
)
)
*INDEX([5]Sheet1!$C:$C, MATCH(A9, [5]Sheet1!$B:$B, 0))
* 积分!H9, "--")</f>
        <v>19510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13.8</v>
      </c>
      <c r="O9" s="2">
        <f>IFERROR(INDEX([3]Sheet1!$E:$E, MATCH(A9, [3]Sheet1!$B:$B, 0)) * 积分!K9, "--")</f>
        <v>0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3796.2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0</v>
      </c>
      <c r="AK9" s="2">
        <f>IFERROR(INDEX([4]Sheet1!$AE:$AE, MATCH(A9, [4]Sheet1!$A:$A, 0)) * 积分!AC9, "--")</f>
        <v>4545.9699999999993</v>
      </c>
      <c r="AL9" s="2">
        <f>IFERROR(INDEX([4]Sheet1!$AF:$AF, MATCH(A9, [4]Sheet1!$A:$A, 0)) * 积分!AD9, "--")</f>
        <v>1247.52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119</v>
      </c>
      <c r="AT9" s="12" t="s">
        <v>119</v>
      </c>
      <c r="AU9" s="12" t="s">
        <v>119</v>
      </c>
      <c r="AV9" s="12" t="s">
        <v>119</v>
      </c>
      <c r="AW9" s="12" t="s">
        <v>119</v>
      </c>
      <c r="AX9" s="12" t="s">
        <v>119</v>
      </c>
      <c r="AY9" s="12" t="s">
        <v>119</v>
      </c>
      <c r="AZ9" s="12" t="s">
        <v>119</v>
      </c>
      <c r="BA9" s="12" t="s">
        <v>119</v>
      </c>
      <c r="BB9" s="12" t="s">
        <v>119</v>
      </c>
      <c r="BC9" s="12" t="s">
        <v>119</v>
      </c>
    </row>
    <row r="10" spans="1:55" ht="25.65" customHeight="1" x14ac:dyDescent="0.25">
      <c r="A10" s="3" t="s">
        <v>43</v>
      </c>
      <c r="B10" s="4">
        <f t="shared" si="0"/>
        <v>79811.47</v>
      </c>
      <c r="C10" s="4">
        <f t="shared" si="1"/>
        <v>10180</v>
      </c>
      <c r="D10" s="4">
        <f t="shared" si="2"/>
        <v>69631.47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12800.865</v>
      </c>
      <c r="G10" s="4">
        <f>IFERROR(INDEX([4]Sheet1!$AK:$AK, MATCH(A10, [4]Sheet1!$A:$A, 0)) * 积分!C10, "--")</f>
        <v>300</v>
      </c>
      <c r="H10" s="4">
        <f>IFERROR(INDEX([4]Sheet1!$AB:$AB, MATCH(A10, [4]Sheet1!$A:$A, 0)) * 积分!D10, "--")</f>
        <v>90</v>
      </c>
      <c r="I10" s="4">
        <f>IFERROR(INDEX([4]Sheet1!$AA:$AA, MATCH(A10, [4]Sheet1!$A:$A, 0)) * 积分!E10, "--")</f>
        <v>6400</v>
      </c>
      <c r="J10" s="4">
        <f>IFERROR(INDEX([4]Sheet1!$Z:$Z, MATCH(A10, [4]Sheet1!$A:$A, 0)) * 积分!F10, "--")</f>
        <v>19200</v>
      </c>
      <c r="K10" s="4">
        <f>IFERROR(INDEX([4]Sheet1!$Y:$Y, MATCH(A10, [4]Sheet1!$A:$A, 0)) * 积分!G10, "--")</f>
        <v>11880</v>
      </c>
      <c r="L10" s="4" cm="1">
        <f t="array" ref="L10">IFERROR(
门诊折扣比例(
(
INDEX([5]Sheet1!$D:$D, MATCH(A10, [5]Sheet1!$B:$B, 0))
/
次均费用!B10
)
)
*INDEX([5]Sheet1!$C:$C, MATCH(A10, [5]Sheet1!$B:$B, 0))
* 积分!H10, "--")</f>
        <v>10180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9.1999999999999993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10510.02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0</v>
      </c>
      <c r="AJ10" s="4">
        <f>IFERROR(INDEX([4]Sheet1!$AC:$AC, MATCH(A10, [4]Sheet1!$A:$A, 0)) * 积分!AB10, "--")</f>
        <v>0</v>
      </c>
      <c r="AK10" s="4">
        <f>IFERROR(INDEX([4]Sheet1!$AE:$AE, MATCH(A10, [4]Sheet1!$A:$A, 0)) * 积分!AC10, "--")</f>
        <v>3456.11</v>
      </c>
      <c r="AL10" s="4">
        <f>IFERROR(INDEX([4]Sheet1!$AF:$AF, MATCH(A10, [4]Sheet1!$A:$A, 0)) * 积分!AD10, "--")</f>
        <v>982.5200000000001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119</v>
      </c>
      <c r="AT10" s="7" t="s">
        <v>119</v>
      </c>
      <c r="AU10" s="7" t="s">
        <v>119</v>
      </c>
      <c r="AV10" s="7" t="s">
        <v>119</v>
      </c>
      <c r="AW10" s="7" t="s">
        <v>119</v>
      </c>
      <c r="AX10" s="7" t="s">
        <v>119</v>
      </c>
      <c r="AY10" s="7" t="s">
        <v>119</v>
      </c>
      <c r="AZ10" s="7" t="s">
        <v>119</v>
      </c>
      <c r="BA10" s="7" t="s">
        <v>119</v>
      </c>
      <c r="BB10" s="7" t="s">
        <v>119</v>
      </c>
      <c r="BC10" s="7" t="s">
        <v>119</v>
      </c>
    </row>
    <row r="11" spans="1:55" ht="25.65" customHeight="1" x14ac:dyDescent="0.25">
      <c r="A11" s="1" t="s">
        <v>44</v>
      </c>
      <c r="B11" s="1">
        <f t="shared" si="0"/>
        <v>94762.44</v>
      </c>
      <c r="C11" s="2">
        <f t="shared" si="1"/>
        <v>17238.830000000002</v>
      </c>
      <c r="D11" s="2">
        <f t="shared" si="2"/>
        <v>77523.61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18356.184000000001</v>
      </c>
      <c r="G11" s="2">
        <f>IFERROR(INDEX([4]Sheet1!$AK:$AK, MATCH(A11, [4]Sheet1!$A:$A, 0)) * 积分!C11, "--")</f>
        <v>1280</v>
      </c>
      <c r="H11" s="2">
        <f>IFERROR(INDEX([4]Sheet1!$AB:$AB, MATCH(A11, [4]Sheet1!$A:$A, 0)) * 积分!D11, "--")</f>
        <v>960</v>
      </c>
      <c r="I11" s="2">
        <f>IFERROR(INDEX([4]Sheet1!$AA:$AA, MATCH(A11, [4]Sheet1!$A:$A, 0)) * 积分!E11, "--")</f>
        <v>8800</v>
      </c>
      <c r="J11" s="2">
        <f>IFERROR(INDEX([4]Sheet1!$Z:$Z, MATCH(A11, [4]Sheet1!$A:$A, 0)) * 积分!F11, "--")</f>
        <v>5440</v>
      </c>
      <c r="K11" s="2">
        <f>IFERROR(INDEX([4]Sheet1!$Y:$Y, MATCH(A11, [4]Sheet1!$A:$A, 0)) * 积分!G11, "--")</f>
        <v>17640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17238.829999999998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41.400000000000006</v>
      </c>
      <c r="O11" s="2">
        <f>IFERROR(INDEX([3]Sheet1!$E:$E, MATCH(A11, [3]Sheet1!$B:$B, 0)) * 积分!K11, "--")</f>
        <v>119.6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3601.7999999999997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8820</v>
      </c>
      <c r="AK11" s="2">
        <f>IFERROR(INDEX([4]Sheet1!$AE:$AE, MATCH(A11, [4]Sheet1!$A:$A, 0)) * 积分!AC11, "--")</f>
        <v>2265.4499999999998</v>
      </c>
      <c r="AL11" s="2">
        <f>IFERROR(INDEX([4]Sheet1!$AF:$AF, MATCH(A11, [4]Sheet1!$A:$A, 0)) * 积分!AD11, "--")</f>
        <v>12156.18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119</v>
      </c>
      <c r="AT11" s="12" t="s">
        <v>119</v>
      </c>
      <c r="AU11" s="12" t="s">
        <v>119</v>
      </c>
      <c r="AV11" s="12" t="s">
        <v>119</v>
      </c>
      <c r="AW11" s="12" t="s">
        <v>119</v>
      </c>
      <c r="AX11" s="12" t="s">
        <v>119</v>
      </c>
      <c r="AY11" s="12" t="s">
        <v>119</v>
      </c>
      <c r="AZ11" s="12" t="s">
        <v>119</v>
      </c>
      <c r="BA11" s="12" t="s">
        <v>119</v>
      </c>
      <c r="BB11" s="12" t="s">
        <v>119</v>
      </c>
      <c r="BC11" s="12" t="s">
        <v>119</v>
      </c>
    </row>
    <row r="12" spans="1:55" ht="25.65" customHeight="1" x14ac:dyDescent="0.25">
      <c r="A12" s="3" t="s">
        <v>45</v>
      </c>
      <c r="B12" s="4">
        <f t="shared" si="0"/>
        <v>39772.92</v>
      </c>
      <c r="C12" s="4">
        <f t="shared" si="1"/>
        <v>7140.2</v>
      </c>
      <c r="D12" s="4">
        <f t="shared" si="2"/>
        <v>32632.720000000001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12112.584000000001</v>
      </c>
      <c r="G12" s="4">
        <f>IFERROR(INDEX([4]Sheet1!$AK:$AK, MATCH(A12, [4]Sheet1!$A:$A, 0)) * 积分!C12, "--")</f>
        <v>980</v>
      </c>
      <c r="H12" s="4">
        <f>IFERROR(INDEX([4]Sheet1!$AB:$AB, MATCH(A12, [4]Sheet1!$A:$A, 0)) * 积分!D12, "--")</f>
        <v>450</v>
      </c>
      <c r="I12" s="4">
        <f>IFERROR(INDEX([4]Sheet1!$AA:$AA, MATCH(A12, [4]Sheet1!$A:$A, 0)) * 积分!E12, "--")</f>
        <v>5200</v>
      </c>
      <c r="J12" s="4">
        <f>IFERROR(INDEX([4]Sheet1!$Z:$Z, MATCH(A12, [4]Sheet1!$A:$A, 0)) * 积分!F12, "--")</f>
        <v>1440</v>
      </c>
      <c r="K12" s="4">
        <f>IFERROR(INDEX([4]Sheet1!$Y:$Y, MATCH(A12, [4]Sheet1!$A:$A, 0)) * 积分!G12, "--")</f>
        <v>3780</v>
      </c>
      <c r="L12" s="4" cm="1">
        <f t="array" ref="L12">IFERROR(
门诊折扣比例(
(
INDEX([5]Sheet1!$D:$D, MATCH(A12, [5]Sheet1!$B:$B, 0))
/
次均费用!B12
)
)
*INDEX([5]Sheet1!$C:$C, MATCH(A12, [5]Sheet1!$B:$B, 0))
* 积分!H12, "--")</f>
        <v>7140.2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0</v>
      </c>
      <c r="O12" s="4">
        <f>IFERROR(INDEX([3]Sheet1!$E:$E, MATCH(A12, [3]Sheet1!$B:$B, 0)) * 积分!K12, "--")</f>
        <v>9.1999999999999993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1230.75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0</v>
      </c>
      <c r="AJ12" s="4">
        <f>IFERROR(INDEX([4]Sheet1!$AC:$AC, MATCH(A12, [4]Sheet1!$A:$A, 0)) * 积分!AB12, "--")</f>
        <v>1890</v>
      </c>
      <c r="AK12" s="4">
        <f>IFERROR(INDEX([4]Sheet1!$AE:$AE, MATCH(A12, [4]Sheet1!$A:$A, 0)) * 积分!AC12, "--")</f>
        <v>1493</v>
      </c>
      <c r="AL12" s="4">
        <f>IFERROR(INDEX([4]Sheet1!$AF:$AF, MATCH(A12, [4]Sheet1!$A:$A, 0)) * 积分!AD12, "--")</f>
        <v>4006.72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119</v>
      </c>
      <c r="AT12" s="7" t="s">
        <v>119</v>
      </c>
      <c r="AU12" s="7" t="s">
        <v>119</v>
      </c>
      <c r="AV12" s="7" t="s">
        <v>119</v>
      </c>
      <c r="AW12" s="7" t="s">
        <v>119</v>
      </c>
      <c r="AX12" s="7" t="s">
        <v>119</v>
      </c>
      <c r="AY12" s="7" t="s">
        <v>119</v>
      </c>
      <c r="AZ12" s="7" t="s">
        <v>119</v>
      </c>
      <c r="BA12" s="7" t="s">
        <v>119</v>
      </c>
      <c r="BB12" s="7" t="s">
        <v>119</v>
      </c>
      <c r="BC12" s="7" t="s">
        <v>119</v>
      </c>
    </row>
    <row r="13" spans="1:55" ht="25.65" customHeight="1" x14ac:dyDescent="0.25">
      <c r="A13" s="1" t="s">
        <v>46</v>
      </c>
      <c r="B13" s="1">
        <f t="shared" si="0"/>
        <v>64651.81</v>
      </c>
      <c r="C13" s="2">
        <f t="shared" si="1"/>
        <v>8084.5</v>
      </c>
      <c r="D13" s="2">
        <f t="shared" si="2"/>
        <v>56567.31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23539.717499999999</v>
      </c>
      <c r="G13" s="2">
        <f>IFERROR(INDEX([4]Sheet1!$AK:$AK, MATCH(A13, [4]Sheet1!$A:$A, 0)) * 积分!C13, "--")</f>
        <v>920</v>
      </c>
      <c r="H13" s="2">
        <f>IFERROR(INDEX([4]Sheet1!$AB:$AB, MATCH(A13, [4]Sheet1!$A:$A, 0)) * 积分!D13, "--")</f>
        <v>240</v>
      </c>
      <c r="I13" s="2">
        <f>IFERROR(INDEX([4]Sheet1!$AA:$AA, MATCH(A13, [4]Sheet1!$A:$A, 0)) * 积分!E13, "--")</f>
        <v>8080</v>
      </c>
      <c r="J13" s="2">
        <f>IFERROR(INDEX([4]Sheet1!$Z:$Z, MATCH(A13, [4]Sheet1!$A:$A, 0)) * 积分!F13, "--")</f>
        <v>480</v>
      </c>
      <c r="K13" s="2">
        <f>IFERROR(INDEX([4]Sheet1!$Y:$Y, MATCH(A13, [4]Sheet1!$A:$A, 0)) * 积分!G13, "--")</f>
        <v>15750</v>
      </c>
      <c r="L13" s="2" cm="1">
        <f t="array" ref="L13">IFERROR(
门诊折扣比例(
(
INDEX([5]Sheet1!$D:$D, MATCH(A13, [5]Sheet1!$B:$B, 0))
/
次均费用!B13
)
)
*INDEX([5]Sheet1!$C:$C, MATCH(A13, [5]Sheet1!$B:$B, 0))
* 积分!H13, "--")</f>
        <v>8084.5000000000009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55.2</v>
      </c>
      <c r="O13" s="2">
        <f>IFERROR(INDEX([3]Sheet1!$E:$E, MATCH(A13, [3]Sheet1!$B:$B, 0)) * 积分!K13, "--")</f>
        <v>36.799999999999997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9729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0</v>
      </c>
      <c r="AJ13" s="2">
        <f>IFERROR(INDEX([4]Sheet1!$AC:$AC, MATCH(A13, [4]Sheet1!$A:$A, 0)) * 积分!AB13, "--")</f>
        <v>2625</v>
      </c>
      <c r="AK13" s="2">
        <f>IFERROR(INDEX([4]Sheet1!$AE:$AE, MATCH(A13, [4]Sheet1!$A:$A, 0)) * 积分!AC13, "--")</f>
        <v>596.85</v>
      </c>
      <c r="AL13" s="2">
        <f>IFERROR(INDEX([4]Sheet1!$AF:$AF, MATCH(A13, [4]Sheet1!$A:$A, 0)) * 积分!AD13, "--")</f>
        <v>40.6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119</v>
      </c>
      <c r="AT13" s="12" t="s">
        <v>119</v>
      </c>
      <c r="AU13" s="12" t="s">
        <v>119</v>
      </c>
      <c r="AV13" s="12" t="s">
        <v>119</v>
      </c>
      <c r="AW13" s="12" t="s">
        <v>119</v>
      </c>
      <c r="AX13" s="12" t="s">
        <v>119</v>
      </c>
      <c r="AY13" s="12" t="s">
        <v>119</v>
      </c>
      <c r="AZ13" s="12" t="s">
        <v>119</v>
      </c>
      <c r="BA13" s="12" t="s">
        <v>119</v>
      </c>
      <c r="BB13" s="12" t="s">
        <v>119</v>
      </c>
      <c r="BC13" s="12" t="s">
        <v>119</v>
      </c>
    </row>
    <row r="14" spans="1:55" ht="25.65" customHeight="1" x14ac:dyDescent="0.25">
      <c r="A14" s="3" t="s">
        <v>47</v>
      </c>
      <c r="B14" s="4">
        <f t="shared" si="0"/>
        <v>68108.14</v>
      </c>
      <c r="C14" s="4">
        <f t="shared" si="1"/>
        <v>10149.33</v>
      </c>
      <c r="D14" s="4">
        <f t="shared" si="2"/>
        <v>57958.81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23020.199999999997</v>
      </c>
      <c r="G14" s="4">
        <f>IFERROR(INDEX([4]Sheet1!$AK:$AK, MATCH(A14, [4]Sheet1!$A:$A, 0)) * 积分!C14, "--")</f>
        <v>640</v>
      </c>
      <c r="H14" s="4">
        <f>IFERROR(INDEX([4]Sheet1!$AB:$AB, MATCH(A14, [4]Sheet1!$A:$A, 0)) * 积分!D14, "--")</f>
        <v>630</v>
      </c>
      <c r="I14" s="4">
        <f>IFERROR(INDEX([4]Sheet1!$AA:$AA, MATCH(A14, [4]Sheet1!$A:$A, 0)) * 积分!E14, "--")</f>
        <v>4800</v>
      </c>
      <c r="J14" s="4">
        <f>IFERROR(INDEX([4]Sheet1!$Z:$Z, MATCH(A14, [4]Sheet1!$A:$A, 0)) * 积分!F14, "--")</f>
        <v>2720</v>
      </c>
      <c r="K14" s="4">
        <f>IFERROR(INDEX([4]Sheet1!$Y:$Y, MATCH(A14, [4]Sheet1!$A:$A, 0)) * 积分!G14, "--")</f>
        <v>13230</v>
      </c>
      <c r="L14" s="4" cm="1">
        <f t="array" ref="L14">IFERROR(
门诊折扣比例(
(
INDEX([5]Sheet1!$D:$D, MATCH(A14, [5]Sheet1!$B:$B, 0))
/
次均费用!B14
)
)
*INDEX([5]Sheet1!$C:$C, MATCH(A14, [5]Sheet1!$B:$B, 0))
* 积分!H14, "--")</f>
        <v>10149.33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0</v>
      </c>
      <c r="O14" s="4">
        <f>IFERROR(INDEX([3]Sheet1!$E:$E, MATCH(A14, [3]Sheet1!$B:$B, 0)) * 积分!K14, "--")</f>
        <v>9.1999999999999993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4464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80</v>
      </c>
      <c r="AJ14" s="4">
        <f>IFERROR(INDEX([4]Sheet1!$AC:$AC, MATCH(A14, [4]Sheet1!$A:$A, 0)) * 积分!AB14, "--")</f>
        <v>0</v>
      </c>
      <c r="AK14" s="4">
        <f>IFERROR(INDEX([4]Sheet1!$AE:$AE, MATCH(A14, [4]Sheet1!$A:$A, 0)) * 积分!AC14, "--")</f>
        <v>3291.12</v>
      </c>
      <c r="AL14" s="4">
        <f>IFERROR(INDEX([4]Sheet1!$AF:$AF, MATCH(A14, [4]Sheet1!$A:$A, 0)) * 积分!AD14, "--")</f>
        <v>5730.0199999999995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119</v>
      </c>
      <c r="AT14" s="7" t="s">
        <v>119</v>
      </c>
      <c r="AU14" s="7" t="s">
        <v>119</v>
      </c>
      <c r="AV14" s="7" t="s">
        <v>119</v>
      </c>
      <c r="AW14" s="7" t="s">
        <v>119</v>
      </c>
      <c r="AX14" s="7" t="s">
        <v>119</v>
      </c>
      <c r="AY14" s="7" t="s">
        <v>119</v>
      </c>
      <c r="AZ14" s="7" t="s">
        <v>119</v>
      </c>
      <c r="BA14" s="7" t="s">
        <v>119</v>
      </c>
      <c r="BB14" s="7" t="s">
        <v>119</v>
      </c>
      <c r="BC14" s="7" t="s">
        <v>119</v>
      </c>
    </row>
    <row r="15" spans="1:55" ht="25.65" customHeight="1" x14ac:dyDescent="0.25">
      <c r="A15" s="1" t="s">
        <v>48</v>
      </c>
      <c r="B15" s="1">
        <f t="shared" si="0"/>
        <v>48452.3</v>
      </c>
      <c r="C15" s="2">
        <f t="shared" si="1"/>
        <v>6611.32</v>
      </c>
      <c r="D15" s="2">
        <f t="shared" si="2"/>
        <v>41840.980000000003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17489.43</v>
      </c>
      <c r="G15" s="2">
        <f>IFERROR(INDEX([4]Sheet1!$AK:$AK, MATCH(A15, [4]Sheet1!$A:$A, 0)) * 积分!C15, "--")</f>
        <v>560</v>
      </c>
      <c r="H15" s="2">
        <f>IFERROR(INDEX([4]Sheet1!$AB:$AB, MATCH(A15, [4]Sheet1!$A:$A, 0)) * 积分!D15, "--")</f>
        <v>150</v>
      </c>
      <c r="I15" s="2">
        <f>IFERROR(INDEX([4]Sheet1!$AA:$AA, MATCH(A15, [4]Sheet1!$A:$A, 0)) * 积分!E15, "--")</f>
        <v>1120</v>
      </c>
      <c r="J15" s="2">
        <f>IFERROR(INDEX([4]Sheet1!$Z:$Z, MATCH(A15, [4]Sheet1!$A:$A, 0)) * 积分!F15, "--")</f>
        <v>3840</v>
      </c>
      <c r="K15" s="2">
        <f>IFERROR(INDEX([4]Sheet1!$Y:$Y, MATCH(A15, [4]Sheet1!$A:$A, 0)) * 积分!G15, "--")</f>
        <v>12250</v>
      </c>
      <c r="L15" s="2" cm="1">
        <f t="array" ref="L15">IFERROR(
门诊折扣比例(
(
INDEX([5]Sheet1!$D:$D, MATCH(A15, [5]Sheet1!$B:$B, 0))
/
次均费用!B15
)
)
*INDEX([5]Sheet1!$C:$C, MATCH(A15, [5]Sheet1!$B:$B, 0))
* 积分!H15, "--")</f>
        <v>6611.3200000000006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0</v>
      </c>
      <c r="O15" s="2">
        <f>IFERROR(INDEX([3]Sheet1!$E:$E, MATCH(A15, [3]Sheet1!$B:$B, 0)) * 积分!K15, "--")</f>
        <v>147.19999999999999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1930.5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160</v>
      </c>
      <c r="AJ15" s="2">
        <f>IFERROR(INDEX([4]Sheet1!$AC:$AC, MATCH(A15, [4]Sheet1!$A:$A, 0)) * 积分!AB15, "--")</f>
        <v>3500</v>
      </c>
      <c r="AK15" s="2">
        <f>IFERROR(INDEX([4]Sheet1!$AE:$AE, MATCH(A15, [4]Sheet1!$A:$A, 0)) * 积分!AC15, "--")</f>
        <v>774.81000000000006</v>
      </c>
      <c r="AL15" s="2">
        <f>IFERROR(INDEX([4]Sheet1!$AF:$AF, MATCH(A15, [4]Sheet1!$A:$A, 0)) * 积分!AD15, "--")</f>
        <v>266.76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119</v>
      </c>
      <c r="AT15" s="12" t="s">
        <v>119</v>
      </c>
      <c r="AU15" s="12" t="s">
        <v>119</v>
      </c>
      <c r="AV15" s="12" t="s">
        <v>119</v>
      </c>
      <c r="AW15" s="12" t="s">
        <v>119</v>
      </c>
      <c r="AX15" s="12" t="s">
        <v>119</v>
      </c>
      <c r="AY15" s="12" t="s">
        <v>119</v>
      </c>
      <c r="AZ15" s="12" t="s">
        <v>119</v>
      </c>
      <c r="BA15" s="12" t="s">
        <v>119</v>
      </c>
      <c r="BB15" s="12" t="s">
        <v>119</v>
      </c>
      <c r="BC15" s="12" t="s">
        <v>119</v>
      </c>
    </row>
    <row r="16" spans="1:55" ht="25.65" customHeight="1" x14ac:dyDescent="0.25">
      <c r="A16" s="3" t="s">
        <v>49</v>
      </c>
      <c r="B16" s="4">
        <f t="shared" si="0"/>
        <v>73569.070000000007</v>
      </c>
      <c r="C16" s="4">
        <f t="shared" si="1"/>
        <v>9180</v>
      </c>
      <c r="D16" s="4">
        <f t="shared" si="2"/>
        <v>64389.07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15301.365</v>
      </c>
      <c r="G16" s="4">
        <f>IFERROR(INDEX([4]Sheet1!$AK:$AK, MATCH(A16, [4]Sheet1!$A:$A, 0)) * 积分!C16, "--")</f>
        <v>620</v>
      </c>
      <c r="H16" s="4">
        <f>IFERROR(INDEX([4]Sheet1!$AB:$AB, MATCH(A16, [4]Sheet1!$A:$A, 0)) * 积分!D16, "--")</f>
        <v>480</v>
      </c>
      <c r="I16" s="4">
        <f>IFERROR(INDEX([4]Sheet1!$AA:$AA, MATCH(A16, [4]Sheet1!$A:$A, 0)) * 积分!E16, "--")</f>
        <v>3760</v>
      </c>
      <c r="J16" s="4">
        <f>IFERROR(INDEX([4]Sheet1!$Z:$Z, MATCH(A16, [4]Sheet1!$A:$A, 0)) * 积分!F16, "--")</f>
        <v>4480</v>
      </c>
      <c r="K16" s="4">
        <f>IFERROR(INDEX([4]Sheet1!$Y:$Y, MATCH(A16, [4]Sheet1!$A:$A, 0)) * 积分!G16, "--")</f>
        <v>21840</v>
      </c>
      <c r="L16" s="4" cm="1">
        <f t="array" ref="L16">IFERROR(
门诊折扣比例(
(
INDEX([5]Sheet1!$D:$D, MATCH(A16, [5]Sheet1!$B:$B, 0))
/
次均费用!B16
)
)
*INDEX([5]Sheet1!$C:$C, MATCH(A16, [5]Sheet1!$B:$B, 0))
* 积分!H16, "--")</f>
        <v>9180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0</v>
      </c>
      <c r="O16" s="4">
        <f>IFERROR(INDEX([3]Sheet1!$E:$E, MATCH(A16, [3]Sheet1!$B:$B, 0)) * 积分!K16, "--")</f>
        <v>9.1999999999999993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2521.35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240</v>
      </c>
      <c r="AJ16" s="4">
        <f>IFERROR(INDEX([4]Sheet1!$AC:$AC, MATCH(A16, [4]Sheet1!$A:$A, 0)) * 积分!AB16, "--")</f>
        <v>8400</v>
      </c>
      <c r="AK16" s="4">
        <f>IFERROR(INDEX([4]Sheet1!$AE:$AE, MATCH(A16, [4]Sheet1!$A:$A, 0)) * 积分!AC16, "--")</f>
        <v>1650.16</v>
      </c>
      <c r="AL16" s="4">
        <f>IFERROR(INDEX([4]Sheet1!$AF:$AF, MATCH(A16, [4]Sheet1!$A:$A, 0)) * 积分!AD16, "--")</f>
        <v>5522.6500000000005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119</v>
      </c>
      <c r="AT16" s="7" t="s">
        <v>119</v>
      </c>
      <c r="AU16" s="7" t="s">
        <v>119</v>
      </c>
      <c r="AV16" s="7" t="s">
        <v>119</v>
      </c>
      <c r="AW16" s="7" t="s">
        <v>119</v>
      </c>
      <c r="AX16" s="7" t="s">
        <v>119</v>
      </c>
      <c r="AY16" s="7" t="s">
        <v>119</v>
      </c>
      <c r="AZ16" s="7" t="s">
        <v>119</v>
      </c>
      <c r="BA16" s="7" t="s">
        <v>119</v>
      </c>
      <c r="BB16" s="7" t="s">
        <v>119</v>
      </c>
      <c r="BC16" s="7" t="s">
        <v>119</v>
      </c>
    </row>
    <row r="17" spans="1:55" ht="25.65" customHeight="1" x14ac:dyDescent="0.25">
      <c r="A17" s="1" t="s">
        <v>50</v>
      </c>
      <c r="B17" s="1">
        <f t="shared" si="0"/>
        <v>64995.22</v>
      </c>
      <c r="C17" s="2">
        <f t="shared" si="1"/>
        <v>14850</v>
      </c>
      <c r="D17" s="2">
        <f t="shared" si="2"/>
        <v>50145.22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43652.812500000007</v>
      </c>
      <c r="G17" s="2">
        <f>IFERROR(INDEX([4]Sheet1!$AK:$AK, MATCH(A17, [4]Sheet1!$A:$A, 0)) * 积分!C17, "--")</f>
        <v>860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14850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1632.6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117.75</v>
      </c>
      <c r="AL17" s="2">
        <f>IFERROR(INDEX([4]Sheet1!$AF:$AF, MATCH(A17, [4]Sheet1!$A:$A, 0)) * 积分!AD17, "--")</f>
        <v>4396.42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119</v>
      </c>
      <c r="AT17" s="12" t="s">
        <v>119</v>
      </c>
      <c r="AU17" s="12" t="s">
        <v>119</v>
      </c>
      <c r="AV17" s="12" t="s">
        <v>119</v>
      </c>
      <c r="AW17" s="12" t="s">
        <v>119</v>
      </c>
      <c r="AX17" s="12" t="s">
        <v>119</v>
      </c>
      <c r="AY17" s="12" t="s">
        <v>119</v>
      </c>
      <c r="AZ17" s="12" t="s">
        <v>119</v>
      </c>
      <c r="BA17" s="12" t="s">
        <v>119</v>
      </c>
      <c r="BB17" s="12" t="s">
        <v>119</v>
      </c>
      <c r="BC17" s="12" t="s">
        <v>119</v>
      </c>
    </row>
    <row r="18" spans="1:55" ht="25.65" customHeight="1" x14ac:dyDescent="0.25">
      <c r="A18" s="3" t="s">
        <v>51</v>
      </c>
      <c r="B18" s="4">
        <f t="shared" si="0"/>
        <v>177554.29</v>
      </c>
      <c r="C18" s="4">
        <f t="shared" si="1"/>
        <v>28530</v>
      </c>
      <c r="D18" s="4">
        <f t="shared" si="2"/>
        <v>149024.29</v>
      </c>
      <c r="E18" s="4">
        <f t="shared" si="3"/>
        <v>0</v>
      </c>
      <c r="F18" s="4" cm="1">
        <f t="array" ref="F18">IFERROR(
病区折扣比例(
(
INDEX([3]Sheet1!$I:$I, MATCH(A18, [3]Sheet1!$B:$B, 0))
/
次均费用!C18
)
)
*INDEX([4]Sheet1!$AL:$AL, MATCH(A18, [4]Sheet1!$A:$A, 0))
* 积分!B18, "--")</f>
        <v>95939.950500000006</v>
      </c>
      <c r="G18" s="4">
        <f>IFERROR(INDEX([4]Sheet1!$AK:$AK, MATCH(A18, [4]Sheet1!$A:$A, 0)) * 积分!C18, "--")</f>
        <v>1540</v>
      </c>
      <c r="H18" s="4">
        <f>IFERROR(INDEX([4]Sheet1!$AB:$AB, MATCH(A18, [4]Sheet1!$A:$A, 0)) * 积分!D18, "--")</f>
        <v>0</v>
      </c>
      <c r="I18" s="4">
        <f>IFERROR(INDEX([4]Sheet1!$AA:$AA, MATCH(A18, [4]Sheet1!$A:$A, 0)) * 积分!E18, "--")</f>
        <v>0</v>
      </c>
      <c r="J18" s="4">
        <f>IFERROR(INDEX([4]Sheet1!$Z:$Z, MATCH(A18, [4]Sheet1!$A:$A, 0)) * 积分!F18, "--")</f>
        <v>0</v>
      </c>
      <c r="K18" s="4">
        <f>IFERROR(INDEX([4]Sheet1!$Y:$Y, MATCH(A18, [4]Sheet1!$A:$A, 0)) * 积分!G18, "--")</f>
        <v>0</v>
      </c>
      <c r="L18" s="4" cm="1">
        <f t="array" ref="L18">IFERROR(
门诊折扣比例(
(
INDEX([5]Sheet1!$D:$D, MATCH(A18, [5]Sheet1!$B:$B, 0))
/
次均费用!B18
)
)
*INDEX([5]Sheet1!$C:$C, MATCH(A18, [5]Sheet1!$B:$B, 0))
* 积分!H18, "--")</f>
        <v>28530</v>
      </c>
      <c r="M18" s="4">
        <f>IFERROR(INDEX([3]Sheet1!$C:$C, MATCH(A18, [3]Sheet1!$B:$B, 0)) * 积分!I18, "--")</f>
        <v>0</v>
      </c>
      <c r="N18" s="4">
        <f>IFERROR(INDEX([3]Sheet1!$D:$D, MATCH(A18, [3]Sheet1!$B:$B, 0)) * 积分!J18, "--")</f>
        <v>165.60000000000002</v>
      </c>
      <c r="O18" s="4">
        <f>IFERROR(INDEX([3]Sheet1!$E:$E, MATCH(A18, [3]Sheet1!$B:$B, 0)) * 积分!K18, "--")</f>
        <v>110.39999999999999</v>
      </c>
      <c r="P18" s="4">
        <f>IFERROR(INDEX([3]Sheet1!$F:$F, MATCH(A18, [3]Sheet1!$B:$B, 0)) * 积分!L18, "--")</f>
        <v>0</v>
      </c>
      <c r="Q18" s="4">
        <f>IFERROR(INDEX([3]Sheet1!$G:$G, MATCH(A18, [3]Sheet1!$B:$B, 0)) * 积分!M18, "--")</f>
        <v>34037.729999999996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>
        <f>IFERROR(INDEX([3]Sheet1!$H:$H, MATCH(A18, [3]Sheet1!$B:$B, 0)) * 积分!N18, "--")</f>
        <v>0</v>
      </c>
      <c r="X18" s="4">
        <f>IFERROR(INDEX([3]Sheet1!$J:$J, MATCH(A18, [3]Sheet1!$B:$B, 0)) * 积分!O18, "--")</f>
        <v>131.387</v>
      </c>
      <c r="Y18" s="4" t="str" cm="1">
        <f t="array" ref="Y18">IFERROR(INDEX([7]Sheet1!$D:$D, MATCH(1, ([7]Sheet1!$B:$B=A18) * ([7]Sheet1!$C:$C="单位系数"), 0)) * 积分!P18, "--")</f>
        <v>--</v>
      </c>
      <c r="Z18" s="4" cm="1">
        <f t="array" ref="Z18">IFERROR(INDEX([7]Sheet1!$D:$D, MATCH(1, ([7]Sheet1!$B:$B=A18) * ([7]Sheet1!$C:$C="多学科联合(MDT)门诊"), 0)) * 积分!Q18, "--")</f>
        <v>0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cm="1">
        <f t="array" ref="AC18">IFERROR(INDEX([7]Sheet1!$D:$D, MATCH(1, ([7]Sheet1!$B:$B=A18) * ([7]Sheet1!$C:$C="特需门诊"), 0)) * 积分!S18, "--")</f>
        <v>0</v>
      </c>
      <c r="AD18" s="4" cm="1">
        <f t="array" ref="AD18">IFERROR(INDEX([7]Sheet1!$D:$D, MATCH(1, ([7]Sheet1!$B:$B=A18) * ([7]Sheet1!$C:$C="中医会诊"), 0)) * 积分!T18, "--")</f>
        <v>0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>
        <f>IFERROR(INDEX([4]Sheet1!$AD:$AD, MATCH(A18, [4]Sheet1!$A:$A, 0)) * 积分!AA18, "--")</f>
        <v>0</v>
      </c>
      <c r="AJ18" s="4">
        <f>IFERROR(INDEX([4]Sheet1!$AC:$AC, MATCH(A18, [4]Sheet1!$A:$A, 0)) * 积分!AB18, "--")</f>
        <v>0</v>
      </c>
      <c r="AK18" s="4">
        <f>IFERROR(INDEX([4]Sheet1!$AE:$AE, MATCH(A18, [4]Sheet1!$A:$A, 0)) * 积分!AC18, "--")</f>
        <v>4171</v>
      </c>
      <c r="AL18" s="4">
        <f>IFERROR(INDEX([4]Sheet1!$AF:$AF, MATCH(A18, [4]Sheet1!$A:$A, 0)) * 积分!AD18, "--")</f>
        <v>9112.99</v>
      </c>
      <c r="AM18" s="4">
        <f>IFERROR(INDEX([4]Sheet1!$AG:$AG, MATCH(A18, [4]Sheet1!$A:$A, 0)) * 积分!AE18, "--")</f>
        <v>7119.2000000000007</v>
      </c>
      <c r="AN18" s="4">
        <f>IFERROR(INDEX([4]Sheet1!$AH:$AH, MATCH(A18, [4]Sheet1!$A:$A, 0)) * 积分!AF18, "--")</f>
        <v>2799.33</v>
      </c>
      <c r="AO18" s="4">
        <f>IFERROR(INDEX([4]Sheet1!$AI:$AI, MATCH(A18, [4]Sheet1!$A:$A, 0)) * 积分!AG18, "--")</f>
        <v>4055.22</v>
      </c>
      <c r="AP18" s="4">
        <f>IFERROR(INDEX([4]Sheet1!$AJ:$AJ, MATCH(A18, [4]Sheet1!$A:$A, 0)) * 积分!AH18, "--")</f>
        <v>6440.43</v>
      </c>
      <c r="AQ18" s="4">
        <v>0</v>
      </c>
      <c r="AR18" s="4">
        <v>0</v>
      </c>
      <c r="AS18" s="7" t="s">
        <v>119</v>
      </c>
      <c r="AT18" s="7" t="s">
        <v>119</v>
      </c>
      <c r="AU18" s="7" t="s">
        <v>119</v>
      </c>
      <c r="AV18" s="7" t="s">
        <v>119</v>
      </c>
      <c r="AW18" s="7" t="s">
        <v>119</v>
      </c>
      <c r="AX18" s="7" t="s">
        <v>119</v>
      </c>
      <c r="AY18" s="7" t="s">
        <v>119</v>
      </c>
      <c r="AZ18" s="7" t="s">
        <v>119</v>
      </c>
      <c r="BA18" s="7" t="s">
        <v>119</v>
      </c>
      <c r="BB18" s="7" t="s">
        <v>119</v>
      </c>
      <c r="BC18" s="7" t="s">
        <v>119</v>
      </c>
    </row>
    <row r="19" spans="1:55" ht="25.65" customHeight="1" x14ac:dyDescent="0.25">
      <c r="A19" s="1" t="s">
        <v>52</v>
      </c>
      <c r="B19" s="1">
        <f t="shared" si="0"/>
        <v>37960.6</v>
      </c>
      <c r="C19" s="2">
        <f t="shared" si="1"/>
        <v>7100</v>
      </c>
      <c r="D19" s="2">
        <f t="shared" si="2"/>
        <v>29848.6</v>
      </c>
      <c r="E19" s="2">
        <f t="shared" si="3"/>
        <v>1012</v>
      </c>
      <c r="F19" s="2" cm="1">
        <f t="array" ref="F19">IFERROR(
病区折扣比例(
(
INDEX([3]Sheet1!$I:$I, MATCH(A19, [3]Sheet1!$B:$B, 0))
/
次均费用!C19
)
)
*INDEX([4]Sheet1!$AL:$AL, MATCH(A19, [4]Sheet1!$A:$A, 0))
* 积分!B19, "--")</f>
        <v>34787.660999999993</v>
      </c>
      <c r="G19" s="2">
        <f>IFERROR(INDEX([4]Sheet1!$AK:$AK, MATCH(A19, [4]Sheet1!$A:$A, 0)) * 积分!C19, "--")</f>
        <v>580</v>
      </c>
      <c r="H19" s="2">
        <f>IFERROR(INDEX([4]Sheet1!$AB:$AB, MATCH(A19, [4]Sheet1!$A:$A, 0)) * 积分!D19, "--")</f>
        <v>0</v>
      </c>
      <c r="I19" s="2">
        <f>IFERROR(INDEX([4]Sheet1!$AA:$AA, MATCH(A19, [4]Sheet1!$A:$A, 0)) * 积分!E19, "--")</f>
        <v>0</v>
      </c>
      <c r="J19" s="2">
        <f>IFERROR(INDEX([4]Sheet1!$Z:$Z, MATCH(A19, [4]Sheet1!$A:$A, 0)) * 积分!F19, "--")</f>
        <v>0</v>
      </c>
      <c r="K19" s="2">
        <f>IFERROR(INDEX([4]Sheet1!$Y:$Y, MATCH(A19, [4]Sheet1!$A:$A, 0)) * 积分!G19, "--")</f>
        <v>0</v>
      </c>
      <c r="L19" s="2" cm="1">
        <f t="array" ref="L19">IFERROR(
门诊折扣比例(
(
INDEX([5]Sheet1!$D:$D, MATCH(A19, [5]Sheet1!$B:$B, 0))
/
次均费用!B19
)
)
*INDEX([5]Sheet1!$C:$C, MATCH(A19, [5]Sheet1!$B:$B, 0))
* 积分!H19, "--")</f>
        <v>7100</v>
      </c>
      <c r="M19" s="2">
        <f>IFERROR(INDEX([3]Sheet1!$C:$C, MATCH(A19, [3]Sheet1!$B:$B, 0)) * 积分!I19, "--")</f>
        <v>0</v>
      </c>
      <c r="N19" s="2">
        <f>IFERROR(INDEX([3]Sheet1!$D:$D, MATCH(A19, [3]Sheet1!$B:$B, 0)) * 积分!J19, "--")</f>
        <v>276</v>
      </c>
      <c r="O19" s="2">
        <f>IFERROR(INDEX([3]Sheet1!$E:$E, MATCH(A19, [3]Sheet1!$B:$B, 0)) * 积分!K19, "--")</f>
        <v>239.2</v>
      </c>
      <c r="P19" s="2">
        <f>IFERROR(INDEX([3]Sheet1!$F:$F, MATCH(A19, [3]Sheet1!$B:$B, 0)) * 积分!L19, "--")</f>
        <v>0</v>
      </c>
      <c r="Q19" s="2">
        <f>IFERROR(INDEX([3]Sheet1!$G:$G, MATCH(A19, [3]Sheet1!$B:$B, 0)) * 积分!M19, "--")</f>
        <v>2578.14</v>
      </c>
      <c r="R19" s="2" t="str" cm="1">
        <f t="array" ref="R19">IFERROR(INDEX([6]Sheet1!$D:$D, MATCH(1, ([6]Sheet1!$B:$B=A19) * ([6]Sheet1!$C:$C="特级护理（临床）"), 0)) * 积分!AI19, "--")</f>
        <v>--</v>
      </c>
      <c r="S19" s="2" t="str" cm="1">
        <f t="array" ref="S19">IFERROR(INDEX([6]Sheet1!$D:$D, MATCH(1, ([6]Sheet1!$B:$B=A19) * ([6]Sheet1!$C:$C="重症监护（临床）"), 0)) * 积分!AJ19, "--")</f>
        <v>--</v>
      </c>
      <c r="T19" s="2" t="str" cm="1">
        <f t="array" ref="T19">IFERROR(INDEX([6]Sheet1!$D:$D, MATCH(1, ([6]Sheet1!$B:$B=A19) * ([6]Sheet1!$C:$C="Ⅰ级护理（临床）"), 0)) * 积分!AK19, "--")</f>
        <v>--</v>
      </c>
      <c r="U19" s="2" t="str" cm="1">
        <f t="array" ref="U19">IFERROR(INDEX([6]Sheet1!$D:$D, MATCH(1, ([6]Sheet1!$B:$B=A19) * ([6]Sheet1!$C:$C="Ⅱ级护理（临床）"), 0)) * 积分!AL19, "--")</f>
        <v>--</v>
      </c>
      <c r="V19" s="2" t="str" cm="1">
        <f t="array" ref="V19">IFERROR(INDEX([6]Sheet1!$D:$D, MATCH(1, ([6]Sheet1!$B:$B=A19) * ([6]Sheet1!$C:$C="护士中医适宜技术（临床）"), 0)) * 积分!AM19, "--")</f>
        <v>--</v>
      </c>
      <c r="W19" s="2">
        <f>IFERROR(INDEX([3]Sheet1!$H:$H, MATCH(A19, [3]Sheet1!$B:$B, 0)) * 积分!N19, "--")</f>
        <v>0</v>
      </c>
      <c r="X19" s="2">
        <f>IFERROR(INDEX([3]Sheet1!$J:$J, MATCH(A19, [3]Sheet1!$B:$B, 0)) * 积分!O19, "--")</f>
        <v>0</v>
      </c>
      <c r="Y19" s="2" t="str" cm="1">
        <f t="array" ref="Y19">IFERROR(INDEX([7]Sheet1!$D:$D, MATCH(1, ([7]Sheet1!$B:$B=A19) * ([7]Sheet1!$C:$C="单位系数"), 0)) * 积分!P19, "--")</f>
        <v>--</v>
      </c>
      <c r="Z19" s="2" cm="1">
        <f t="array" ref="Z19">IFERROR(INDEX([7]Sheet1!$D:$D, MATCH(1, ([7]Sheet1!$B:$B=A19) * ([7]Sheet1!$C:$C="多学科联合(MDT)门诊"), 0)) * 积分!Q19, "--")</f>
        <v>0</v>
      </c>
      <c r="AA19" s="2" t="str" cm="1">
        <f t="array" ref="AA19">IFERROR(INDEX([7]Sheet1!$D:$D, MATCH(1, ([7]Sheet1!$B:$B=A19) * ([7]Sheet1!$C:$C="核算金额"), 0)) * 积分!R19, "--")</f>
        <v>--</v>
      </c>
      <c r="AB19" s="2" t="str" cm="1">
        <f t="array" ref="AB19">IFERROR(INDEX([7]Sheet1!$D:$D, MATCH(1, ([7]Sheet1!$B:$B=A19) * ([7]Sheet1!$C:$C="单据"), 0)), "--")</f>
        <v>--</v>
      </c>
      <c r="AC19" s="2" cm="1">
        <f t="array" ref="AC19">IFERROR(INDEX([7]Sheet1!$D:$D, MATCH(1, ([7]Sheet1!$B:$B=A19) * ([7]Sheet1!$C:$C="特需门诊"), 0)) * 积分!S19, "--")</f>
        <v>0</v>
      </c>
      <c r="AD19" s="2" cm="1">
        <f t="array" ref="AD19">IFERROR(INDEX([7]Sheet1!$D:$D, MATCH(1, ([7]Sheet1!$B:$B=A19) * ([7]Sheet1!$C:$C="中医会诊"), 0)) * 积分!T19, "--")</f>
        <v>1012</v>
      </c>
      <c r="AE19" s="2">
        <f>积分!U19*0</f>
        <v>0</v>
      </c>
      <c r="AF19" s="2">
        <f>-10177*积分!V19</f>
        <v>-10177</v>
      </c>
      <c r="AG19" s="2">
        <f>-10177*积分!W19</f>
        <v>0</v>
      </c>
      <c r="AH19" s="2">
        <f>-10177*积分!X19</f>
        <v>0</v>
      </c>
      <c r="AI19" s="2">
        <f>IFERROR(INDEX([4]Sheet1!$AD:$AD, MATCH(A19, [4]Sheet1!$A:$A, 0)) * 积分!AA19, "--")</f>
        <v>0</v>
      </c>
      <c r="AJ19" s="2">
        <f>IFERROR(INDEX([4]Sheet1!$AC:$AC, MATCH(A19, [4]Sheet1!$A:$A, 0)) * 积分!AB19, "--")</f>
        <v>0</v>
      </c>
      <c r="AK19" s="2">
        <f>IFERROR(INDEX([4]Sheet1!$AE:$AE, MATCH(A19, [4]Sheet1!$A:$A, 0)) * 积分!AC19, "--")</f>
        <v>1010.6199999999999</v>
      </c>
      <c r="AL19" s="2">
        <f>IFERROR(INDEX([4]Sheet1!$AF:$AF, MATCH(A19, [4]Sheet1!$A:$A, 0)) * 积分!AD19, "--")</f>
        <v>553.98</v>
      </c>
      <c r="AM19" s="2">
        <f>IFERROR(INDEX([4]Sheet1!$AG:$AG, MATCH(A19, [4]Sheet1!$A:$A, 0)) * 积分!AE19, "--")</f>
        <v>0</v>
      </c>
      <c r="AN19" s="2">
        <f>IFERROR(INDEX([4]Sheet1!$AH:$AH, MATCH(A19, [4]Sheet1!$A:$A, 0)) * 积分!AF19, "--")</f>
        <v>0</v>
      </c>
      <c r="AO19" s="2">
        <f>IFERROR(INDEX([4]Sheet1!$AI:$AI, MATCH(A19, [4]Sheet1!$A:$A, 0)) * 积分!AG19, "--")</f>
        <v>0</v>
      </c>
      <c r="AP19" s="2">
        <f>IFERROR(INDEX([4]Sheet1!$AJ:$AJ, MATCH(A19, [4]Sheet1!$A:$A, 0)) * 积分!AH19, "--")</f>
        <v>0</v>
      </c>
      <c r="AQ19" s="2">
        <v>0</v>
      </c>
      <c r="AR19" s="2">
        <v>0</v>
      </c>
      <c r="AS19" s="12" t="s">
        <v>119</v>
      </c>
      <c r="AT19" s="12" t="s">
        <v>119</v>
      </c>
      <c r="AU19" s="12" t="s">
        <v>119</v>
      </c>
      <c r="AV19" s="12" t="s">
        <v>119</v>
      </c>
      <c r="AW19" s="12" t="s">
        <v>119</v>
      </c>
      <c r="AX19" s="12" t="s">
        <v>119</v>
      </c>
      <c r="AY19" s="12" t="s">
        <v>119</v>
      </c>
      <c r="AZ19" s="12" t="s">
        <v>119</v>
      </c>
      <c r="BA19" s="12" t="s">
        <v>119</v>
      </c>
      <c r="BB19" s="12" t="s">
        <v>119</v>
      </c>
      <c r="BC19" s="12" t="s">
        <v>119</v>
      </c>
    </row>
    <row r="20" spans="1:55" ht="25.65" customHeight="1" x14ac:dyDescent="0.25">
      <c r="A20" s="3" t="s">
        <v>53</v>
      </c>
      <c r="B20" s="4">
        <f t="shared" si="0"/>
        <v>76911.839999999997</v>
      </c>
      <c r="C20" s="4">
        <f t="shared" si="1"/>
        <v>10261.52</v>
      </c>
      <c r="D20" s="4">
        <f t="shared" si="2"/>
        <v>66650.320000000007</v>
      </c>
      <c r="E20" s="4">
        <f t="shared" si="3"/>
        <v>0</v>
      </c>
      <c r="F20" s="4" cm="1">
        <f t="array" ref="F20">IFERROR(
病区折扣比例(
(
INDEX([3]Sheet1!$I:$I, MATCH(A20, [3]Sheet1!$B:$B, 0))
/
次均费用!C20
)
)
*INDEX([4]Sheet1!$AL:$AL, MATCH(A20, [4]Sheet1!$A:$A, 0))
* 积分!B20, "--")</f>
        <v>56536.829999999994</v>
      </c>
      <c r="G20" s="4">
        <f>IFERROR(INDEX([4]Sheet1!$AK:$AK, MATCH(A20, [4]Sheet1!$A:$A, 0)) * 积分!C20, "--")</f>
        <v>880</v>
      </c>
      <c r="H20" s="4">
        <f>IFERROR(INDEX([4]Sheet1!$AB:$AB, MATCH(A20, [4]Sheet1!$A:$A, 0)) * 积分!D20, "--")</f>
        <v>0</v>
      </c>
      <c r="I20" s="4">
        <f>IFERROR(INDEX([4]Sheet1!$AA:$AA, MATCH(A20, [4]Sheet1!$A:$A, 0)) * 积分!E20, "--")</f>
        <v>0</v>
      </c>
      <c r="J20" s="4">
        <f>IFERROR(INDEX([4]Sheet1!$Z:$Z, MATCH(A20, [4]Sheet1!$A:$A, 0)) * 积分!F20, "--")</f>
        <v>0</v>
      </c>
      <c r="K20" s="4">
        <f>IFERROR(INDEX([4]Sheet1!$Y:$Y, MATCH(A20, [4]Sheet1!$A:$A, 0)) * 积分!G20, "--")</f>
        <v>0</v>
      </c>
      <c r="L20" s="4" cm="1">
        <f t="array" ref="L20">IFERROR(
门诊折扣比例(
(
INDEX([5]Sheet1!$D:$D, MATCH(A20, [5]Sheet1!$B:$B, 0))
/
次均费用!B20
)
)
*INDEX([5]Sheet1!$C:$C, MATCH(A20, [5]Sheet1!$B:$B, 0))
* 积分!H20, "--")</f>
        <v>10261.519999999999</v>
      </c>
      <c r="M20" s="4">
        <f>IFERROR(INDEX([3]Sheet1!$C:$C, MATCH(A20, [3]Sheet1!$B:$B, 0)) * 积分!I20, "--")</f>
        <v>0</v>
      </c>
      <c r="N20" s="4">
        <f>IFERROR(INDEX([3]Sheet1!$D:$D, MATCH(A20, [3]Sheet1!$B:$B, 0)) * 积分!J20, "--")</f>
        <v>96.600000000000009</v>
      </c>
      <c r="O20" s="4">
        <f>IFERROR(INDEX([3]Sheet1!$E:$E, MATCH(A20, [3]Sheet1!$B:$B, 0)) * 积分!K20, "--")</f>
        <v>27.599999999999998</v>
      </c>
      <c r="P20" s="4">
        <f>IFERROR(INDEX([3]Sheet1!$F:$F, MATCH(A20, [3]Sheet1!$B:$B, 0)) * 积分!L20, "--")</f>
        <v>0</v>
      </c>
      <c r="Q20" s="4">
        <f>IFERROR(INDEX([3]Sheet1!$G:$G, MATCH(A20, [3]Sheet1!$B:$B, 0)) * 积分!M20, "--")</f>
        <v>5274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>
        <f>IFERROR(INDEX([3]Sheet1!$H:$H, MATCH(A20, [3]Sheet1!$B:$B, 0)) * 积分!N20, "--")</f>
        <v>0</v>
      </c>
      <c r="X20" s="4">
        <f>IFERROR(INDEX([3]Sheet1!$J:$J, MATCH(A20, [3]Sheet1!$B:$B, 0)) * 积分!O20, "--")</f>
        <v>0</v>
      </c>
      <c r="Y20" s="4" t="str" cm="1">
        <f t="array" ref="Y20">IFERROR(INDEX([7]Sheet1!$D:$D, MATCH(1, ([7]Sheet1!$B:$B=A20) * ([7]Sheet1!$C:$C="单位系数"), 0)) * 积分!P20, "--")</f>
        <v>--</v>
      </c>
      <c r="Z20" s="4" cm="1">
        <f t="array" ref="Z20">IFERROR(INDEX([7]Sheet1!$D:$D, MATCH(1, ([7]Sheet1!$B:$B=A20) * ([7]Sheet1!$C:$C="多学科联合(MDT)门诊"), 0)) * 积分!Q20, "--")</f>
        <v>0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cm="1">
        <f t="array" ref="AC20">IFERROR(INDEX([7]Sheet1!$D:$D, MATCH(1, ([7]Sheet1!$B:$B=A20) * ([7]Sheet1!$C:$C="特需门诊"), 0)) * 积分!S20, "--")</f>
        <v>0</v>
      </c>
      <c r="AD20" s="4" cm="1">
        <f t="array" ref="AD20">IFERROR(INDEX([7]Sheet1!$D:$D, MATCH(1, ([7]Sheet1!$B:$B=A20) * ([7]Sheet1!$C:$C="中医会诊"), 0)) * 积分!T20, "--")</f>
        <v>0</v>
      </c>
      <c r="AE20" s="4">
        <f>积分!U20*0</f>
        <v>0</v>
      </c>
      <c r="AF20" s="4">
        <f>-1228.41*积分!V20</f>
        <v>-1228.4100000000001</v>
      </c>
      <c r="AG20" s="4">
        <f>-1228.41*积分!W20</f>
        <v>0</v>
      </c>
      <c r="AH20" s="4">
        <f>-1228.41*积分!X20</f>
        <v>0</v>
      </c>
      <c r="AI20" s="4">
        <f>IFERROR(INDEX([4]Sheet1!$AD:$AD, MATCH(A20, [4]Sheet1!$A:$A, 0)) * 积分!AA20, "--")</f>
        <v>0</v>
      </c>
      <c r="AJ20" s="4">
        <f>IFERROR(INDEX([4]Sheet1!$AC:$AC, MATCH(A20, [4]Sheet1!$A:$A, 0)) * 积分!AB20, "--")</f>
        <v>0</v>
      </c>
      <c r="AK20" s="4">
        <f>IFERROR(INDEX([4]Sheet1!$AE:$AE, MATCH(A20, [4]Sheet1!$A:$A, 0)) * 积分!AC20, "--")</f>
        <v>3318.9</v>
      </c>
      <c r="AL20" s="4">
        <f>IFERROR(INDEX([4]Sheet1!$AF:$AF, MATCH(A20, [4]Sheet1!$A:$A, 0)) * 积分!AD20, "--")</f>
        <v>1744.8</v>
      </c>
      <c r="AM20" s="4">
        <f>IFERROR(INDEX([4]Sheet1!$AG:$AG, MATCH(A20, [4]Sheet1!$A:$A, 0)) * 积分!AE20, "--")</f>
        <v>0</v>
      </c>
      <c r="AN20" s="4">
        <f>IFERROR(INDEX([4]Sheet1!$AH:$AH, MATCH(A20, [4]Sheet1!$A:$A, 0)) * 积分!AF20, "--")</f>
        <v>0</v>
      </c>
      <c r="AO20" s="4">
        <f>IFERROR(INDEX([4]Sheet1!$AI:$AI, MATCH(A20, [4]Sheet1!$A:$A, 0)) * 积分!AG20, "--")</f>
        <v>0</v>
      </c>
      <c r="AP20" s="4">
        <f>IFERROR(INDEX([4]Sheet1!$AJ:$AJ, MATCH(A20, [4]Sheet1!$A:$A, 0)) * 积分!AH20, "--")</f>
        <v>0</v>
      </c>
      <c r="AQ20" s="4">
        <v>0</v>
      </c>
      <c r="AR20" s="4">
        <v>0</v>
      </c>
      <c r="AS20" s="7" t="s">
        <v>119</v>
      </c>
      <c r="AT20" s="7" t="s">
        <v>119</v>
      </c>
      <c r="AU20" s="7" t="s">
        <v>119</v>
      </c>
      <c r="AV20" s="7" t="s">
        <v>119</v>
      </c>
      <c r="AW20" s="7" t="s">
        <v>119</v>
      </c>
      <c r="AX20" s="7" t="s">
        <v>119</v>
      </c>
      <c r="AY20" s="7" t="s">
        <v>119</v>
      </c>
      <c r="AZ20" s="7" t="s">
        <v>119</v>
      </c>
      <c r="BA20" s="7" t="s">
        <v>119</v>
      </c>
      <c r="BB20" s="7" t="s">
        <v>119</v>
      </c>
      <c r="BC20" s="7" t="s">
        <v>119</v>
      </c>
    </row>
    <row r="21" spans="1:55" ht="25.65" customHeight="1" x14ac:dyDescent="0.25">
      <c r="A21" s="1" t="s">
        <v>54</v>
      </c>
      <c r="B21" s="1">
        <f t="shared" si="0"/>
        <v>81947.19</v>
      </c>
      <c r="C21" s="2">
        <f t="shared" si="1"/>
        <v>9978.1</v>
      </c>
      <c r="D21" s="2">
        <f t="shared" si="2"/>
        <v>71969.09</v>
      </c>
      <c r="E21" s="2">
        <f t="shared" si="3"/>
        <v>0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33935.4</v>
      </c>
      <c r="G21" s="2">
        <f>IFERROR(INDEX([4]Sheet1!$AK:$AK, MATCH(A21, [4]Sheet1!$A:$A, 0)) * 积分!C21, "--")</f>
        <v>1180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9978.1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13.8</v>
      </c>
      <c r="O21" s="2">
        <f>IFERROR(INDEX([3]Sheet1!$E:$E, MATCH(A21, [3]Sheet1!$B:$B, 0)) * 积分!K21, "--")</f>
        <v>9.1999999999999993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8434.7999999999993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0</v>
      </c>
      <c r="AE21" s="2">
        <f>积分!U21*0</f>
        <v>0</v>
      </c>
      <c r="AF21" s="2">
        <f>14231.85*积分!V21</f>
        <v>14231.85</v>
      </c>
      <c r="AG21" s="2">
        <f>14231.85*积分!W21</f>
        <v>0</v>
      </c>
      <c r="AH21" s="2">
        <f>14231.85*积分!X21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12631.960000000001</v>
      </c>
      <c r="AL21" s="2">
        <f>IFERROR(INDEX([4]Sheet1!$AF:$AF, MATCH(A21, [4]Sheet1!$A:$A, 0)) * 积分!AD21, "--")</f>
        <v>1532.08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119</v>
      </c>
      <c r="AT21" s="12" t="s">
        <v>119</v>
      </c>
      <c r="AU21" s="12" t="s">
        <v>119</v>
      </c>
      <c r="AV21" s="12" t="s">
        <v>119</v>
      </c>
      <c r="AW21" s="12" t="s">
        <v>119</v>
      </c>
      <c r="AX21" s="12" t="s">
        <v>119</v>
      </c>
      <c r="AY21" s="12" t="s">
        <v>119</v>
      </c>
      <c r="AZ21" s="12" t="s">
        <v>119</v>
      </c>
      <c r="BA21" s="12" t="s">
        <v>119</v>
      </c>
      <c r="BB21" s="12" t="s">
        <v>119</v>
      </c>
      <c r="BC21" s="12" t="s">
        <v>119</v>
      </c>
    </row>
    <row r="22" spans="1:55" ht="25.65" customHeight="1" x14ac:dyDescent="0.25">
      <c r="A22" s="3" t="s">
        <v>55</v>
      </c>
      <c r="B22" s="4">
        <f t="shared" si="0"/>
        <v>87302.36</v>
      </c>
      <c r="C22" s="4">
        <f t="shared" si="1"/>
        <v>9870.7099999999991</v>
      </c>
      <c r="D22" s="4">
        <f t="shared" si="2"/>
        <v>77431.649999999994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47730.600000000006</v>
      </c>
      <c r="G22" s="4">
        <f>IFERROR(INDEX([4]Sheet1!$AK:$AK, MATCH(A22, [4]Sheet1!$A:$A, 0)) * 积分!C22, "--")</f>
        <v>1840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9870.7100000000009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55.2</v>
      </c>
      <c r="O22" s="4">
        <f>IFERROR(INDEX([3]Sheet1!$E:$E, MATCH(A22, [3]Sheet1!$B:$B, 0)) * 积分!K22, "--")</f>
        <v>46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4344.75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-13346.91*积分!V22</f>
        <v>-13346.91</v>
      </c>
      <c r="AG22" s="4">
        <f>-13346.91*积分!W22</f>
        <v>0</v>
      </c>
      <c r="AH22" s="4">
        <f>-13346.91*积分!X22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29647.199999999997</v>
      </c>
      <c r="AL22" s="4">
        <f>IFERROR(INDEX([4]Sheet1!$AF:$AF, MATCH(A22, [4]Sheet1!$A:$A, 0)) * 积分!AD22, "--")</f>
        <v>7114.8099999999995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119</v>
      </c>
      <c r="AT22" s="7" t="s">
        <v>119</v>
      </c>
      <c r="AU22" s="7" t="s">
        <v>119</v>
      </c>
      <c r="AV22" s="7" t="s">
        <v>119</v>
      </c>
      <c r="AW22" s="7" t="s">
        <v>119</v>
      </c>
      <c r="AX22" s="7" t="s">
        <v>119</v>
      </c>
      <c r="AY22" s="7" t="s">
        <v>119</v>
      </c>
      <c r="AZ22" s="7" t="s">
        <v>119</v>
      </c>
      <c r="BA22" s="7" t="s">
        <v>119</v>
      </c>
      <c r="BB22" s="7" t="s">
        <v>119</v>
      </c>
      <c r="BC22" s="7" t="s">
        <v>119</v>
      </c>
    </row>
    <row r="23" spans="1:55" ht="25.65" customHeight="1" x14ac:dyDescent="0.25">
      <c r="A23" s="1" t="s">
        <v>56</v>
      </c>
      <c r="B23" s="1">
        <f t="shared" si="0"/>
        <v>74104.570000000007</v>
      </c>
      <c r="C23" s="2">
        <f t="shared" si="1"/>
        <v>13582.6</v>
      </c>
      <c r="D23" s="2">
        <f t="shared" si="2"/>
        <v>60521.97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38688</v>
      </c>
      <c r="G23" s="2">
        <f>IFERROR(INDEX([4]Sheet1!$AK:$AK, MATCH(A23, [4]Sheet1!$A:$A, 0)) * 积分!C23, "--")</f>
        <v>1000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13582.6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27.6</v>
      </c>
      <c r="O23" s="2">
        <f>IFERROR(INDEX([3]Sheet1!$E:$E, MATCH(A23, [3]Sheet1!$B:$B, 0)) * 积分!K23, "--")</f>
        <v>18.399999999999999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2074.9499999999998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3046.9388999999996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-1007.62*积分!V23</f>
        <v>-1007.62</v>
      </c>
      <c r="AG23" s="2">
        <f>-1007.62*积分!W23</f>
        <v>0</v>
      </c>
      <c r="AH23" s="2">
        <f>-1007.62*积分!X23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16172.52</v>
      </c>
      <c r="AL23" s="2">
        <f>IFERROR(INDEX([4]Sheet1!$AF:$AF, MATCH(A23, [4]Sheet1!$A:$A, 0)) * 积分!AD23, "--")</f>
        <v>501.18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119</v>
      </c>
      <c r="AT23" s="12" t="s">
        <v>119</v>
      </c>
      <c r="AU23" s="12" t="s">
        <v>119</v>
      </c>
      <c r="AV23" s="12" t="s">
        <v>119</v>
      </c>
      <c r="AW23" s="12" t="s">
        <v>119</v>
      </c>
      <c r="AX23" s="12" t="s">
        <v>119</v>
      </c>
      <c r="AY23" s="12" t="s">
        <v>119</v>
      </c>
      <c r="AZ23" s="12" t="s">
        <v>119</v>
      </c>
      <c r="BA23" s="12" t="s">
        <v>119</v>
      </c>
      <c r="BB23" s="12" t="s">
        <v>119</v>
      </c>
      <c r="BC23" s="12" t="s">
        <v>119</v>
      </c>
    </row>
    <row r="24" spans="1:55" ht="25.65" customHeight="1" x14ac:dyDescent="0.25">
      <c r="A24" s="3" t="s">
        <v>57</v>
      </c>
      <c r="B24" s="4">
        <f t="shared" si="0"/>
        <v>100777.68</v>
      </c>
      <c r="C24" s="4">
        <f t="shared" si="1"/>
        <v>0</v>
      </c>
      <c r="D24" s="4">
        <f t="shared" si="2"/>
        <v>4320.08</v>
      </c>
      <c r="E24" s="4">
        <f t="shared" si="3"/>
        <v>96457.600000000006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0</v>
      </c>
      <c r="G24" s="4">
        <f>IFERROR(INDEX([4]Sheet1!$AK:$AK, MATCH(A24, [4]Sheet1!$A:$A, 0)) * 积分!C24, "--")</f>
        <v>20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t="str" cm="1">
        <f t="array" ref="L24">IFERROR(
门诊折扣比例(
(
INDEX([5]Sheet1!$D:$D, MATCH(A24, [5]Sheet1!$B:$B, 0))
/
次均费用!B24
)
)
*INDEX([5]Sheet1!$C:$C, MATCH(A24, [5]Sheet1!$B:$B, 0))
* 积分!H24, "--")</f>
        <v>--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207</v>
      </c>
      <c r="O24" s="4">
        <f>IFERROR(INDEX([3]Sheet1!$E:$E, MATCH(A24, [3]Sheet1!$B:$B, 0)) * 积分!K24, "--")</f>
        <v>55.199999999999996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10.53</v>
      </c>
      <c r="R24" s="4" cm="1">
        <f t="array" ref="R24">IFERROR(INDEX([6]Sheet1!$D:$D, MATCH(1, ([6]Sheet1!$B:$B=A24) * ([6]Sheet1!$C:$C="特级护理（临床）"), 0)) * 积分!AI24, "--")</f>
        <v>0</v>
      </c>
      <c r="S24" s="4" cm="1">
        <f t="array" ref="S24">IFERROR(INDEX([6]Sheet1!$D:$D, MATCH(1, ([6]Sheet1!$B:$B=A24) * ([6]Sheet1!$C:$C="重症监护（临床）"), 0)) * 积分!AJ24, "--")</f>
        <v>10917</v>
      </c>
      <c r="T24" s="4" cm="1">
        <f t="array" ref="T24">IFERROR(INDEX([6]Sheet1!$D:$D, MATCH(1, ([6]Sheet1!$B:$B=A24) * ([6]Sheet1!$C:$C="Ⅰ级护理（临床）"), 0)) * 积分!AK24, "--")</f>
        <v>0</v>
      </c>
      <c r="U24" s="4" cm="1">
        <f t="array" ref="U24">IFERROR(INDEX([6]Sheet1!$D:$D, MATCH(1, ([6]Sheet1!$B:$B=A24) * ([6]Sheet1!$C:$C="Ⅱ级护理（临床）"), 0)) * 积分!AL24, "--")</f>
        <v>0</v>
      </c>
      <c r="V24" s="4" cm="1">
        <f t="array" ref="V24">IFERROR(INDEX([6]Sheet1!$D:$D, MATCH(1, ([6]Sheet1!$B:$B=A24) * ([6]Sheet1!$C:$C="护士中医适宜技术（临床）"), 0)) * 积分!AM24, "--")</f>
        <v>31.590000000000003</v>
      </c>
      <c r="W24" s="4">
        <f>IFERROR(INDEX([3]Sheet1!$H:$H, MATCH(A24, [3]Sheet1!$B:$B, 0)) * 积分!N24, "--")</f>
        <v>1050</v>
      </c>
      <c r="X24" s="4">
        <f>IFERROR(INDEX([3]Sheet1!$J:$J, MATCH(A24, [3]Sheet1!$B:$B, 0)) * 积分!O24, "--")</f>
        <v>0</v>
      </c>
      <c r="Y24" s="4" cm="1">
        <f t="array" ref="Y24">IFERROR(INDEX([7]Sheet1!$D:$D, MATCH(1, ([7]Sheet1!$B:$B=A24) * ([7]Sheet1!$C:$C="单位系数"), 0)) * 积分!P24, "--")</f>
        <v>96457.599999999991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t="str" cm="1">
        <f t="array" ref="AC24">IFERROR(INDEX([7]Sheet1!$D:$D, MATCH(1, ([7]Sheet1!$B:$B=A24) * ([7]Sheet1!$C:$C="特需门诊"), 0)) * 积分!S24, "--")</f>
        <v>--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-7971.24*积分!V24</f>
        <v>-7971.24</v>
      </c>
      <c r="AG24" s="4">
        <f>--积分!W24</f>
        <v>0</v>
      </c>
      <c r="AH24" s="4">
        <f>-7971.24*积分!X24</f>
        <v>0</v>
      </c>
      <c r="AI24" s="4">
        <f>IFERROR(INDEX([4]Sheet1!$AD:$AD, MATCH(A24, [4]Sheet1!$A:$A, 0)) * 积分!AA24, "--")</f>
        <v>0</v>
      </c>
      <c r="AJ24" s="4">
        <f>IFERROR(INDEX([4]Sheet1!$AC:$AC, MATCH(A24, [4]Sheet1!$A:$A, 0)) * 积分!AB24, "--")</f>
        <v>0</v>
      </c>
      <c r="AK24" s="4">
        <f>IFERROR(INDEX([4]Sheet1!$AE:$AE, MATCH(A24, [4]Sheet1!$A:$A, 0)) * 积分!AC24, "--")</f>
        <v>0</v>
      </c>
      <c r="AL24" s="4">
        <f>IFERROR(INDEX([4]Sheet1!$AF:$AF, MATCH(A24, [4]Sheet1!$A:$A, 0)) * 积分!AD24, "--")</f>
        <v>0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119</v>
      </c>
      <c r="AT24" s="7" t="s">
        <v>119</v>
      </c>
      <c r="AU24" s="7" t="s">
        <v>119</v>
      </c>
      <c r="AV24" s="7" t="s">
        <v>119</v>
      </c>
      <c r="AW24" s="7" t="s">
        <v>119</v>
      </c>
      <c r="AX24" s="7" t="s">
        <v>119</v>
      </c>
      <c r="AY24" s="7" t="s">
        <v>119</v>
      </c>
      <c r="AZ24" s="7" t="s">
        <v>119</v>
      </c>
      <c r="BA24" s="7" t="s">
        <v>119</v>
      </c>
      <c r="BB24" s="7" t="s">
        <v>119</v>
      </c>
      <c r="BC24" s="7" t="s">
        <v>119</v>
      </c>
    </row>
    <row r="25" spans="1:55" ht="25.65" customHeight="1" x14ac:dyDescent="0.25">
      <c r="A25" s="1" t="s">
        <v>58</v>
      </c>
      <c r="B25" s="1">
        <f t="shared" si="0"/>
        <v>314236.90000000002</v>
      </c>
      <c r="C25" s="2">
        <f t="shared" si="1"/>
        <v>0</v>
      </c>
      <c r="D25" s="2">
        <f t="shared" si="2"/>
        <v>-2339.3200000000002</v>
      </c>
      <c r="E25" s="2">
        <f t="shared" si="3"/>
        <v>316576.21999999997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0</v>
      </c>
      <c r="G25" s="2">
        <f>IFERROR(INDEX([4]Sheet1!$AK:$AK, MATCH(A25, [4]Sheet1!$A:$A, 0)) * 积分!C25, "--")</f>
        <v>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t="str" cm="1">
        <f t="array" ref="L25">IFERROR(
门诊折扣比例(
(
INDEX([5]Sheet1!$D:$D, MATCH(A25, [5]Sheet1!$B:$B, 0))
/
次均费用!B25
)
)
*INDEX([5]Sheet1!$C:$C, MATCH(A25, [5]Sheet1!$B:$B, 0))
* 积分!H25, "--")</f>
        <v>--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0</v>
      </c>
      <c r="O25" s="2">
        <f>IFERROR(INDEX([3]Sheet1!$E:$E, MATCH(A25, [3]Sheet1!$B:$B, 0)) * 积分!K25, "--")</f>
        <v>0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0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0</v>
      </c>
      <c r="Y25" s="2" cm="1">
        <f t="array" ref="Y25">IFERROR(INDEX([7]Sheet1!$D:$D, MATCH(1, ([7]Sheet1!$B:$B=A25) * ([7]Sheet1!$C:$C="单位系数"), 0)) * 积分!P25, "--")</f>
        <v>316576.2182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t="str" cm="1">
        <f t="array" ref="AC25">IFERROR(INDEX([7]Sheet1!$D:$D, MATCH(1, ([7]Sheet1!$B:$B=A25) * ([7]Sheet1!$C:$C="特需门诊"), 0)) * 积分!S25, "--")</f>
        <v>--</v>
      </c>
      <c r="AD25" s="2" t="str" cm="1">
        <f t="array" ref="AD25">IFERROR(INDEX([7]Sheet1!$D:$D, MATCH(1, ([7]Sheet1!$B:$B=A25) * ([7]Sheet1!$C:$C="中医会诊"), 0)) * 积分!T25, "--")</f>
        <v>--</v>
      </c>
      <c r="AE25" s="2">
        <f>积分!U25*0</f>
        <v>0</v>
      </c>
      <c r="AF25" s="2">
        <f>-2339.32*积分!V25</f>
        <v>-2339.3200000000002</v>
      </c>
      <c r="AG25" s="2">
        <f>--积分!W25</f>
        <v>0</v>
      </c>
      <c r="AH25" s="2">
        <f>-2339.32*积分!X25</f>
        <v>0</v>
      </c>
      <c r="AI25" s="2">
        <f>IFERROR(INDEX([4]Sheet1!$AD:$AD, MATCH(A25, [4]Sheet1!$A:$A, 0)) * 积分!AA25, "--")</f>
        <v>0</v>
      </c>
      <c r="AJ25" s="2">
        <f>IFERROR(INDEX([4]Sheet1!$AC:$AC, MATCH(A25, [4]Sheet1!$A:$A, 0)) * 积分!AB25, "--")</f>
        <v>0</v>
      </c>
      <c r="AK25" s="2">
        <f>IFERROR(INDEX([4]Sheet1!$AE:$AE, MATCH(A25, [4]Sheet1!$A:$A, 0)) * 积分!AC25, "--")</f>
        <v>0</v>
      </c>
      <c r="AL25" s="2">
        <f>IFERROR(INDEX([4]Sheet1!$AF:$AF, MATCH(A25, [4]Sheet1!$A:$A, 0)) * 积分!AD25, "--")</f>
        <v>0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119</v>
      </c>
      <c r="AT25" s="12" t="s">
        <v>119</v>
      </c>
      <c r="AU25" s="12" t="s">
        <v>119</v>
      </c>
      <c r="AV25" s="12" t="s">
        <v>119</v>
      </c>
      <c r="AW25" s="12" t="s">
        <v>119</v>
      </c>
      <c r="AX25" s="12" t="s">
        <v>119</v>
      </c>
      <c r="AY25" s="12" t="s">
        <v>119</v>
      </c>
      <c r="AZ25" s="12" t="s">
        <v>119</v>
      </c>
      <c r="BA25" s="12" t="s">
        <v>119</v>
      </c>
      <c r="BB25" s="12" t="s">
        <v>119</v>
      </c>
      <c r="BC25" s="12" t="s">
        <v>119</v>
      </c>
    </row>
    <row r="26" spans="1:55" ht="25.65" customHeight="1" x14ac:dyDescent="0.25">
      <c r="A26" s="3" t="s">
        <v>59</v>
      </c>
      <c r="B26" s="4">
        <f t="shared" si="0"/>
        <v>281929.33</v>
      </c>
      <c r="C26" s="4">
        <f t="shared" si="1"/>
        <v>0</v>
      </c>
      <c r="D26" s="4">
        <f t="shared" si="2"/>
        <v>0</v>
      </c>
      <c r="E26" s="4">
        <f t="shared" si="3"/>
        <v>281929.33</v>
      </c>
      <c r="F26" s="4" t="str" cm="1">
        <f t="array" ref="F26">IFERROR(
病区折扣比例(
(
INDEX([3]Sheet1!$I:$I, MATCH(A26, [3]Sheet1!$B:$B, 0))
/
次均费用!C26
)
)
*INDEX([4]Sheet1!$AL:$AL, MATCH(A26, [4]Sheet1!$A:$A, 0))
* 积分!B26, "--")</f>
        <v>--</v>
      </c>
      <c r="G26" s="4" t="str">
        <f>IFERROR(INDEX([4]Sheet1!$AK:$AK, MATCH(A26, [4]Sheet1!$A:$A, 0)) * 积分!C26, "--")</f>
        <v>--</v>
      </c>
      <c r="H26" s="4" t="str">
        <f>IFERROR(INDEX([4]Sheet1!$AB:$AB, MATCH(A26, [4]Sheet1!$A:$A, 0)) * 积分!D26, "--")</f>
        <v>--</v>
      </c>
      <c r="I26" s="4" t="str">
        <f>IFERROR(INDEX([4]Sheet1!$AA:$AA, MATCH(A26, [4]Sheet1!$A:$A, 0)) * 积分!E26, "--")</f>
        <v>--</v>
      </c>
      <c r="J26" s="4" t="str">
        <f>IFERROR(INDEX([4]Sheet1!$Z:$Z, MATCH(A26, [4]Sheet1!$A:$A, 0)) * 积分!F26, "--")</f>
        <v>--</v>
      </c>
      <c r="K26" s="4" t="str">
        <f>IFERROR(INDEX([4]Sheet1!$Y:$Y, MATCH(A26, [4]Sheet1!$A:$A, 0)) * 积分!G26, "--")</f>
        <v>--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 t="str">
        <f>IFERROR(INDEX([3]Sheet1!$C:$C, MATCH(A26, [3]Sheet1!$B:$B, 0)) * 积分!I26, "--")</f>
        <v>--</v>
      </c>
      <c r="N26" s="4" t="str">
        <f>IFERROR(INDEX([3]Sheet1!$D:$D, MATCH(A26, [3]Sheet1!$B:$B, 0)) * 积分!J26, "--")</f>
        <v>--</v>
      </c>
      <c r="O26" s="4" t="str">
        <f>IFERROR(INDEX([3]Sheet1!$E:$E, MATCH(A26, [3]Sheet1!$B:$B, 0)) * 积分!K26, "--")</f>
        <v>--</v>
      </c>
      <c r="P26" s="4" t="str">
        <f>IFERROR(INDEX([3]Sheet1!$F:$F, MATCH(A26, [3]Sheet1!$B:$B, 0)) * 积分!L26, "--")</f>
        <v>--</v>
      </c>
      <c r="Q26" s="4" t="str">
        <f>IFERROR(INDEX([3]Sheet1!$G:$G, MATCH(A26, [3]Sheet1!$B:$B, 0)) * 积分!M26, "--")</f>
        <v>--</v>
      </c>
      <c r="R26" s="4" t="str" cm="1">
        <f t="array" ref="R26">IFERROR(INDEX([6]Sheet1!$D:$D, MATCH(1, ([6]Sheet1!$B:$B=A26) * ([6]Sheet1!$C:$C="特级护理（临床）"), 0)) * 积分!AI26, "--")</f>
        <v>--</v>
      </c>
      <c r="S26" s="4" t="str" cm="1">
        <f t="array" ref="S26">IFERROR(INDEX([6]Sheet1!$D:$D, MATCH(1, ([6]Sheet1!$B:$B=A26) * ([6]Sheet1!$C:$C="重症监护（临床）"), 0)) * 积分!AJ26, "--")</f>
        <v>--</v>
      </c>
      <c r="T26" s="4" t="str" cm="1">
        <f t="array" ref="T26">IFERROR(INDEX([6]Sheet1!$D:$D, MATCH(1, ([6]Sheet1!$B:$B=A26) * ([6]Sheet1!$C:$C="Ⅰ级护理（临床）"), 0)) * 积分!AK26, "--")</f>
        <v>--</v>
      </c>
      <c r="U26" s="4" t="str" cm="1">
        <f t="array" ref="U26">IFERROR(INDEX([6]Sheet1!$D:$D, MATCH(1, ([6]Sheet1!$B:$B=A26) * ([6]Sheet1!$C:$C="Ⅱ级护理（临床）"), 0)) * 积分!AL26, "--")</f>
        <v>--</v>
      </c>
      <c r="V26" s="4" t="str" cm="1">
        <f t="array" ref="V26">IFERROR(INDEX([6]Sheet1!$D:$D, MATCH(1, ([6]Sheet1!$B:$B=A26) * ([6]Sheet1!$C:$C="护士中医适宜技术（临床）"), 0)) * 积分!AM26, "--")</f>
        <v>--</v>
      </c>
      <c r="W26" s="4" t="str">
        <f>IFERROR(INDEX([3]Sheet1!$H:$H, MATCH(A26, [3]Sheet1!$B:$B, 0)) * 积分!N26, "--")</f>
        <v>--</v>
      </c>
      <c r="X26" s="4" t="str">
        <f>IFERROR(INDEX([3]Sheet1!$J:$J, MATCH(A26, [3]Sheet1!$B:$B, 0)) * 积分!O26, "--")</f>
        <v>--</v>
      </c>
      <c r="Y26" s="4" cm="1">
        <f t="array" ref="Y26">IFERROR(INDEX([7]Sheet1!$D:$D, MATCH(1, ([7]Sheet1!$B:$B=A26) * ([7]Sheet1!$C:$C="单位系数"), 0)) * 积分!P26, "--")</f>
        <v>287097.92799999996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t="str" cm="1">
        <f t="array" ref="AD26">IFERROR(INDEX([7]Sheet1!$D:$D, MATCH(1, ([7]Sheet1!$B:$B=A26) * ([7]Sheet1!$C:$C="中医会诊"), 0)) * 积分!T26, "--")</f>
        <v>--</v>
      </c>
      <c r="AE26" s="4">
        <f>积分!U26*0</f>
        <v>0</v>
      </c>
      <c r="AF26" s="4">
        <f>--积分!V26</f>
        <v>0</v>
      </c>
      <c r="AG26" s="4">
        <f>--积分!W26</f>
        <v>0</v>
      </c>
      <c r="AH26" s="4">
        <f>-5168.6*积分!X26</f>
        <v>-5168.6000000000004</v>
      </c>
      <c r="AI26" s="4" t="str">
        <f>IFERROR(INDEX([4]Sheet1!$AD:$AD, MATCH(A26, [4]Sheet1!$A:$A, 0)) * 积分!AA26, "--")</f>
        <v>--</v>
      </c>
      <c r="AJ26" s="4" t="str">
        <f>IFERROR(INDEX([4]Sheet1!$AC:$AC, MATCH(A26, [4]Sheet1!$A:$A, 0)) * 积分!AB26, "--")</f>
        <v>--</v>
      </c>
      <c r="AK26" s="4" t="str">
        <f>IFERROR(INDEX([4]Sheet1!$AE:$AE, MATCH(A26, [4]Sheet1!$A:$A, 0)) * 积分!AC26, "--")</f>
        <v>--</v>
      </c>
      <c r="AL26" s="4" t="str">
        <f>IFERROR(INDEX([4]Sheet1!$AF:$AF, MATCH(A26, [4]Sheet1!$A:$A, 0)) * 积分!AD26, "--")</f>
        <v>--</v>
      </c>
      <c r="AM26" s="4" t="str">
        <f>IFERROR(INDEX([4]Sheet1!$AG:$AG, MATCH(A26, [4]Sheet1!$A:$A, 0)) * 积分!AE26, "--")</f>
        <v>--</v>
      </c>
      <c r="AN26" s="4" t="str">
        <f>IFERROR(INDEX([4]Sheet1!$AH:$AH, MATCH(A26, [4]Sheet1!$A:$A, 0)) * 积分!AF26, "--")</f>
        <v>--</v>
      </c>
      <c r="AO26" s="4" t="str">
        <f>IFERROR(INDEX([4]Sheet1!$AI:$AI, MATCH(A26, [4]Sheet1!$A:$A, 0)) * 积分!AG26, "--")</f>
        <v>--</v>
      </c>
      <c r="AP26" s="4" t="str">
        <f>IFERROR(INDEX([4]Sheet1!$AJ:$AJ, MATCH(A26, [4]Sheet1!$A:$A, 0)) * 积分!AH26, "--")</f>
        <v>--</v>
      </c>
      <c r="AQ26" s="4">
        <v>0</v>
      </c>
      <c r="AR26" s="4">
        <v>0</v>
      </c>
      <c r="AS26" s="7" t="s">
        <v>119</v>
      </c>
      <c r="AT26" s="7" t="s">
        <v>119</v>
      </c>
      <c r="AU26" s="7" t="s">
        <v>119</v>
      </c>
      <c r="AV26" s="7" t="s">
        <v>119</v>
      </c>
      <c r="AW26" s="7" t="s">
        <v>119</v>
      </c>
      <c r="AX26" s="7" t="s">
        <v>119</v>
      </c>
      <c r="AY26" s="7" t="s">
        <v>119</v>
      </c>
      <c r="AZ26" s="7" t="s">
        <v>119</v>
      </c>
      <c r="BA26" s="7" t="s">
        <v>119</v>
      </c>
      <c r="BB26" s="7" t="s">
        <v>119</v>
      </c>
      <c r="BC26" s="7" t="s">
        <v>119</v>
      </c>
    </row>
    <row r="27" spans="1:55" ht="25.65" customHeight="1" x14ac:dyDescent="0.25">
      <c r="A27" s="1" t="s">
        <v>60</v>
      </c>
      <c r="B27" s="1">
        <f t="shared" si="0"/>
        <v>159112.87</v>
      </c>
      <c r="C27" s="2">
        <f t="shared" si="1"/>
        <v>0</v>
      </c>
      <c r="D27" s="2">
        <f t="shared" si="2"/>
        <v>0</v>
      </c>
      <c r="E27" s="2">
        <f t="shared" si="3"/>
        <v>159112.87</v>
      </c>
      <c r="F27" s="2" t="str" cm="1">
        <f t="array" ref="F27">IFERROR(
病区折扣比例(
(
INDEX([3]Sheet1!$I:$I, MATCH(A27, [3]Sheet1!$B:$B, 0))
/
次均费用!C27
)
)
*INDEX([4]Sheet1!$AL:$AL, MATCH(A27, [4]Sheet1!$A:$A, 0))
* 积分!B27, "--")</f>
        <v>--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 t="str">
        <f>IFERROR(INDEX([3]Sheet1!$C:$C, MATCH(A27, [3]Sheet1!$B:$B, 0)) * 积分!I27, "--")</f>
        <v>--</v>
      </c>
      <c r="N27" s="2" t="str">
        <f>IFERROR(INDEX([3]Sheet1!$D:$D, MATCH(A27, [3]Sheet1!$B:$B, 0)) * 积分!J27, "--")</f>
        <v>--</v>
      </c>
      <c r="O27" s="2" t="str">
        <f>IFERROR(INDEX([3]Sheet1!$E:$E, MATCH(A27, [3]Sheet1!$B:$B, 0)) * 积分!K27, "--")</f>
        <v>--</v>
      </c>
      <c r="P27" s="2" t="str">
        <f>IFERROR(INDEX([3]Sheet1!$F:$F, MATCH(A27, [3]Sheet1!$B:$B, 0)) * 积分!L27, "--")</f>
        <v>--</v>
      </c>
      <c r="Q27" s="2" t="str">
        <f>IFERROR(INDEX([3]Sheet1!$G:$G, MATCH(A27, [3]Sheet1!$B:$B, 0)) * 积分!M27, "--")</f>
        <v>--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 t="str">
        <f>IFERROR(INDEX([3]Sheet1!$H:$H, MATCH(A27, [3]Sheet1!$B:$B, 0)) * 积分!N27, "--")</f>
        <v>--</v>
      </c>
      <c r="X27" s="2" t="str">
        <f>IFERROR(INDEX([3]Sheet1!$J:$J, MATCH(A27, [3]Sheet1!$B:$B, 0)) * 积分!O27, "--")</f>
        <v>--</v>
      </c>
      <c r="Y27" s="2" cm="1">
        <f t="array" ref="Y27">IFERROR(INDEX([7]Sheet1!$D:$D, MATCH(1, ([7]Sheet1!$B:$B=A27) * ([7]Sheet1!$C:$C="单位系数"), 0)) * 积分!P27, "--")</f>
        <v>174281.79499999998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--积分!V27</f>
        <v>0</v>
      </c>
      <c r="AG27" s="2">
        <f>--积分!W27</f>
        <v>0</v>
      </c>
      <c r="AH27" s="2">
        <f>-15168.93*积分!X27</f>
        <v>-15168.93</v>
      </c>
      <c r="AI27" s="2">
        <f>IFERROR(INDEX([4]Sheet1!$AD:$AD, MATCH(A27, [4]Sheet1!$A:$A, 0)) * 积分!AA27, "--")</f>
        <v>0</v>
      </c>
      <c r="AJ27" s="2">
        <f>IFERROR(INDEX([4]Sheet1!$AC:$AC, MATCH(A27, [4]Sheet1!$A:$A, 0)) * 积分!AB27, "--")</f>
        <v>0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119</v>
      </c>
      <c r="AT27" s="12" t="s">
        <v>119</v>
      </c>
      <c r="AU27" s="12" t="s">
        <v>119</v>
      </c>
      <c r="AV27" s="12" t="s">
        <v>119</v>
      </c>
      <c r="AW27" s="12" t="s">
        <v>119</v>
      </c>
      <c r="AX27" s="12" t="s">
        <v>119</v>
      </c>
      <c r="AY27" s="12" t="s">
        <v>119</v>
      </c>
      <c r="AZ27" s="12" t="s">
        <v>119</v>
      </c>
      <c r="BA27" s="12" t="s">
        <v>119</v>
      </c>
      <c r="BB27" s="12" t="s">
        <v>119</v>
      </c>
      <c r="BC27" s="12" t="s">
        <v>119</v>
      </c>
    </row>
    <row r="28" spans="1:55" ht="25.2" customHeight="1" x14ac:dyDescent="0.25">
      <c r="A28" s="3" t="s">
        <v>61</v>
      </c>
      <c r="B28" s="4">
        <f t="shared" si="0"/>
        <v>49436.88</v>
      </c>
      <c r="C28" s="4">
        <f t="shared" si="1"/>
        <v>4185</v>
      </c>
      <c r="D28" s="4">
        <f t="shared" si="2"/>
        <v>24494.6</v>
      </c>
      <c r="E28" s="4">
        <f t="shared" si="3"/>
        <v>20757.28</v>
      </c>
      <c r="F28" s="4" cm="1">
        <f t="array" ref="F28">IFERROR(
病区折扣比例(
(
INDEX([3]Sheet1!$I:$I, MATCH(A28, [3]Sheet1!$B:$B, 0))
/
次均费用!C28
)
)
*INDEX([4]Sheet1!$AL:$AL, MATCH(A28, [4]Sheet1!$A:$A, 0))
* 积分!B28, "--")</f>
        <v>19544.14</v>
      </c>
      <c r="G28" s="4">
        <f>IFERROR(INDEX([4]Sheet1!$AK:$AK, MATCH(A28, [4]Sheet1!$A:$A, 0)) * 积分!C28, "--")</f>
        <v>420</v>
      </c>
      <c r="H28" s="4">
        <f>IFERROR(INDEX([4]Sheet1!$AB:$AB, MATCH(A28, [4]Sheet1!$A:$A, 0)) * 积分!D28, "--")</f>
        <v>390</v>
      </c>
      <c r="I28" s="4">
        <f>IFERROR(INDEX([4]Sheet1!$AA:$AA, MATCH(A28, [4]Sheet1!$A:$A, 0)) * 积分!E28, "--")</f>
        <v>1200</v>
      </c>
      <c r="J28" s="4">
        <f>IFERROR(INDEX([4]Sheet1!$Z:$Z, MATCH(A28, [4]Sheet1!$A:$A, 0)) * 积分!F28, "--")</f>
        <v>4320</v>
      </c>
      <c r="K28" s="4">
        <f>IFERROR(INDEX([4]Sheet1!$Y:$Y, MATCH(A28, [4]Sheet1!$A:$A, 0)) * 积分!G28, "--")</f>
        <v>0</v>
      </c>
      <c r="L28" s="4" cm="1">
        <f t="array" ref="L28">IFERROR(
门诊折扣比例(
(
INDEX([5]Sheet1!$D:$D, MATCH(A28, [5]Sheet1!$B:$B, 0))
/
次均费用!B28
)
)
*INDEX([5]Sheet1!$C:$C, MATCH(A28, [5]Sheet1!$B:$B, 0))
* 积分!H28, "--")</f>
        <v>4185</v>
      </c>
      <c r="M28" s="4">
        <f>IFERROR(INDEX([3]Sheet1!$C:$C, MATCH(A28, [3]Sheet1!$B:$B, 0)) * 积分!I28, "--")</f>
        <v>0</v>
      </c>
      <c r="N28" s="4">
        <f>IFERROR(INDEX([3]Sheet1!$D:$D, MATCH(A28, [3]Sheet1!$B:$B, 0)) * 积分!J28, "--")</f>
        <v>13.8</v>
      </c>
      <c r="O28" s="4">
        <f>IFERROR(INDEX([3]Sheet1!$E:$E, MATCH(A28, [3]Sheet1!$B:$B, 0)) * 积分!K28, "--")</f>
        <v>128.79999999999998</v>
      </c>
      <c r="P28" s="4">
        <f>IFERROR(INDEX([3]Sheet1!$F:$F, MATCH(A28, [3]Sheet1!$B:$B, 0)) * 积分!L28, "--")</f>
        <v>0</v>
      </c>
      <c r="Q28" s="4">
        <f>IFERROR(INDEX([3]Sheet1!$G:$G, MATCH(A28, [3]Sheet1!$B:$B, 0)) * 积分!M28, "--")</f>
        <v>264.59999999999997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>
        <f>IFERROR(INDEX([3]Sheet1!$H:$H, MATCH(A28, [3]Sheet1!$B:$B, 0)) * 积分!N28, "--")</f>
        <v>0</v>
      </c>
      <c r="X28" s="4">
        <f>IFERROR(INDEX([3]Sheet1!$J:$J, MATCH(A28, [3]Sheet1!$B:$B, 0)) * 积分!O28, "--")</f>
        <v>0</v>
      </c>
      <c r="Y28" s="4" cm="1">
        <f t="array" ref="Y28">IFERROR(INDEX([7]Sheet1!$D:$D, MATCH(1, ([7]Sheet1!$B:$B=A28) * ([7]Sheet1!$C:$C="单位系数"), 0)) * 积分!P28, "--")</f>
        <v>20757.274999999994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cm="1">
        <f t="array" ref="AC28">IFERROR(INDEX([7]Sheet1!$D:$D, MATCH(1, ([7]Sheet1!$B:$B=A28) * ([7]Sheet1!$C:$C="特需门诊"), 0)) * 积分!S28, "--")</f>
        <v>0</v>
      </c>
      <c r="AD28" s="4" cm="1">
        <f t="array" ref="AD28">IFERROR(INDEX([7]Sheet1!$D:$D, MATCH(1, ([7]Sheet1!$B:$B=A28) * ([7]Sheet1!$C:$C="中医会诊"), 0)) * 积分!T28, "--")</f>
        <v>0</v>
      </c>
      <c r="AE28" s="4">
        <f>积分!U28*0</f>
        <v>0</v>
      </c>
      <c r="AF28" s="4">
        <f>-1786.74*积分!V28</f>
        <v>-1786.74</v>
      </c>
      <c r="AG28" s="4">
        <f>-1786.74*积分!W28</f>
        <v>0</v>
      </c>
      <c r="AH28" s="4">
        <f>-1786.74*积分!X28</f>
        <v>0</v>
      </c>
      <c r="AI28" s="4">
        <f>IFERROR(INDEX([4]Sheet1!$AD:$AD, MATCH(A28, [4]Sheet1!$A:$A, 0)) * 积分!AA28, "--")</f>
        <v>0</v>
      </c>
      <c r="AJ28" s="4">
        <f>IFERROR(INDEX([4]Sheet1!$AC:$AC, MATCH(A28, [4]Sheet1!$A:$A, 0)) * 积分!AB28, "--")</f>
        <v>0</v>
      </c>
      <c r="AK28" s="4">
        <f>IFERROR(INDEX([4]Sheet1!$AE:$AE, MATCH(A28, [4]Sheet1!$A:$A, 0)) * 积分!AC28, "--")</f>
        <v>0</v>
      </c>
      <c r="AL28" s="4">
        <f>IFERROR(INDEX([4]Sheet1!$AF:$AF, MATCH(A28, [4]Sheet1!$A:$A, 0)) * 积分!AD28, "--")</f>
        <v>0</v>
      </c>
      <c r="AM28" s="4">
        <f>IFERROR(INDEX([4]Sheet1!$AG:$AG, MATCH(A28, [4]Sheet1!$A:$A, 0)) * 积分!AE28, "--")</f>
        <v>0</v>
      </c>
      <c r="AN28" s="4">
        <f>IFERROR(INDEX([4]Sheet1!$AH:$AH, MATCH(A28, [4]Sheet1!$A:$A, 0)) * 积分!AF28, "--")</f>
        <v>0</v>
      </c>
      <c r="AO28" s="4">
        <f>IFERROR(INDEX([4]Sheet1!$AI:$AI, MATCH(A28, [4]Sheet1!$A:$A, 0)) * 积分!AG28, "--")</f>
        <v>0</v>
      </c>
      <c r="AP28" s="4">
        <f>IFERROR(INDEX([4]Sheet1!$AJ:$AJ, MATCH(A28, [4]Sheet1!$A:$A, 0)) * 积分!AH28, "--")</f>
        <v>0</v>
      </c>
      <c r="AQ28" s="4">
        <v>0</v>
      </c>
      <c r="AR28" s="4">
        <v>0</v>
      </c>
      <c r="AS28" s="7" t="s">
        <v>119</v>
      </c>
      <c r="AT28" s="7" t="s">
        <v>119</v>
      </c>
      <c r="AU28" s="7" t="s">
        <v>119</v>
      </c>
      <c r="AV28" s="7" t="s">
        <v>119</v>
      </c>
      <c r="AW28" s="7" t="s">
        <v>119</v>
      </c>
      <c r="AX28" s="7" t="s">
        <v>119</v>
      </c>
      <c r="AY28" s="7" t="s">
        <v>119</v>
      </c>
      <c r="AZ28" s="7" t="s">
        <v>119</v>
      </c>
      <c r="BA28" s="7" t="s">
        <v>119</v>
      </c>
      <c r="BB28" s="7" t="s">
        <v>119</v>
      </c>
      <c r="BC28" s="7" t="s">
        <v>119</v>
      </c>
    </row>
    <row r="29" spans="1:55" ht="25.65" customHeight="1" x14ac:dyDescent="0.25">
      <c r="A29" s="1" t="s">
        <v>62</v>
      </c>
      <c r="B29" s="1">
        <f t="shared" si="0"/>
        <v>136269.82</v>
      </c>
      <c r="C29" s="2">
        <f>ROUND(L29+AG29,2)</f>
        <v>53773.07</v>
      </c>
      <c r="D29" s="2">
        <f t="shared" si="2"/>
        <v>82496.75</v>
      </c>
      <c r="E29" s="2">
        <f t="shared" si="3"/>
        <v>0</v>
      </c>
      <c r="F29" s="2" cm="1">
        <f t="array" ref="F29">IFERROR(
病区折扣比例(
(
INDEX([3]Sheet1!$I:$I, MATCH(A29, [3]Sheet1!$B:$B, 0))
/
次均费用!C29
)
)
*INDEX([4]Sheet1!$AL:$AL, MATCH(A29, [4]Sheet1!$A:$A, 0))
* 积分!B29, "--")</f>
        <v>0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cm="1">
        <f t="array" ref="L29">IFERROR(
门诊折扣比例(
(
INDEX([5]Sheet1!$D:$D, MATCH(A29, [5]Sheet1!$B:$B, 0))
/
次均费用!B29
)
)
*INDEX([5]Sheet1!$C:$C, MATCH(A29, [5]Sheet1!$B:$B, 0))
* 积分!H29, "--")</f>
        <v>57819.020000000004</v>
      </c>
      <c r="M29" s="2">
        <f>IFERROR(INDEX([3]Sheet1!$C:$C, MATCH(A29, [3]Sheet1!$B:$B, 0)) * 积分!I29, "--")</f>
        <v>0</v>
      </c>
      <c r="N29" s="2">
        <f>IFERROR(INDEX([3]Sheet1!$D:$D, MATCH(A29, [3]Sheet1!$B:$B, 0)) * 积分!J29, "--")</f>
        <v>0</v>
      </c>
      <c r="O29" s="2">
        <f>IFERROR(INDEX([3]Sheet1!$E:$E, MATCH(A29, [3]Sheet1!$B:$B, 0)) * 积分!K29, "--")</f>
        <v>0</v>
      </c>
      <c r="P29" s="2">
        <f>IFERROR(INDEX([3]Sheet1!$F:$F, MATCH(A29, [3]Sheet1!$B:$B, 0)) * 积分!L29, "--")</f>
        <v>0</v>
      </c>
      <c r="Q29" s="2">
        <f>IFERROR(INDEX([3]Sheet1!$G:$G, MATCH(A29, [3]Sheet1!$B:$B, 0)) * 积分!M29, "--")</f>
        <v>0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>
        <f>IFERROR(INDEX([3]Sheet1!$H:$H, MATCH(A29, [3]Sheet1!$B:$B, 0)) * 积分!N29, "--")</f>
        <v>0</v>
      </c>
      <c r="X29" s="2">
        <f>IFERROR(INDEX([3]Sheet1!$J:$J, MATCH(A29, [3]Sheet1!$B:$B, 0)) * 积分!O29, "--")</f>
        <v>0</v>
      </c>
      <c r="Y29" s="2" t="str" cm="1">
        <f t="array" ref="Y29">IFERROR(INDEX([7]Sheet1!$D:$D, MATCH(1, ([7]Sheet1!$B:$B=A29) * ([7]Sheet1!$C:$C="单位系数"), 0)) * 积分!P29, "--")</f>
        <v>--</v>
      </c>
      <c r="Z29" s="2" t="str" cm="1">
        <f t="array" ref="Z29">IFERROR(INDEX([7]Sheet1!$D:$D, MATCH(1, ([7]Sheet1!$B:$B=A29) * ([7]Sheet1!$C:$C="多学科联合(MDT)门诊"), 0)) * 积分!Q29, "--")</f>
        <v>--</v>
      </c>
      <c r="AA29" s="2" cm="1">
        <f t="array" ref="AA29">IFERROR(INDEX([7]Sheet1!$D:$D, MATCH(1, ([7]Sheet1!$B:$B=A29) * ([7]Sheet1!$C:$C="核算金额"), 0)) * 积分!R29, "--")</f>
        <v>82496.75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-4045.95*积分!V29</f>
        <v>0</v>
      </c>
      <c r="AG29" s="2">
        <f>-4045.95*积分!W29</f>
        <v>-4045.95</v>
      </c>
      <c r="AH29" s="2">
        <f>-4045.95*积分!X29</f>
        <v>0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119</v>
      </c>
      <c r="AT29" s="12" t="s">
        <v>119</v>
      </c>
      <c r="AU29" s="12" t="s">
        <v>119</v>
      </c>
      <c r="AV29" s="12" t="s">
        <v>119</v>
      </c>
      <c r="AW29" s="12" t="s">
        <v>119</v>
      </c>
      <c r="AX29" s="12" t="s">
        <v>119</v>
      </c>
      <c r="AY29" s="12" t="s">
        <v>119</v>
      </c>
      <c r="AZ29" s="12" t="s">
        <v>119</v>
      </c>
      <c r="BA29" s="12" t="s">
        <v>119</v>
      </c>
      <c r="BB29" s="12" t="s">
        <v>119</v>
      </c>
      <c r="BC29" s="12" t="s">
        <v>119</v>
      </c>
    </row>
    <row r="30" spans="1:55" ht="25.65" customHeight="1" x14ac:dyDescent="0.25">
      <c r="A30" s="3" t="s">
        <v>63</v>
      </c>
      <c r="B30" s="4">
        <f t="shared" si="0"/>
        <v>0</v>
      </c>
      <c r="C30" s="4">
        <f t="shared" si="1"/>
        <v>0</v>
      </c>
      <c r="D30" s="4">
        <f t="shared" si="2"/>
        <v>0</v>
      </c>
      <c r="E30" s="4">
        <f t="shared" si="3"/>
        <v>0</v>
      </c>
      <c r="F30" s="4" t="str" cm="1">
        <f t="array" ref="F30">IFERROR(
病区折扣比例(
(
INDEX([3]Sheet1!$I:$I, MATCH(A30, [3]Sheet1!$B:$B, 0))
/
次均费用!C30
)
)
*INDEX([4]Sheet1!$AL:$AL, MATCH(A30, [4]Sheet1!$A:$A, 0))
* 积分!B30, "--")</f>
        <v>--</v>
      </c>
      <c r="G30" s="4">
        <f>IFERROR(INDEX([4]Sheet1!$AK:$AK, MATCH(A30, [4]Sheet1!$A:$A, 0)) * 积分!C30, "--")</f>
        <v>0</v>
      </c>
      <c r="H30" s="4">
        <f>IFERROR(INDEX([4]Sheet1!$AB:$AB, MATCH(A30, [4]Sheet1!$A:$A, 0)) * 积分!D30, "--")</f>
        <v>0</v>
      </c>
      <c r="I30" s="4">
        <f>IFERROR(INDEX([4]Sheet1!$AA:$AA, MATCH(A30, [4]Sheet1!$A:$A, 0)) * 积分!E30, "--")</f>
        <v>0</v>
      </c>
      <c r="J30" s="4">
        <f>IFERROR(INDEX([4]Sheet1!$Z:$Z, MATCH(A30, [4]Sheet1!$A:$A, 0)) * 积分!F30, "--")</f>
        <v>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0</v>
      </c>
      <c r="M30" s="4" t="str">
        <f>IFERROR(INDEX([3]Sheet1!$C:$C, MATCH(A30, [3]Sheet1!$B:$B, 0)) * 积分!I30, "--")</f>
        <v>--</v>
      </c>
      <c r="N30" s="4" t="str">
        <f>IFERROR(INDEX([3]Sheet1!$D:$D, MATCH(A30, [3]Sheet1!$B:$B, 0)) * 积分!J30, "--")</f>
        <v>--</v>
      </c>
      <c r="O30" s="4" t="str">
        <f>IFERROR(INDEX([3]Sheet1!$E:$E, MATCH(A30, [3]Sheet1!$B:$B, 0)) * 积分!K30, "--")</f>
        <v>--</v>
      </c>
      <c r="P30" s="4" t="str">
        <f>IFERROR(INDEX([3]Sheet1!$F:$F, MATCH(A30, [3]Sheet1!$B:$B, 0)) * 积分!L30, "--")</f>
        <v>--</v>
      </c>
      <c r="Q30" s="4" t="str">
        <f>IFERROR(INDEX([3]Sheet1!$G:$G, MATCH(A30, [3]Sheet1!$B:$B, 0)) * 积分!M30, "--")</f>
        <v>--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 t="str">
        <f>IFERROR(INDEX([3]Sheet1!$H:$H, MATCH(A30, [3]Sheet1!$B:$B, 0)) * 积分!N30, "--")</f>
        <v>--</v>
      </c>
      <c r="X30" s="4" t="str">
        <f>IFERROR(INDEX([3]Sheet1!$J:$J, MATCH(A30, [3]Sheet1!$B:$B, 0)) * 积分!O30, "--")</f>
        <v>--</v>
      </c>
      <c r="Y30" s="4" cm="1">
        <f t="array" ref="Y30">IFERROR(INDEX([7]Sheet1!$D:$D, MATCH(1, ([7]Sheet1!$B:$B=A30) * ([7]Sheet1!$C:$C="单位系数"), 0)) * 积分!P30, "--")</f>
        <v>0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t="str" cm="1">
        <f t="array" ref="AC30">IFERROR(INDEX([7]Sheet1!$D:$D, MATCH(1, ([7]Sheet1!$B:$B=A30) * ([7]Sheet1!$C:$C="特需门诊"), 0)) * 积分!S30, "--")</f>
        <v>--</v>
      </c>
      <c r="AD30" s="4" t="str" cm="1">
        <f t="array" ref="AD30">IFERROR(INDEX([7]Sheet1!$D:$D, MATCH(1, ([7]Sheet1!$B:$B=A30) * ([7]Sheet1!$C:$C="中医会诊"), 0)) * 积分!T30, "--")</f>
        <v>--</v>
      </c>
      <c r="AE30" s="4">
        <f>积分!U30*0</f>
        <v>0</v>
      </c>
      <c r="AF30" s="4">
        <f>--积分!V30</f>
        <v>0</v>
      </c>
      <c r="AG30" s="4">
        <f>0*积分!W30</f>
        <v>0</v>
      </c>
      <c r="AH30" s="4">
        <f>0*积分!X30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119</v>
      </c>
      <c r="AT30" s="7" t="s">
        <v>119</v>
      </c>
      <c r="AU30" s="7" t="s">
        <v>119</v>
      </c>
      <c r="AV30" s="7" t="s">
        <v>119</v>
      </c>
      <c r="AW30" s="7" t="s">
        <v>119</v>
      </c>
      <c r="AX30" s="7" t="s">
        <v>119</v>
      </c>
      <c r="AY30" s="7" t="s">
        <v>119</v>
      </c>
      <c r="AZ30" s="7" t="s">
        <v>119</v>
      </c>
      <c r="BA30" s="7" t="s">
        <v>119</v>
      </c>
      <c r="BB30" s="7" t="s">
        <v>119</v>
      </c>
      <c r="BC30" s="7" t="s">
        <v>119</v>
      </c>
    </row>
    <row r="31" spans="1:55" ht="25.65" customHeight="1" x14ac:dyDescent="0.25">
      <c r="A31" s="1" t="s">
        <v>64</v>
      </c>
      <c r="B31" s="1">
        <f t="shared" si="0"/>
        <v>15259.41</v>
      </c>
      <c r="C31" s="2">
        <f t="shared" si="1"/>
        <v>-3876.84</v>
      </c>
      <c r="D31" s="2">
        <f t="shared" si="2"/>
        <v>0</v>
      </c>
      <c r="E31" s="2">
        <f t="shared" si="3"/>
        <v>19136.25</v>
      </c>
      <c r="F31" s="2" t="str" cm="1">
        <f t="array" ref="F31">IFERROR(
病区折扣比例(
(
INDEX([3]Sheet1!$I:$I, MATCH(A31, [3]Sheet1!$B:$B, 0))
/
次均费用!C31
)
)
*INDEX([4]Sheet1!$AL:$AL, MATCH(A31, [4]Sheet1!$A:$A, 0))
* 积分!B31, "--")</f>
        <v>--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0</v>
      </c>
      <c r="M31" s="2" t="str">
        <f>IFERROR(INDEX([3]Sheet1!$C:$C, MATCH(A31, [3]Sheet1!$B:$B, 0)) * 积分!I31, "--")</f>
        <v>--</v>
      </c>
      <c r="N31" s="2" t="str">
        <f>IFERROR(INDEX([3]Sheet1!$D:$D, MATCH(A31, [3]Sheet1!$B:$B, 0)) * 积分!J31, "--")</f>
        <v>--</v>
      </c>
      <c r="O31" s="2" t="str">
        <f>IFERROR(INDEX([3]Sheet1!$E:$E, MATCH(A31, [3]Sheet1!$B:$B, 0)) * 积分!K31, "--")</f>
        <v>--</v>
      </c>
      <c r="P31" s="2" t="str">
        <f>IFERROR(INDEX([3]Sheet1!$F:$F, MATCH(A31, [3]Sheet1!$B:$B, 0)) * 积分!L31, "--")</f>
        <v>--</v>
      </c>
      <c r="Q31" s="2" t="str">
        <f>IFERROR(INDEX([3]Sheet1!$G:$G, MATCH(A31, [3]Sheet1!$B:$B, 0)) * 积分!M31, "--")</f>
        <v>--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 t="str">
        <f>IFERROR(INDEX([3]Sheet1!$H:$H, MATCH(A31, [3]Sheet1!$B:$B, 0)) * 积分!N31, "--")</f>
        <v>--</v>
      </c>
      <c r="X31" s="2" t="str">
        <f>IFERROR(INDEX([3]Sheet1!$J:$J, MATCH(A31, [3]Sheet1!$B:$B, 0)) * 积分!O31, "--")</f>
        <v>--</v>
      </c>
      <c r="Y31" s="2" cm="1">
        <f t="array" ref="Y31">IFERROR(INDEX([7]Sheet1!$D:$D, MATCH(1, ([7]Sheet1!$B:$B=A31) * ([7]Sheet1!$C:$C="单位系数"), 0)) * 积分!P31, "--")</f>
        <v>19136.250000000004</v>
      </c>
      <c r="Z31" s="2" cm="1">
        <f t="array" ref="Z31">IFERROR(INDEX([7]Sheet1!$D:$D, MATCH(1, ([7]Sheet1!$B:$B=A31) * ([7]Sheet1!$C:$C="多学科联合(MDT)门诊"), 0)) * 积分!Q31, "--")</f>
        <v>0</v>
      </c>
      <c r="AA31" s="2" t="str" cm="1">
        <f t="array" ref="AA31">IFERROR(INDEX([7]Sheet1!$D:$D, MATCH(1, ([7]Sheet1!$B:$B=A31) * ([7]Sheet1!$C:$C="核算金额"), 0)) * 积分!R31, "--")</f>
        <v>--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--积分!V31</f>
        <v>0</v>
      </c>
      <c r="AG31" s="2">
        <f>-3876.84*积分!W31</f>
        <v>-3876.84</v>
      </c>
      <c r="AH31" s="2">
        <f>-3876.84*积分!X31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119</v>
      </c>
      <c r="AT31" s="12" t="s">
        <v>119</v>
      </c>
      <c r="AU31" s="12" t="s">
        <v>119</v>
      </c>
      <c r="AV31" s="12" t="s">
        <v>119</v>
      </c>
      <c r="AW31" s="12" t="s">
        <v>119</v>
      </c>
      <c r="AX31" s="12" t="s">
        <v>119</v>
      </c>
      <c r="AY31" s="12" t="s">
        <v>119</v>
      </c>
      <c r="AZ31" s="12" t="s">
        <v>119</v>
      </c>
      <c r="BA31" s="12" t="s">
        <v>119</v>
      </c>
      <c r="BB31" s="12" t="s">
        <v>119</v>
      </c>
      <c r="BC31" s="12" t="s">
        <v>119</v>
      </c>
    </row>
    <row r="32" spans="1:55" ht="25.65" customHeight="1" x14ac:dyDescent="0.25">
      <c r="A32" s="3" t="s">
        <v>65</v>
      </c>
      <c r="B32" s="4">
        <f t="shared" si="0"/>
        <v>61012.44</v>
      </c>
      <c r="C32" s="4">
        <f t="shared" si="1"/>
        <v>-1368.48</v>
      </c>
      <c r="D32" s="4">
        <f t="shared" si="2"/>
        <v>0</v>
      </c>
      <c r="E32" s="4">
        <f t="shared" si="3"/>
        <v>62380.92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62380.92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-1368.48*积分!W32</f>
        <v>-1368.48</v>
      </c>
      <c r="AH32" s="4">
        <f>-1368.48*积分!X32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119</v>
      </c>
      <c r="AT32" s="7" t="s">
        <v>119</v>
      </c>
      <c r="AU32" s="7" t="s">
        <v>119</v>
      </c>
      <c r="AV32" s="7" t="s">
        <v>119</v>
      </c>
      <c r="AW32" s="7" t="s">
        <v>119</v>
      </c>
      <c r="AX32" s="7" t="s">
        <v>119</v>
      </c>
      <c r="AY32" s="7" t="s">
        <v>119</v>
      </c>
      <c r="AZ32" s="7" t="s">
        <v>119</v>
      </c>
      <c r="BA32" s="7" t="s">
        <v>119</v>
      </c>
      <c r="BB32" s="7" t="s">
        <v>119</v>
      </c>
      <c r="BC32" s="7" t="s">
        <v>119</v>
      </c>
    </row>
    <row r="33" spans="1:55" ht="25.65" customHeight="1" x14ac:dyDescent="0.25">
      <c r="A33" s="1" t="s">
        <v>66</v>
      </c>
      <c r="B33" s="1">
        <f t="shared" si="0"/>
        <v>13893.82</v>
      </c>
      <c r="C33" s="2">
        <f t="shared" si="1"/>
        <v>-4444.9799999999996</v>
      </c>
      <c r="D33" s="2">
        <f t="shared" si="2"/>
        <v>0</v>
      </c>
      <c r="E33" s="2">
        <f t="shared" si="3"/>
        <v>18338.8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18338.8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-4444.98*积分!W33</f>
        <v>-4444.9799999999996</v>
      </c>
      <c r="AH33" s="2">
        <f>-4444.98*积分!X33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119</v>
      </c>
      <c r="AT33" s="12" t="s">
        <v>119</v>
      </c>
      <c r="AU33" s="12" t="s">
        <v>119</v>
      </c>
      <c r="AV33" s="12" t="s">
        <v>119</v>
      </c>
      <c r="AW33" s="12" t="s">
        <v>119</v>
      </c>
      <c r="AX33" s="12" t="s">
        <v>119</v>
      </c>
      <c r="AY33" s="12" t="s">
        <v>119</v>
      </c>
      <c r="AZ33" s="12" t="s">
        <v>119</v>
      </c>
      <c r="BA33" s="12" t="s">
        <v>119</v>
      </c>
      <c r="BB33" s="12" t="s">
        <v>119</v>
      </c>
      <c r="BC33" s="12" t="s">
        <v>119</v>
      </c>
    </row>
    <row r="34" spans="1:55" ht="25.65" customHeight="1" x14ac:dyDescent="0.25">
      <c r="A34" s="3" t="s">
        <v>67</v>
      </c>
      <c r="B34" s="4">
        <f t="shared" si="0"/>
        <v>17068.93</v>
      </c>
      <c r="C34" s="4">
        <f t="shared" si="1"/>
        <v>-1668.92</v>
      </c>
      <c r="D34" s="4">
        <f t="shared" si="2"/>
        <v>0</v>
      </c>
      <c r="E34" s="4">
        <f t="shared" si="3"/>
        <v>18737.849999999999</v>
      </c>
      <c r="F34" s="4" cm="1">
        <f t="array" ref="F34">IFERROR(
病区折扣比例(
(
INDEX([3]Sheet1!$I:$I, MATCH(A34, [3]Sheet1!$B:$B, 0))
/
次均费用!C34
)
)
*INDEX([4]Sheet1!$AL:$AL, MATCH(A34, [4]Sheet1!$A:$A, 0))
* 积分!B34, "--")</f>
        <v>0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>
        <f>IFERROR(INDEX([3]Sheet1!$C:$C, MATCH(A34, [3]Sheet1!$B:$B, 0)) * 积分!I34, "--")</f>
        <v>0</v>
      </c>
      <c r="N34" s="4">
        <f>IFERROR(INDEX([3]Sheet1!$D:$D, MATCH(A34, [3]Sheet1!$B:$B, 0)) * 积分!J34, "--")</f>
        <v>0</v>
      </c>
      <c r="O34" s="4">
        <f>IFERROR(INDEX([3]Sheet1!$E:$E, MATCH(A34, [3]Sheet1!$B:$B, 0)) * 积分!K34, "--")</f>
        <v>0</v>
      </c>
      <c r="P34" s="4">
        <f>IFERROR(INDEX([3]Sheet1!$F:$F, MATCH(A34, [3]Sheet1!$B:$B, 0)) * 积分!L34, "--")</f>
        <v>0</v>
      </c>
      <c r="Q34" s="4">
        <f>IFERROR(INDEX([3]Sheet1!$G:$G, MATCH(A34, [3]Sheet1!$B:$B, 0)) * 积分!M34, "--")</f>
        <v>0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>
        <f>IFERROR(INDEX([3]Sheet1!$H:$H, MATCH(A34, [3]Sheet1!$B:$B, 0)) * 积分!N34, "--")</f>
        <v>0</v>
      </c>
      <c r="X34" s="4">
        <f>IFERROR(INDEX([3]Sheet1!$J:$J, MATCH(A34, [3]Sheet1!$B:$B, 0)) * 积分!O34, "--")</f>
        <v>0</v>
      </c>
      <c r="Y34" s="4" cm="1">
        <f t="array" ref="Y34">IFERROR(INDEX([7]Sheet1!$D:$D, MATCH(1, ([7]Sheet1!$B:$B=A34) * ([7]Sheet1!$C:$C="单位系数"), 0)) * 积分!P34, "--")</f>
        <v>17791.8475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cm="1">
        <f t="array" ref="AD34">IFERROR(INDEX([7]Sheet1!$D:$D, MATCH(1, ([7]Sheet1!$B:$B=A34) * ([7]Sheet1!$C:$C="中医会诊"), 0)) * 积分!T34, "--")</f>
        <v>946</v>
      </c>
      <c r="AE34" s="4">
        <f>积分!U34*0</f>
        <v>0</v>
      </c>
      <c r="AF34" s="4">
        <f>-1668.92*积分!V34</f>
        <v>0</v>
      </c>
      <c r="AG34" s="4">
        <f>-1668.92*积分!W34</f>
        <v>-1668.92</v>
      </c>
      <c r="AH34" s="4">
        <f>-1668.92*积分!X34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119</v>
      </c>
      <c r="AT34" s="7" t="s">
        <v>119</v>
      </c>
      <c r="AU34" s="7" t="s">
        <v>119</v>
      </c>
      <c r="AV34" s="7" t="s">
        <v>119</v>
      </c>
      <c r="AW34" s="7" t="s">
        <v>119</v>
      </c>
      <c r="AX34" s="7" t="s">
        <v>119</v>
      </c>
      <c r="AY34" s="7" t="s">
        <v>119</v>
      </c>
      <c r="AZ34" s="7" t="s">
        <v>119</v>
      </c>
      <c r="BA34" s="7" t="s">
        <v>119</v>
      </c>
      <c r="BB34" s="7" t="s">
        <v>119</v>
      </c>
      <c r="BC34" s="7" t="s">
        <v>119</v>
      </c>
    </row>
    <row r="35" spans="1:55" ht="25.65" customHeight="1" x14ac:dyDescent="0.25">
      <c r="A35" s="1" t="s">
        <v>68</v>
      </c>
      <c r="B35" s="1">
        <f t="shared" si="0"/>
        <v>0</v>
      </c>
      <c r="C35" s="2">
        <f t="shared" si="1"/>
        <v>0</v>
      </c>
      <c r="D35" s="2">
        <f t="shared" si="2"/>
        <v>0</v>
      </c>
      <c r="E35" s="2">
        <f t="shared" si="3"/>
        <v>0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 t="str">
        <f>IFERROR(INDEX([4]Sheet1!$AK:$AK, MATCH(A35, [4]Sheet1!$A:$A, 0)) * 积分!C35, "--")</f>
        <v>--</v>
      </c>
      <c r="H35" s="2" t="str">
        <f>IFERROR(INDEX([4]Sheet1!$AB:$AB, MATCH(A35, [4]Sheet1!$A:$A, 0)) * 积分!D35, "--")</f>
        <v>--</v>
      </c>
      <c r="I35" s="2" t="str">
        <f>IFERROR(INDEX([4]Sheet1!$AA:$AA, MATCH(A35, [4]Sheet1!$A:$A, 0)) * 积分!E35, "--")</f>
        <v>--</v>
      </c>
      <c r="J35" s="2" t="str">
        <f>IFERROR(INDEX([4]Sheet1!$Z:$Z, MATCH(A35, [4]Sheet1!$A:$A, 0)) * 积分!F35, "--")</f>
        <v>--</v>
      </c>
      <c r="K35" s="2" t="str">
        <f>IFERROR(INDEX([4]Sheet1!$Y:$Y, MATCH(A35, [4]Sheet1!$A:$A, 0)) * 积分!G35, "--")</f>
        <v>--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t="str" cm="1">
        <f t="array" ref="Y35">IFERROR(INDEX([7]Sheet1!$D:$D, MATCH(1, ([7]Sheet1!$B:$B=A35) * ([7]Sheet1!$C:$C="单位系数"), 0)) * 积分!P35, "--")</f>
        <v>--</v>
      </c>
      <c r="Z35" s="2" t="str" cm="1">
        <f t="array" ref="Z35">IFERROR(INDEX([7]Sheet1!$D:$D, MATCH(1, ([7]Sheet1!$B:$B=A35) * ([7]Sheet1!$C:$C="多学科联合(MDT)门诊"), 0)) * 积分!Q35, "--")</f>
        <v>--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0*积分!W35</f>
        <v>0</v>
      </c>
      <c r="AH35" s="2">
        <f>0*积分!X35</f>
        <v>0</v>
      </c>
      <c r="AI35" s="2" t="str">
        <f>IFERROR(INDEX([4]Sheet1!$AD:$AD, MATCH(A35, [4]Sheet1!$A:$A, 0)) * 积分!AA35, "--")</f>
        <v>--</v>
      </c>
      <c r="AJ35" s="2" t="str">
        <f>IFERROR(INDEX([4]Sheet1!$AC:$AC, MATCH(A35, [4]Sheet1!$A:$A, 0)) * 积分!AB35, "--")</f>
        <v>--</v>
      </c>
      <c r="AK35" s="2" t="str">
        <f>IFERROR(INDEX([4]Sheet1!$AE:$AE, MATCH(A35, [4]Sheet1!$A:$A, 0)) * 积分!AC35, "--")</f>
        <v>--</v>
      </c>
      <c r="AL35" s="2" t="str">
        <f>IFERROR(INDEX([4]Sheet1!$AF:$AF, MATCH(A35, [4]Sheet1!$A:$A, 0)) * 积分!AD35, "--")</f>
        <v>--</v>
      </c>
      <c r="AM35" s="2" t="str">
        <f>IFERROR(INDEX([4]Sheet1!$AG:$AG, MATCH(A35, [4]Sheet1!$A:$A, 0)) * 积分!AE35, "--")</f>
        <v>--</v>
      </c>
      <c r="AN35" s="2" t="str">
        <f>IFERROR(INDEX([4]Sheet1!$AH:$AH, MATCH(A35, [4]Sheet1!$A:$A, 0)) * 积分!AF35, "--")</f>
        <v>--</v>
      </c>
      <c r="AO35" s="2" t="str">
        <f>IFERROR(INDEX([4]Sheet1!$AI:$AI, MATCH(A35, [4]Sheet1!$A:$A, 0)) * 积分!AG35, "--")</f>
        <v>--</v>
      </c>
      <c r="AP35" s="2" t="str">
        <f>IFERROR(INDEX([4]Sheet1!$AJ:$AJ, MATCH(A35, [4]Sheet1!$A:$A, 0)) * 积分!AH35, "--")</f>
        <v>--</v>
      </c>
      <c r="AQ35" s="2">
        <v>0</v>
      </c>
      <c r="AR35" s="2">
        <v>0</v>
      </c>
      <c r="AS35" s="12" t="s">
        <v>119</v>
      </c>
      <c r="AT35" s="12" t="s">
        <v>119</v>
      </c>
      <c r="AU35" s="12" t="s">
        <v>119</v>
      </c>
      <c r="AV35" s="12" t="s">
        <v>119</v>
      </c>
      <c r="AW35" s="12" t="s">
        <v>119</v>
      </c>
      <c r="AX35" s="12" t="s">
        <v>119</v>
      </c>
      <c r="AY35" s="12" t="s">
        <v>119</v>
      </c>
      <c r="AZ35" s="12" t="s">
        <v>119</v>
      </c>
      <c r="BA35" s="12" t="s">
        <v>119</v>
      </c>
      <c r="BB35" s="12" t="s">
        <v>119</v>
      </c>
      <c r="BC35" s="12" t="s">
        <v>119</v>
      </c>
    </row>
    <row r="36" spans="1:55" ht="25.65" customHeight="1" x14ac:dyDescent="0.25">
      <c r="A36" s="3" t="s">
        <v>69</v>
      </c>
      <c r="B36" s="4">
        <f t="shared" si="0"/>
        <v>0</v>
      </c>
      <c r="C36" s="4">
        <f t="shared" si="1"/>
        <v>0</v>
      </c>
      <c r="D36" s="4">
        <f t="shared" si="2"/>
        <v>0</v>
      </c>
      <c r="E36" s="4">
        <f t="shared" si="3"/>
        <v>0</v>
      </c>
      <c r="F36" s="4" t="str" cm="1">
        <f t="array" ref="F36">IFERROR(
病区折扣比例(
(
INDEX([3]Sheet1!$I:$I, MATCH(A36, [3]Sheet1!$B:$B, 0))
/
次均费用!C36
)
)
*INDEX([4]Sheet1!$AL:$AL, MATCH(A36, [4]Sheet1!$A:$A, 0))
* 积分!B36, "--")</f>
        <v>--</v>
      </c>
      <c r="G36" s="4" t="str">
        <f>IFERROR(INDEX([4]Sheet1!$AK:$AK, MATCH(A36, [4]Sheet1!$A:$A, 0)) * 积分!C36, "--")</f>
        <v>--</v>
      </c>
      <c r="H36" s="4" t="str">
        <f>IFERROR(INDEX([4]Sheet1!$AB:$AB, MATCH(A36, [4]Sheet1!$A:$A, 0)) * 积分!D36, "--")</f>
        <v>--</v>
      </c>
      <c r="I36" s="4" t="str">
        <f>IFERROR(INDEX([4]Sheet1!$AA:$AA, MATCH(A36, [4]Sheet1!$A:$A, 0)) * 积分!E36, "--")</f>
        <v>--</v>
      </c>
      <c r="J36" s="4" t="str">
        <f>IFERROR(INDEX([4]Sheet1!$Z:$Z, MATCH(A36, [4]Sheet1!$A:$A, 0)) * 积分!F36, "--")</f>
        <v>--</v>
      </c>
      <c r="K36" s="4" t="str">
        <f>IFERROR(INDEX([4]Sheet1!$Y:$Y, MATCH(A36, [4]Sheet1!$A:$A, 0)) * 积分!G36, "--")</f>
        <v>--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 t="str">
        <f>IFERROR(INDEX([3]Sheet1!$C:$C, MATCH(A36, [3]Sheet1!$B:$B, 0)) * 积分!I36, "--")</f>
        <v>--</v>
      </c>
      <c r="N36" s="4" t="str">
        <f>IFERROR(INDEX([3]Sheet1!$D:$D, MATCH(A36, [3]Sheet1!$B:$B, 0)) * 积分!J36, "--")</f>
        <v>--</v>
      </c>
      <c r="O36" s="4" t="str">
        <f>IFERROR(INDEX([3]Sheet1!$E:$E, MATCH(A36, [3]Sheet1!$B:$B, 0)) * 积分!K36, "--")</f>
        <v>--</v>
      </c>
      <c r="P36" s="4" t="str">
        <f>IFERROR(INDEX([3]Sheet1!$F:$F, MATCH(A36, [3]Sheet1!$B:$B, 0)) * 积分!L36, "--")</f>
        <v>--</v>
      </c>
      <c r="Q36" s="4" t="str">
        <f>IFERROR(INDEX([3]Sheet1!$G:$G, MATCH(A36, [3]Sheet1!$B:$B, 0)) * 积分!M36, "--")</f>
        <v>--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 t="str">
        <f>IFERROR(INDEX([3]Sheet1!$H:$H, MATCH(A36, [3]Sheet1!$B:$B, 0)) * 积分!N36, "--")</f>
        <v>--</v>
      </c>
      <c r="X36" s="4" t="str">
        <f>IFERROR(INDEX([3]Sheet1!$J:$J, MATCH(A36, [3]Sheet1!$B:$B, 0)) * 积分!O36, "--")</f>
        <v>--</v>
      </c>
      <c r="Y36" s="4" t="str" cm="1">
        <f t="array" ref="Y36">IFERROR(INDEX([7]Sheet1!$D:$D, MATCH(1, ([7]Sheet1!$B:$B=A36) * ([7]Sheet1!$C:$C="单位系数"), 0)) * 积分!P36, "--")</f>
        <v>--</v>
      </c>
      <c r="Z36" s="4" t="str" cm="1">
        <f t="array" ref="Z36">IFERROR(INDEX([7]Sheet1!$D:$D, MATCH(1, ([7]Sheet1!$B:$B=A36) * ([7]Sheet1!$C:$C="多学科联合(MDT)门诊"), 0)) * 积分!Q36, "--")</f>
        <v>--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cm="1">
        <f t="array" ref="AC36">IFERROR(INDEX([7]Sheet1!$D:$D, MATCH(1, ([7]Sheet1!$B:$B=A36) * ([7]Sheet1!$C:$C="特需门诊"), 0)) * 积分!S36, "--")</f>
        <v>0</v>
      </c>
      <c r="AD36" s="4" t="str" cm="1">
        <f t="array" ref="AD36">IFERROR(INDEX([7]Sheet1!$D:$D, MATCH(1, ([7]Sheet1!$B:$B=A36) * ([7]Sheet1!$C:$C="中医会诊"), 0)) * 积分!T36, "--")</f>
        <v>--</v>
      </c>
      <c r="AE36" s="4">
        <f>积分!U36*0</f>
        <v>0</v>
      </c>
      <c r="AF36" s="4">
        <f>--积分!V36</f>
        <v>0</v>
      </c>
      <c r="AG36" s="4">
        <f>0*积分!W36</f>
        <v>0</v>
      </c>
      <c r="AH36" s="4">
        <f>0*积分!X36</f>
        <v>0</v>
      </c>
      <c r="AI36" s="4" t="str">
        <f>IFERROR(INDEX([4]Sheet1!$AD:$AD, MATCH(A36, [4]Sheet1!$A:$A, 0)) * 积分!AA36, "--")</f>
        <v>--</v>
      </c>
      <c r="AJ36" s="4" t="str">
        <f>IFERROR(INDEX([4]Sheet1!$AC:$AC, MATCH(A36, [4]Sheet1!$A:$A, 0)) * 积分!AB36, "--")</f>
        <v>--</v>
      </c>
      <c r="AK36" s="4" t="str">
        <f>IFERROR(INDEX([4]Sheet1!$AE:$AE, MATCH(A36, [4]Sheet1!$A:$A, 0)) * 积分!AC36, "--")</f>
        <v>--</v>
      </c>
      <c r="AL36" s="4" t="str">
        <f>IFERROR(INDEX([4]Sheet1!$AF:$AF, MATCH(A36, [4]Sheet1!$A:$A, 0)) * 积分!AD36, "--")</f>
        <v>--</v>
      </c>
      <c r="AM36" s="4" t="str">
        <f>IFERROR(INDEX([4]Sheet1!$AG:$AG, MATCH(A36, [4]Sheet1!$A:$A, 0)) * 积分!AE36, "--")</f>
        <v>--</v>
      </c>
      <c r="AN36" s="4" t="str">
        <f>IFERROR(INDEX([4]Sheet1!$AH:$AH, MATCH(A36, [4]Sheet1!$A:$A, 0)) * 积分!AF36, "--")</f>
        <v>--</v>
      </c>
      <c r="AO36" s="4" t="str">
        <f>IFERROR(INDEX([4]Sheet1!$AI:$AI, MATCH(A36, [4]Sheet1!$A:$A, 0)) * 积分!AG36, "--")</f>
        <v>--</v>
      </c>
      <c r="AP36" s="4" t="str">
        <f>IFERROR(INDEX([4]Sheet1!$AJ:$AJ, MATCH(A36, [4]Sheet1!$A:$A, 0)) * 积分!AH36, "--")</f>
        <v>--</v>
      </c>
      <c r="AQ36" s="4">
        <v>0</v>
      </c>
      <c r="AR36" s="4">
        <v>0</v>
      </c>
      <c r="AS36" s="7" t="s">
        <v>119</v>
      </c>
      <c r="AT36" s="7" t="s">
        <v>119</v>
      </c>
      <c r="AU36" s="7" t="s">
        <v>119</v>
      </c>
      <c r="AV36" s="7" t="s">
        <v>119</v>
      </c>
      <c r="AW36" s="7" t="s">
        <v>119</v>
      </c>
      <c r="AX36" s="7" t="s">
        <v>119</v>
      </c>
      <c r="AY36" s="7" t="s">
        <v>119</v>
      </c>
      <c r="AZ36" s="7" t="s">
        <v>119</v>
      </c>
      <c r="BA36" s="7" t="s">
        <v>119</v>
      </c>
      <c r="BB36" s="7" t="s">
        <v>119</v>
      </c>
      <c r="BC36" s="7" t="s">
        <v>119</v>
      </c>
    </row>
    <row r="37" spans="1:55" ht="25.65" customHeight="1" x14ac:dyDescent="0.25">
      <c r="A37" s="5" t="s">
        <v>70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119</v>
      </c>
      <c r="AT37" s="12" t="s">
        <v>119</v>
      </c>
      <c r="AU37" s="12" t="s">
        <v>119</v>
      </c>
      <c r="AV37" s="12" t="s">
        <v>119</v>
      </c>
      <c r="AW37" s="12" t="s">
        <v>119</v>
      </c>
      <c r="AX37" s="12" t="s">
        <v>119</v>
      </c>
      <c r="AY37" s="12" t="s">
        <v>119</v>
      </c>
      <c r="AZ37" s="12" t="s">
        <v>119</v>
      </c>
      <c r="BA37" s="12" t="s">
        <v>119</v>
      </c>
      <c r="BB37" s="12" t="s">
        <v>119</v>
      </c>
      <c r="BC37" s="12" t="s">
        <v>119</v>
      </c>
    </row>
    <row r="38" spans="1:55" ht="25.2" customHeight="1" x14ac:dyDescent="0.25">
      <c r="A38" s="8" t="s">
        <v>195</v>
      </c>
      <c r="B38" s="4">
        <f>ROUND(IF(AA38&lt;&gt;"--",AA38,0)+IF(AB38&lt;&gt;"--",AB38,0)+IF(AH38&lt;&gt;"--",AH38,0),2)</f>
        <v>26936.7</v>
      </c>
      <c r="C38" s="4">
        <f t="shared" si="1"/>
        <v>0</v>
      </c>
      <c r="D38" s="4"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积分!#REF!, "--")</f>
        <v>--</v>
      </c>
      <c r="G38" s="4" t="str">
        <f>IFERROR(INDEX([4]Sheet1!$AK:$AK, MATCH(A38, [4]Sheet1!$A:$A, 0)) * 积分!#REF!, "--")</f>
        <v>--</v>
      </c>
      <c r="H38" s="4" t="str">
        <f>IFERROR(INDEX([4]Sheet1!$AB:$AB, MATCH(A38, [4]Sheet1!$A:$A, 0)) * 积分!#REF!, "--")</f>
        <v>--</v>
      </c>
      <c r="I38" s="4" t="str">
        <f>IFERROR(INDEX([4]Sheet1!$AA:$AA, MATCH(A38, [4]Sheet1!$A:$A, 0)) * 积分!#REF!, "--")</f>
        <v>--</v>
      </c>
      <c r="J38" s="4" t="str">
        <f>IFERROR(INDEX([4]Sheet1!$Z:$Z, MATCH(A38, [4]Sheet1!$A:$A, 0)) * 积分!#REF!, "--")</f>
        <v>--</v>
      </c>
      <c r="K38" s="4" t="str">
        <f>IFERROR(INDEX([4]Sheet1!$Y:$Y, MATCH(A38, [4]Sheet1!$A:$A, 0)) * 积分!#REF!, "--")</f>
        <v>--</v>
      </c>
      <c r="L38" s="4" t="str" cm="1">
        <f t="array" ref="L38">IFERROR(
门诊折扣比例(
(
INDEX([5]Sheet1!$D:$D, MATCH(A38, [5]Sheet1!$B:$B, 0))
/
次均费用!B38
)
)
*INDEX([5]Sheet1!$C:$C, MATCH(A38, [5]Sheet1!$B:$B, 0))
* 积分!#REF!, "--")</f>
        <v>--</v>
      </c>
      <c r="M38" s="4" t="str">
        <f>IFERROR(INDEX([3]Sheet1!$C:$C, MATCH(A38, [3]Sheet1!$B:$B, 0)) * 积分!#REF!, "--")</f>
        <v>--</v>
      </c>
      <c r="N38" s="4" t="str">
        <f>IFERROR(INDEX([3]Sheet1!$D:$D, MATCH(A38, [3]Sheet1!$B:$B, 0)) * 积分!#REF!, "--")</f>
        <v>--</v>
      </c>
      <c r="O38" s="4" t="str">
        <f>IFERROR(INDEX([3]Sheet1!$E:$E, MATCH(A38, [3]Sheet1!$B:$B, 0)) * 积分!#REF!, "--")</f>
        <v>--</v>
      </c>
      <c r="P38" s="4" t="str">
        <f>IFERROR(INDEX([3]Sheet1!$F:$F, MATCH(A38, [3]Sheet1!$B:$B, 0)) * 积分!#REF!, "--")</f>
        <v>--</v>
      </c>
      <c r="Q38" s="4" t="str">
        <f>IFERROR(INDEX([3]Sheet1!$G:$G, MATCH(A38, [3]Sheet1!$B:$B, 0)) * 积分!#REF!, "--")</f>
        <v>--</v>
      </c>
      <c r="R38" s="4" t="str" cm="1">
        <f t="array" ref="R38">IFERROR(INDEX([6]Sheet1!$D:$D, MATCH(1, ([6]Sheet1!$B:$B=A38) * ([6]Sheet1!$C:$C="特级护理（临床）"), 0)) * 积分!#REF!, "--")</f>
        <v>--</v>
      </c>
      <c r="S38" s="4" t="str" cm="1">
        <f t="array" ref="S38">IFERROR(INDEX([6]Sheet1!$D:$D, MATCH(1, ([6]Sheet1!$B:$B=A38) * ([6]Sheet1!$C:$C="重症监护（临床）"), 0)) * 积分!#REF!, "--")</f>
        <v>--</v>
      </c>
      <c r="T38" s="4" t="str" cm="1">
        <f t="array" ref="T38">IFERROR(INDEX([6]Sheet1!$D:$D, MATCH(1, ([6]Sheet1!$B:$B=A38) * ([6]Sheet1!$C:$C="Ⅰ级护理（临床）"), 0)) * 积分!#REF!, "--")</f>
        <v>--</v>
      </c>
      <c r="U38" s="4" t="str" cm="1">
        <f t="array" ref="U38">IFERROR(INDEX([6]Sheet1!$D:$D, MATCH(1, ([6]Sheet1!$B:$B=A38) * ([6]Sheet1!$C:$C="Ⅱ级护理（临床）"), 0)) * 积分!#REF!, "--")</f>
        <v>--</v>
      </c>
      <c r="V38" s="4" t="str" cm="1">
        <f t="array" ref="V38">IFERROR(INDEX([6]Sheet1!$D:$D, MATCH(1, ([6]Sheet1!$B:$B=A38) * ([6]Sheet1!$C:$C="护士中医适宜技术（临床）"), 0)) * 积分!#REF!, "--")</f>
        <v>--</v>
      </c>
      <c r="W38" s="4" t="str">
        <f>IFERROR(INDEX([3]Sheet1!$H:$H, MATCH(A38, [3]Sheet1!$B:$B, 0)) * 积分!#REF!, "--")</f>
        <v>--</v>
      </c>
      <c r="X38" s="4" t="str">
        <f>IFERROR(INDEX([3]Sheet1!$J:$J, MATCH(A38, [3]Sheet1!$B:$B, 0)) * 积分!#REF!,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积分!#REF!, "--")</f>
        <v>--</v>
      </c>
      <c r="AA38" s="4" cm="1">
        <f t="array" ref="AA38">IFERROR(INDEX([7]Sheet1!$D:$D, MATCH(1, ([7]Sheet1!$B:$B=A38) * ([7]Sheet1!$C:$C="核算金额"), 0)) * 积分!R38, "--")</f>
        <v>13846.260499999999</v>
      </c>
      <c r="AB38" s="4" cm="1">
        <f t="array" ref="AB38">IFERROR(INDEX([7]Sheet1!$D:$D, MATCH(1, ([7]Sheet1!$B:$B=A38) * ([7]Sheet1!$C:$C="单据"), 0))* 积分!BA38, "--")</f>
        <v>13090.44</v>
      </c>
      <c r="AC38" s="4" t="str" cm="1">
        <f t="array" ref="AC38">IFERROR(INDEX([7]Sheet1!$D:$D, MATCH(1, ([7]Sheet1!$B:$B=A38) * ([7]Sheet1!$C:$C="特需门诊"), 0)) * 积分!#REF!, "--")</f>
        <v>--</v>
      </c>
      <c r="AD38" s="4" t="str" cm="1">
        <f t="array" ref="AD38">IFERROR(INDEX([7]Sheet1!$D:$D, MATCH(1, ([7]Sheet1!$B:$B=A38) * ([7]Sheet1!$C:$C="中医会诊"), 0)) * 积分!#REF!,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积分!#REF!, "--")</f>
        <v>--</v>
      </c>
      <c r="AJ38" s="4" t="str">
        <f>IFERROR(INDEX([4]Sheet1!$AC:$AC, MATCH(A38, [4]Sheet1!$A:$A, 0)) * 积分!#REF!, "--")</f>
        <v>--</v>
      </c>
      <c r="AK38" s="4" t="str">
        <f>IFERROR(INDEX([4]Sheet1!$AE:$AE, MATCH(A38, [4]Sheet1!$A:$A, 0)) * 积分!#REF!, "--")</f>
        <v>--</v>
      </c>
      <c r="AL38" s="4" t="str">
        <f>IFERROR(INDEX([4]Sheet1!$AF:$AF, MATCH(A38, [4]Sheet1!$A:$A, 0)) * 积分!#REF!, "--")</f>
        <v>--</v>
      </c>
      <c r="AM38" s="4" t="str">
        <f>IFERROR(INDEX([4]Sheet1!$AG:$AG, MATCH(A38, [4]Sheet1!$A:$A, 0)) * 积分!#REF!, "--")</f>
        <v>--</v>
      </c>
      <c r="AN38" s="4" t="str">
        <f>IFERROR(INDEX([4]Sheet1!$AH:$AH, MATCH(A38, [4]Sheet1!$A:$A, 0)) * 积分!#REF!, "--")</f>
        <v>--</v>
      </c>
      <c r="AO38" s="4" t="str">
        <f>IFERROR(INDEX([4]Sheet1!$AI:$AI, MATCH(A38, [4]Sheet1!$A:$A, 0)) * 积分!#REF!, "--")</f>
        <v>--</v>
      </c>
      <c r="AP38" s="4" t="str">
        <f>IFERROR(INDEX([4]Sheet1!$AJ:$AJ, MATCH(A38, [4]Sheet1!$A:$A, 0)) * 积分!#REF!, "--")</f>
        <v>--</v>
      </c>
      <c r="AQ38" s="4">
        <v>0</v>
      </c>
      <c r="AR38" s="4">
        <v>0</v>
      </c>
      <c r="AS38" s="7" t="s">
        <v>119</v>
      </c>
      <c r="AT38" s="7" t="s">
        <v>119</v>
      </c>
      <c r="AU38" s="7" t="s">
        <v>119</v>
      </c>
      <c r="AV38" s="7" t="s">
        <v>119</v>
      </c>
      <c r="AW38" s="7" t="s">
        <v>119</v>
      </c>
      <c r="AX38" s="7" t="s">
        <v>119</v>
      </c>
      <c r="AY38" s="7" t="s">
        <v>119</v>
      </c>
      <c r="AZ38" s="7" t="s">
        <v>119</v>
      </c>
      <c r="BA38" s="7" t="s">
        <v>119</v>
      </c>
      <c r="BB38" s="7" t="s">
        <v>119</v>
      </c>
      <c r="BC38" s="7" t="s">
        <v>119</v>
      </c>
    </row>
    <row r="39" spans="1:55" ht="17.399999999999999" x14ac:dyDescent="0.25">
      <c r="A39" s="5" t="s">
        <v>126</v>
      </c>
      <c r="B39" s="2">
        <f>ROUND(IF(AA39&lt;&gt;"--",AA39,0)+IF(AB39&lt;&gt;"--",AB39,0)+IF(AH39&lt;&gt;"--",AH39,0)+IF(AE39&lt;&gt;"--",AE39,0),2)</f>
        <v>305820.15999999997</v>
      </c>
      <c r="C39" s="2">
        <f t="shared" si="1"/>
        <v>0</v>
      </c>
      <c r="D39" s="2">
        <f t="shared" si="2"/>
        <v>304020.15999999997</v>
      </c>
      <c r="E39" s="2">
        <f t="shared" si="3"/>
        <v>1800</v>
      </c>
      <c r="F39" s="2" t="str" cm="1">
        <f t="array" ref="F39">IFERROR(
病区折扣比例(
(
INDEX([3]Sheet1!$I:$I, MATCH(A39, [3]Sheet1!$B:$B, 0))
/
次均费用!C39
)
)
*INDEX([4]Sheet1!$AL:$AL, MATCH(A39, [4]Sheet1!$A:$A, 0))
* 积分!B38, "--")</f>
        <v>--</v>
      </c>
      <c r="G39" s="2" t="str">
        <f>IFERROR(INDEX([4]Sheet1!$AK:$AK, MATCH(A39, [4]Sheet1!$A:$A, 0)) * 积分!C38, "--")</f>
        <v>--</v>
      </c>
      <c r="H39" s="2" t="str">
        <f>IFERROR(INDEX([4]Sheet1!$AB:$AB, MATCH(A39, [4]Sheet1!$A:$A, 0)) * 积分!D38, "--")</f>
        <v>--</v>
      </c>
      <c r="I39" s="2" t="str">
        <f>IFERROR(INDEX([4]Sheet1!$AA:$AA, MATCH(A39, [4]Sheet1!$A:$A, 0)) * 积分!E38, "--")</f>
        <v>--</v>
      </c>
      <c r="J39" s="2" t="str">
        <f>IFERROR(INDEX([4]Sheet1!$Z:$Z, MATCH(A39, [4]Sheet1!$A:$A, 0)) * 积分!F38, "--")</f>
        <v>--</v>
      </c>
      <c r="K39" s="2" t="str">
        <f>IFERROR(INDEX([4]Sheet1!$Y:$Y, MATCH(A39, [4]Sheet1!$A:$A, 0)) * 积分!G38, "--")</f>
        <v>--</v>
      </c>
      <c r="L39" s="2" t="str" cm="1">
        <f t="array" ref="L39">IFERROR(
门诊折扣比例(
(
INDEX([5]Sheet1!$D:$D, MATCH(A39, [5]Sheet1!$B:$B, 0))
/
次均费用!B39
)
)
*INDEX([5]Sheet1!$C:$C, MATCH(A39, [5]Sheet1!$B:$B, 0))
* 积分!H38, "--")</f>
        <v>--</v>
      </c>
      <c r="M39" s="2" t="str">
        <f>IFERROR(INDEX([3]Sheet1!$C:$C, MATCH(A39, [3]Sheet1!$B:$B, 0)) * 积分!I38, "--")</f>
        <v>--</v>
      </c>
      <c r="N39" s="2" t="str">
        <f>IFERROR(INDEX([3]Sheet1!$D:$D, MATCH(A39, [3]Sheet1!$B:$B, 0)) * 积分!J38, "--")</f>
        <v>--</v>
      </c>
      <c r="O39" s="2" t="str">
        <f>IFERROR(INDEX([3]Sheet1!$E:$E, MATCH(A39, [3]Sheet1!$B:$B, 0)) * 积分!K38, "--")</f>
        <v>--</v>
      </c>
      <c r="P39" s="2" t="str">
        <f>IFERROR(INDEX([3]Sheet1!$F:$F, MATCH(A39, [3]Sheet1!$B:$B, 0)) * 积分!L38, "--")</f>
        <v>--</v>
      </c>
      <c r="Q39" s="2" t="str">
        <f>IFERROR(INDEX([3]Sheet1!$G:$G, MATCH(A39, [3]Sheet1!$B:$B, 0)) * 积分!M38, "--")</f>
        <v>--</v>
      </c>
      <c r="R39" s="2" t="str" cm="1">
        <f t="array" ref="R39">IFERROR(INDEX([6]Sheet1!$D:$D, MATCH(1, ([6]Sheet1!$B:$B=A39) * ([6]Sheet1!$C:$C="特级护理（临床）"), 0)) * 积分!AI38, "--")</f>
        <v>--</v>
      </c>
      <c r="S39" s="2" t="str" cm="1">
        <f t="array" ref="S39">IFERROR(INDEX([6]Sheet1!$D:$D, MATCH(1, ([6]Sheet1!$B:$B=A39) * ([6]Sheet1!$C:$C="重症监护（临床）"), 0)) * 积分!AJ38, "--")</f>
        <v>--</v>
      </c>
      <c r="T39" s="2" t="str" cm="1">
        <f t="array" ref="T39">IFERROR(INDEX([6]Sheet1!$D:$D, MATCH(1, ([6]Sheet1!$B:$B=A39) * ([6]Sheet1!$C:$C="Ⅰ级护理（临床）"), 0)) * 积分!AK38, "--")</f>
        <v>--</v>
      </c>
      <c r="U39" s="2" t="str" cm="1">
        <f t="array" ref="U39">IFERROR(INDEX([6]Sheet1!$D:$D, MATCH(1, ([6]Sheet1!$B:$B=A39) * ([6]Sheet1!$C:$C="Ⅱ级护理（临床）"), 0)) * 积分!AL38, "--")</f>
        <v>--</v>
      </c>
      <c r="V39" s="2" t="str" cm="1">
        <f t="array" ref="V39">IFERROR(INDEX([6]Sheet1!$D:$D, MATCH(1, ([6]Sheet1!$B:$B=A39) * ([6]Sheet1!$C:$C="护士中医适宜技术（临床）"), 0)) * 积分!AM38, "--")</f>
        <v>--</v>
      </c>
      <c r="W39" s="2" t="str">
        <f>IFERROR(INDEX([3]Sheet1!$H:$H, MATCH(A39, [3]Sheet1!$B:$B, 0)) * 积分!N38, "--")</f>
        <v>--</v>
      </c>
      <c r="X39" s="2" t="str">
        <f>IFERROR(INDEX([3]Sheet1!$J:$J, MATCH(A39, [3]Sheet1!$B:$B, 0)) * 积分!O38,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积分!Q38, "--")</f>
        <v>--</v>
      </c>
      <c r="AA39" s="2" cm="1">
        <f t="array" ref="AA39">IFERROR(INDEX([7]Sheet1!$D:$D, MATCH(1, ([7]Sheet1!$B:$B=A39) * ([7]Sheet1!$C:$C="核算金额"), 0)) * 积分!R39, "--")</f>
        <v>136664.39600000001</v>
      </c>
      <c r="AB39" s="2" cm="1">
        <f t="array" ref="AB39">IFERROR(INDEX([7]Sheet1!$D:$D, MATCH(1, ([7]Sheet1!$B:$B=A39) * ([7]Sheet1!$C:$C="单据"), 0))* 积分!BA39, "--")</f>
        <v>167355.76799999998</v>
      </c>
      <c r="AC39" s="2" t="str" cm="1">
        <f t="array" ref="AC39">IFERROR(INDEX([7]Sheet1!$D:$D, MATCH(1, ([7]Sheet1!$B:$B=A39) * ([7]Sheet1!$C:$C="特需门诊"), 0)) * 积分!S38, "--")</f>
        <v>--</v>
      </c>
      <c r="AD39" s="2" t="str" cm="1">
        <f t="array" ref="AD39">IFERROR(INDEX([7]Sheet1!$D:$D, MATCH(1, ([7]Sheet1!$B:$B=A39) * ([7]Sheet1!$C:$C="中医会诊"), 0)) * 积分!T38,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1800*积分!X39</f>
        <v>1800</v>
      </c>
      <c r="AI39" s="2" t="str">
        <f>IFERROR(INDEX([4]Sheet1!$AD:$AD, MATCH(A39, [4]Sheet1!$A:$A, 0)) * 积分!AA38, "--")</f>
        <v>--</v>
      </c>
      <c r="AJ39" s="2" t="str">
        <f>IFERROR(INDEX([4]Sheet1!$AC:$AC, MATCH(A39, [4]Sheet1!$A:$A, 0)) * 积分!AB38, "--")</f>
        <v>--</v>
      </c>
      <c r="AK39" s="2" t="str">
        <f>IFERROR(INDEX([4]Sheet1!$AE:$AE, MATCH(A39, [4]Sheet1!$A:$A, 0)) * 积分!AC38, "--")</f>
        <v>--</v>
      </c>
      <c r="AL39" s="2" t="str">
        <f>IFERROR(INDEX([4]Sheet1!$AF:$AF, MATCH(A39, [4]Sheet1!$A:$A, 0)) * 积分!AD38, "--")</f>
        <v>--</v>
      </c>
      <c r="AM39" s="2" t="str">
        <f>IFERROR(INDEX([4]Sheet1!$AG:$AG, MATCH(A39, [4]Sheet1!$A:$A, 0)) * 积分!AE38, "--")</f>
        <v>--</v>
      </c>
      <c r="AN39" s="2" t="str">
        <f>IFERROR(INDEX([4]Sheet1!$AH:$AH, MATCH(A39, [4]Sheet1!$A:$A, 0)) * 积分!AF38, "--")</f>
        <v>--</v>
      </c>
      <c r="AO39" s="2" t="str">
        <f>IFERROR(INDEX([4]Sheet1!$AI:$AI, MATCH(A39, [4]Sheet1!$A:$A, 0)) * 积分!AG38, "--")</f>
        <v>--</v>
      </c>
      <c r="AP39" s="2" t="str">
        <f>IFERROR(INDEX([4]Sheet1!$AJ:$AJ, MATCH(A39, [4]Sheet1!$A:$A, 0)) * 积分!AH38, "--")</f>
        <v>--</v>
      </c>
      <c r="AQ39" s="2">
        <v>0</v>
      </c>
      <c r="AR39" s="2">
        <v>0</v>
      </c>
      <c r="AS39" s="12" t="s">
        <v>119</v>
      </c>
      <c r="AT39" s="12" t="s">
        <v>119</v>
      </c>
      <c r="AU39" s="12" t="s">
        <v>119</v>
      </c>
      <c r="AV39" s="12" t="s">
        <v>119</v>
      </c>
      <c r="AW39" s="12" t="s">
        <v>119</v>
      </c>
      <c r="AX39" s="12" t="s">
        <v>119</v>
      </c>
      <c r="AY39" s="12" t="s">
        <v>119</v>
      </c>
      <c r="AZ39" s="12" t="s">
        <v>119</v>
      </c>
      <c r="BA39" s="12" t="s">
        <v>119</v>
      </c>
      <c r="BB39" s="12" t="s">
        <v>119</v>
      </c>
      <c r="BC39" s="12" t="s">
        <v>119</v>
      </c>
    </row>
    <row r="40" spans="1:55" ht="17.399999999999999" x14ac:dyDescent="0.25">
      <c r="A40" s="8" t="s">
        <v>121</v>
      </c>
      <c r="B40" s="4">
        <f t="shared" ref="B40" si="4">ROUND(IF(AA40&lt;&gt;"--",AA40,0)+IF(AB40&lt;&gt;"--",AB40,0)+IF(AH40&lt;&gt;"--",AH40,0),2)</f>
        <v>43927.06</v>
      </c>
      <c r="C40" s="4">
        <f t="shared" si="1"/>
        <v>0</v>
      </c>
      <c r="D40" s="4">
        <f t="shared" si="2"/>
        <v>43927.06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积分!B39, "--")</f>
        <v>--</v>
      </c>
      <c r="G40" s="4" t="str">
        <f>IFERROR(INDEX([4]Sheet1!$AK:$AK, MATCH(A40, [4]Sheet1!$A:$A, 0)) * 积分!C39, "--")</f>
        <v>--</v>
      </c>
      <c r="H40" s="4" t="str">
        <f>IFERROR(INDEX([4]Sheet1!$AB:$AB, MATCH(A40, [4]Sheet1!$A:$A, 0)) * 积分!D39, "--")</f>
        <v>--</v>
      </c>
      <c r="I40" s="4" t="str">
        <f>IFERROR(INDEX([4]Sheet1!$AA:$AA, MATCH(A40, [4]Sheet1!$A:$A, 0)) * 积分!E39, "--")</f>
        <v>--</v>
      </c>
      <c r="J40" s="4" t="str">
        <f>IFERROR(INDEX([4]Sheet1!$Z:$Z, MATCH(A40, [4]Sheet1!$A:$A, 0)) * 积分!F39, "--")</f>
        <v>--</v>
      </c>
      <c r="K40" s="4" t="str">
        <f>IFERROR(INDEX([4]Sheet1!$Y:$Y, MATCH(A40, [4]Sheet1!$A:$A, 0)) * 积分!G39,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积分!H39, "--")</f>
        <v>--</v>
      </c>
      <c r="M40" s="4" t="str">
        <f>IFERROR(INDEX([3]Sheet1!$C:$C, MATCH(A40, [3]Sheet1!$B:$B, 0)) * 积分!I39, "--")</f>
        <v>--</v>
      </c>
      <c r="N40" s="4" t="str">
        <f>IFERROR(INDEX([3]Sheet1!$D:$D, MATCH(A40, [3]Sheet1!$B:$B, 0)) * 积分!J39, "--")</f>
        <v>--</v>
      </c>
      <c r="O40" s="4" t="str">
        <f>IFERROR(INDEX([3]Sheet1!$E:$E, MATCH(A40, [3]Sheet1!$B:$B, 0)) * 积分!K39, "--")</f>
        <v>--</v>
      </c>
      <c r="P40" s="4" t="str">
        <f>IFERROR(INDEX([3]Sheet1!$F:$F, MATCH(A40, [3]Sheet1!$B:$B, 0)) * 积分!L39, "--")</f>
        <v>--</v>
      </c>
      <c r="Q40" s="4" t="str">
        <f>IFERROR(INDEX([3]Sheet1!$G:$G, MATCH(A40, [3]Sheet1!$B:$B, 0)) * 积分!M39, "--")</f>
        <v>--</v>
      </c>
      <c r="R40" s="4" t="str" cm="1">
        <f t="array" ref="R40">IFERROR(INDEX([6]Sheet1!$D:$D, MATCH(1, ([6]Sheet1!$B:$B=A40) * ([6]Sheet1!$C:$C="特级护理（临床）"), 0)) * 积分!AI39, "--")</f>
        <v>--</v>
      </c>
      <c r="S40" s="4" t="str" cm="1">
        <f t="array" ref="S40">IFERROR(INDEX([6]Sheet1!$D:$D, MATCH(1, ([6]Sheet1!$B:$B=A40) * ([6]Sheet1!$C:$C="重症监护（临床）"), 0)) * 积分!AJ39, "--")</f>
        <v>--</v>
      </c>
      <c r="T40" s="4" t="str" cm="1">
        <f t="array" ref="T40">IFERROR(INDEX([6]Sheet1!$D:$D, MATCH(1, ([6]Sheet1!$B:$B=A40) * ([6]Sheet1!$C:$C="Ⅰ级护理（临床）"), 0)) * 积分!AK39, "--")</f>
        <v>--</v>
      </c>
      <c r="U40" s="4" t="str" cm="1">
        <f t="array" ref="U40">IFERROR(INDEX([6]Sheet1!$D:$D, MATCH(1, ([6]Sheet1!$B:$B=A40) * ([6]Sheet1!$C:$C="Ⅱ级护理（临床）"), 0)) * 积分!AL39, "--")</f>
        <v>--</v>
      </c>
      <c r="V40" s="4" t="str" cm="1">
        <f t="array" ref="V40">IFERROR(INDEX([6]Sheet1!$D:$D, MATCH(1, ([6]Sheet1!$B:$B=A40) * ([6]Sheet1!$C:$C="护士中医适宜技术（临床）"), 0)) * 积分!AM39, "--")</f>
        <v>--</v>
      </c>
      <c r="W40" s="4" t="str">
        <f>IFERROR(INDEX([3]Sheet1!$H:$H, MATCH(A40, [3]Sheet1!$B:$B, 0)) * 积分!N39, "--")</f>
        <v>--</v>
      </c>
      <c r="X40" s="4" t="str">
        <f>IFERROR(INDEX([3]Sheet1!$J:$J, MATCH(A40, [3]Sheet1!$B:$B, 0)) * 积分!O39,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积分!Q39, "--")</f>
        <v>--</v>
      </c>
      <c r="AA40" s="4" cm="1">
        <f t="array" ref="AA40">IFERROR(INDEX([7]Sheet1!$D:$D, MATCH(1, ([7]Sheet1!$B:$B=A40) * ([7]Sheet1!$C:$C="核算金额"), 0)) * 积分!R40, "--")</f>
        <v>19864.502000000004</v>
      </c>
      <c r="AB40" s="4" cm="1">
        <f t="array" ref="AB40">IFERROR(INDEX([7]Sheet1!$D:$D, MATCH(1, ([7]Sheet1!$B:$B=A40) * ([7]Sheet1!$C:$C="单据"), 0))* 积分!BA40, "--")</f>
        <v>24062.559999999998</v>
      </c>
      <c r="AC40" s="4" t="str" cm="1">
        <f t="array" ref="AC40">IFERROR(INDEX([7]Sheet1!$D:$D, MATCH(1, ([7]Sheet1!$B:$B=A40) * ([7]Sheet1!$C:$C="特需门诊"), 0)) * 积分!S39, "--")</f>
        <v>--</v>
      </c>
      <c r="AD40" s="4" t="str" cm="1">
        <f t="array" ref="AD40">IFERROR(INDEX([7]Sheet1!$D:$D, MATCH(1, ([7]Sheet1!$B:$B=A40) * ([7]Sheet1!$C:$C="中医会诊"), 0)) * 积分!T39,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积分!AA39, "--")</f>
        <v>--</v>
      </c>
      <c r="AJ40" s="4" t="str">
        <f>IFERROR(INDEX([4]Sheet1!$AC:$AC, MATCH(A40, [4]Sheet1!$A:$A, 0)) * 积分!AB39, "--")</f>
        <v>--</v>
      </c>
      <c r="AK40" s="4" t="str">
        <f>IFERROR(INDEX([4]Sheet1!$AE:$AE, MATCH(A40, [4]Sheet1!$A:$A, 0)) * 积分!AC39, "--")</f>
        <v>--</v>
      </c>
      <c r="AL40" s="4" t="str">
        <f>IFERROR(INDEX([4]Sheet1!$AF:$AF, MATCH(A40, [4]Sheet1!$A:$A, 0)) * 积分!AD39, "--")</f>
        <v>--</v>
      </c>
      <c r="AM40" s="4" t="str">
        <f>IFERROR(INDEX([4]Sheet1!$AG:$AG, MATCH(A40, [4]Sheet1!$A:$A, 0)) * 积分!AE39, "--")</f>
        <v>--</v>
      </c>
      <c r="AN40" s="4" t="str">
        <f>IFERROR(INDEX([4]Sheet1!$AH:$AH, MATCH(A40, [4]Sheet1!$A:$A, 0)) * 积分!AF39, "--")</f>
        <v>--</v>
      </c>
      <c r="AO40" s="4" t="str">
        <f>IFERROR(INDEX([4]Sheet1!$AI:$AI, MATCH(A40, [4]Sheet1!$A:$A, 0)) * 积分!AG39, "--")</f>
        <v>--</v>
      </c>
      <c r="AP40" s="4" t="str">
        <f>IFERROR(INDEX([4]Sheet1!$AJ:$AJ, MATCH(A40, [4]Sheet1!$A:$A, 0)) * 积分!AH39, "--")</f>
        <v>--</v>
      </c>
      <c r="AQ40" s="4">
        <v>0</v>
      </c>
      <c r="AR40" s="4">
        <v>0</v>
      </c>
      <c r="AS40" s="7" t="s">
        <v>119</v>
      </c>
      <c r="AT40" s="7" t="s">
        <v>119</v>
      </c>
      <c r="AU40" s="7" t="s">
        <v>119</v>
      </c>
      <c r="AV40" s="7" t="s">
        <v>119</v>
      </c>
      <c r="AW40" s="7" t="s">
        <v>119</v>
      </c>
      <c r="AX40" s="7" t="s">
        <v>119</v>
      </c>
      <c r="AY40" s="7" t="s">
        <v>119</v>
      </c>
      <c r="AZ40" s="7" t="s">
        <v>119</v>
      </c>
      <c r="BA40" s="7" t="s">
        <v>119</v>
      </c>
      <c r="BB40" s="7" t="s">
        <v>119</v>
      </c>
      <c r="BC40" s="7" t="s">
        <v>119</v>
      </c>
    </row>
    <row r="41" spans="1:55" ht="17.399999999999999" x14ac:dyDescent="0.25">
      <c r="A41" s="5" t="s">
        <v>127</v>
      </c>
      <c r="B41" s="11">
        <f>ROUND(AQ41+AR41,2)</f>
        <v>1322690.1499999999</v>
      </c>
      <c r="C41" s="2">
        <f t="shared" si="1"/>
        <v>0</v>
      </c>
      <c r="D41" s="2">
        <f t="shared" si="2"/>
        <v>0</v>
      </c>
      <c r="E41" s="2">
        <f t="shared" si="3"/>
        <v>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t="str" cm="1">
        <f t="array" ref="AA41">IFERROR(INDEX([7]Sheet1!$D:$D, MATCH(1, ([7]Sheet1!$B:$B=A41) * ([7]Sheet1!$C:$C="核算金额"), 0)) * 积分!R41, "--")</f>
        <v>--</v>
      </c>
      <c r="AB41" s="2" t="str" cm="1">
        <f t="array" ref="AB41">IFERROR(INDEX([7]Sheet1!$D:$D, MATCH(1, ([7]Sheet1!$B:$B=A41) * ([7]Sheet1!$C:$C="单据"), 0))* 积分!BA41, "--")</f>
        <v>--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0*积分!X41</f>
        <v>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f>[8]Sheet1!$G$3*积分!AN41</f>
        <v>1173791.0629999998</v>
      </c>
      <c r="AR41" s="2">
        <f>[8]Sheet1!$H$3*积分!AO41</f>
        <v>148899.08600000001</v>
      </c>
      <c r="AS41" s="12" t="s">
        <v>119</v>
      </c>
      <c r="AT41" s="12" t="s">
        <v>119</v>
      </c>
      <c r="AU41" s="12" t="s">
        <v>119</v>
      </c>
      <c r="AV41" s="12" t="s">
        <v>119</v>
      </c>
      <c r="AW41" s="12" t="s">
        <v>119</v>
      </c>
      <c r="AX41" s="12" t="s">
        <v>119</v>
      </c>
      <c r="AY41" s="12" t="s">
        <v>119</v>
      </c>
      <c r="AZ41" s="12" t="s">
        <v>119</v>
      </c>
      <c r="BA41" s="12" t="s">
        <v>119</v>
      </c>
      <c r="BB41" s="12" t="s">
        <v>119</v>
      </c>
      <c r="BC41" s="12" t="s">
        <v>119</v>
      </c>
    </row>
    <row r="42" spans="1:55" ht="17.399999999999999" x14ac:dyDescent="0.25">
      <c r="A42" s="8" t="s">
        <v>122</v>
      </c>
      <c r="B42" s="4">
        <f>ROUND(AQ42+AR42,2)</f>
        <v>197552.61</v>
      </c>
      <c r="C42" s="4">
        <f t="shared" si="1"/>
        <v>0</v>
      </c>
      <c r="D42" s="4">
        <f t="shared" si="2"/>
        <v>0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t="str" cm="1">
        <f t="array" ref="AA42">IFERROR(INDEX([7]Sheet1!$D:$D, MATCH(1, ([7]Sheet1!$B:$B=A42) * ([7]Sheet1!$C:$C="核算金额"), 0)) * 积分!R42, "--")</f>
        <v>--</v>
      </c>
      <c r="AB42" s="4" t="str" cm="1">
        <f t="array" ref="AB42">IFERROR(INDEX([7]Sheet1!$D:$D, MATCH(1, ([7]Sheet1!$B:$B=A42) * ([7]Sheet1!$C:$C="单据"), 0))* 积分!BA42, "--")</f>
        <v>--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f>[8]Sheet1!$G$3*积分!AN42</f>
        <v>175311.42299999998</v>
      </c>
      <c r="AR42" s="4">
        <f>[8]Sheet1!$H$3*积分!AO42</f>
        <v>22241.184000000001</v>
      </c>
      <c r="AS42" s="7" t="s">
        <v>119</v>
      </c>
      <c r="AT42" s="7" t="s">
        <v>119</v>
      </c>
      <c r="AU42" s="7" t="s">
        <v>119</v>
      </c>
      <c r="AV42" s="7" t="s">
        <v>119</v>
      </c>
      <c r="AW42" s="7" t="s">
        <v>119</v>
      </c>
      <c r="AX42" s="7" t="s">
        <v>119</v>
      </c>
      <c r="AY42" s="7" t="s">
        <v>119</v>
      </c>
      <c r="AZ42" s="7" t="s">
        <v>119</v>
      </c>
      <c r="BA42" s="7" t="s">
        <v>119</v>
      </c>
      <c r="BB42" s="7" t="s">
        <v>119</v>
      </c>
      <c r="BC42" s="7" t="s">
        <v>119</v>
      </c>
    </row>
    <row r="43" spans="1:55" ht="17.399999999999999" x14ac:dyDescent="0.25">
      <c r="A43" s="5" t="s">
        <v>128</v>
      </c>
      <c r="B43" s="11">
        <f t="shared" si="0"/>
        <v>184051.07</v>
      </c>
      <c r="C43" s="2">
        <v>0</v>
      </c>
      <c r="D43" s="2">
        <v>0</v>
      </c>
      <c r="E43" s="2">
        <f>ROUND(IF(Y43&lt;&gt;"--",Y43,0)+IF(AD43&lt;&gt;"--",AD43,0)+IF(AH43&lt;&gt;"--",AH43,0)+IF(Z43&lt;&gt;"--",Z43,0)+IF(AE43&lt;&gt;"--",AE43,0),2)</f>
        <v>184051.07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>
        <f>IFERROR(INDEX([4]Sheet1!$AK:$AK, MATCH(A43, [4]Sheet1!$A:$A, 0)) * 积分!C42, "--")</f>
        <v>0</v>
      </c>
      <c r="H43" s="2">
        <f>IFERROR(INDEX([4]Sheet1!$AB:$AB, MATCH(A43, [4]Sheet1!$A:$A, 0)) * 积分!D42, "--")</f>
        <v>0</v>
      </c>
      <c r="I43" s="2">
        <f>IFERROR(INDEX([4]Sheet1!$AA:$AA, MATCH(A43, [4]Sheet1!$A:$A, 0)) * 积分!E42, "--")</f>
        <v>0</v>
      </c>
      <c r="J43" s="2">
        <f>IFERROR(INDEX([4]Sheet1!$Z:$Z, MATCH(A43, [4]Sheet1!$A:$A, 0)) * 积分!F42, "--")</f>
        <v>0</v>
      </c>
      <c r="K43" s="2">
        <f>IFERROR(INDEX([4]Sheet1!$Y:$Y, MATCH(A43, [4]Sheet1!$A:$A, 0)) * 积分!G42, "--")</f>
        <v>0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cm="1">
        <f t="array" ref="Y43">IFERROR(INDEX([7]Sheet1!$D:$D, MATCH(1, ([7]Sheet1!$B:$B=A43) * ([7]Sheet1!$C:$C="单位系数"), 0)) * 积分!P43, "--")</f>
        <v>184613.47399999999</v>
      </c>
      <c r="Z43" s="2" cm="1">
        <f t="array" ref="Z43">IFERROR(INDEX([7]Sheet1!$D:$D, MATCH(1, ([7]Sheet1!$B:$B=A43) * ([7]Sheet1!$C:$C="多学科联合(MDT)门诊"), 0)) * 积分!Q42, "--")</f>
        <v>0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-562.4*积分!X43</f>
        <v>-562.4</v>
      </c>
      <c r="AI43" s="2">
        <f>IFERROR(INDEX([4]Sheet1!$AD:$AD, MATCH(A43, [4]Sheet1!$A:$A, 0)) * 积分!AA42, "--")</f>
        <v>0</v>
      </c>
      <c r="AJ43" s="2">
        <f>IFERROR(INDEX([4]Sheet1!$AC:$AC, MATCH(A43, [4]Sheet1!$A:$A, 0)) * 积分!AB42, "--")</f>
        <v>0</v>
      </c>
      <c r="AK43" s="2">
        <f>IFERROR(INDEX([4]Sheet1!$AE:$AE, MATCH(A43, [4]Sheet1!$A:$A, 0)) * 积分!AC42, "--")</f>
        <v>0</v>
      </c>
      <c r="AL43" s="2">
        <f>IFERROR(INDEX([4]Sheet1!$AF:$AF, MATCH(A43, [4]Sheet1!$A:$A, 0)) * 积分!AD42, "--")</f>
        <v>0</v>
      </c>
      <c r="AM43" s="2">
        <f>IFERROR(INDEX([4]Sheet1!$AG:$AG, MATCH(A43, [4]Sheet1!$A:$A, 0)) * 积分!AE42, "--")</f>
        <v>0</v>
      </c>
      <c r="AN43" s="2">
        <f>IFERROR(INDEX([4]Sheet1!$AH:$AH, MATCH(A43, [4]Sheet1!$A:$A, 0)) * 积分!AF42, "--")</f>
        <v>0</v>
      </c>
      <c r="AO43" s="2">
        <f>IFERROR(INDEX([4]Sheet1!$AI:$AI, MATCH(A43, [4]Sheet1!$A:$A, 0)) * 积分!AG42, "--")</f>
        <v>0</v>
      </c>
      <c r="AP43" s="2">
        <f>IFERROR(INDEX([4]Sheet1!$AJ:$AJ, MATCH(A43, [4]Sheet1!$A:$A, 0)) * 积分!AH42, "--")</f>
        <v>0</v>
      </c>
      <c r="AQ43" s="2">
        <v>0</v>
      </c>
      <c r="AR43" s="2">
        <v>0</v>
      </c>
      <c r="AS43" s="12" t="s">
        <v>119</v>
      </c>
      <c r="AT43" s="12" t="s">
        <v>119</v>
      </c>
      <c r="AU43" s="12" t="s">
        <v>119</v>
      </c>
      <c r="AV43" s="12" t="s">
        <v>119</v>
      </c>
      <c r="AW43" s="12" t="s">
        <v>119</v>
      </c>
      <c r="AX43" s="12" t="s">
        <v>119</v>
      </c>
      <c r="AY43" s="12" t="s">
        <v>119</v>
      </c>
      <c r="AZ43" s="12" t="s">
        <v>119</v>
      </c>
      <c r="BA43" s="12" t="s">
        <v>119</v>
      </c>
      <c r="BB43" s="12" t="s">
        <v>119</v>
      </c>
      <c r="BC43" s="12" t="s">
        <v>119</v>
      </c>
    </row>
    <row r="44" spans="1:55" ht="17.399999999999999" x14ac:dyDescent="0.25">
      <c r="A44" s="8" t="s">
        <v>123</v>
      </c>
      <c r="B44" s="4">
        <f t="shared" si="0"/>
        <v>328384.78000000003</v>
      </c>
      <c r="C44" s="4">
        <v>0</v>
      </c>
      <c r="D44" s="4">
        <v>0</v>
      </c>
      <c r="E44" s="4">
        <f>ROUND(IF(Y44&lt;&gt;"--",Y44,0)+IF(AD44&lt;&gt;"--",AD44,0)+IF(AH44&lt;&gt;"--",AH44,0)+IF(Z44&lt;&gt;"--",Z44,0)+IF(AE44&lt;&gt;"--",AE44,0),2)</f>
        <v>328384.78000000003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>
        <f>IFERROR(INDEX([4]Sheet1!$AK:$AK, MATCH(A44, [4]Sheet1!$A:$A, 0)) * 积分!C43, "--")</f>
        <v>0</v>
      </c>
      <c r="H44" s="4">
        <f>IFERROR(INDEX([4]Sheet1!$AB:$AB, MATCH(A44, [4]Sheet1!$A:$A, 0)) * 积分!D43, "--")</f>
        <v>0</v>
      </c>
      <c r="I44" s="4">
        <f>IFERROR(INDEX([4]Sheet1!$AA:$AA, MATCH(A44, [4]Sheet1!$A:$A, 0)) * 积分!E43, "--")</f>
        <v>0</v>
      </c>
      <c r="J44" s="4">
        <f>IFERROR(INDEX([4]Sheet1!$Z:$Z, MATCH(A44, [4]Sheet1!$A:$A, 0)) * 积分!F43, "--")</f>
        <v>0</v>
      </c>
      <c r="K44" s="4">
        <f>IFERROR(INDEX([4]Sheet1!$Y:$Y, MATCH(A44, [4]Sheet1!$A:$A, 0)) * 积分!G43, "--")</f>
        <v>0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cm="1">
        <f t="array" ref="Y44">IFERROR(INDEX([7]Sheet1!$D:$D, MATCH(1, ([7]Sheet1!$B:$B=A44) * ([7]Sheet1!$C:$C="单位系数"), 0)) * 积分!P44, "--")</f>
        <v>327808.24800000002</v>
      </c>
      <c r="Z44" s="4" cm="1">
        <f t="array" ref="Z44">IFERROR(INDEX([7]Sheet1!$D:$D, MATCH(1, ([7]Sheet1!$B:$B=A44) * ([7]Sheet1!$C:$C="多学科联合(MDT)门诊"), 0)) * 积分!Q43, "--")</f>
        <v>0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576.53*积分!X44</f>
        <v>576.53</v>
      </c>
      <c r="AI44" s="4">
        <f>IFERROR(INDEX([4]Sheet1!$AD:$AD, MATCH(A44, [4]Sheet1!$A:$A, 0)) * 积分!AA43, "--")</f>
        <v>0</v>
      </c>
      <c r="AJ44" s="4">
        <f>IFERROR(INDEX([4]Sheet1!$AC:$AC, MATCH(A44, [4]Sheet1!$A:$A, 0)) * 积分!AB43, "--")</f>
        <v>0</v>
      </c>
      <c r="AK44" s="4">
        <f>IFERROR(INDEX([4]Sheet1!$AE:$AE, MATCH(A44, [4]Sheet1!$A:$A, 0)) * 积分!AC43, "--")</f>
        <v>0</v>
      </c>
      <c r="AL44" s="4">
        <f>IFERROR(INDEX([4]Sheet1!$AF:$AF, MATCH(A44, [4]Sheet1!$A:$A, 0)) * 积分!AD43, "--")</f>
        <v>0</v>
      </c>
      <c r="AM44" s="4">
        <f>IFERROR(INDEX([4]Sheet1!$AG:$AG, MATCH(A44, [4]Sheet1!$A:$A, 0)) * 积分!AE43, "--")</f>
        <v>0</v>
      </c>
      <c r="AN44" s="4">
        <f>IFERROR(INDEX([4]Sheet1!$AH:$AH, MATCH(A44, [4]Sheet1!$A:$A, 0)) * 积分!AF43, "--")</f>
        <v>0</v>
      </c>
      <c r="AO44" s="4">
        <f>IFERROR(INDEX([4]Sheet1!$AI:$AI, MATCH(A44, [4]Sheet1!$A:$A, 0)) * 积分!AG43, "--")</f>
        <v>0</v>
      </c>
      <c r="AP44" s="4">
        <f>IFERROR(INDEX([4]Sheet1!$AJ:$AJ, MATCH(A44, [4]Sheet1!$A:$A, 0)) * 积分!AH43, "--")</f>
        <v>0</v>
      </c>
      <c r="AQ44" s="4">
        <v>0</v>
      </c>
      <c r="AR44" s="4">
        <v>0</v>
      </c>
      <c r="AS44" s="7" t="s">
        <v>119</v>
      </c>
      <c r="AT44" s="7" t="s">
        <v>119</v>
      </c>
      <c r="AU44" s="7" t="s">
        <v>119</v>
      </c>
      <c r="AV44" s="7" t="s">
        <v>119</v>
      </c>
      <c r="AW44" s="7" t="s">
        <v>119</v>
      </c>
      <c r="AX44" s="7" t="s">
        <v>119</v>
      </c>
      <c r="AY44" s="7" t="s">
        <v>119</v>
      </c>
      <c r="AZ44" s="7" t="s">
        <v>119</v>
      </c>
      <c r="BA44" s="7" t="s">
        <v>119</v>
      </c>
      <c r="BB44" s="7" t="s">
        <v>119</v>
      </c>
      <c r="BC44" s="7" t="s">
        <v>119</v>
      </c>
    </row>
    <row r="45" spans="1:55" ht="17.399999999999999" x14ac:dyDescent="0.25">
      <c r="A45" s="5" t="s">
        <v>129</v>
      </c>
      <c r="B45" s="11">
        <f t="shared" si="0"/>
        <v>219698.76</v>
      </c>
      <c r="C45" s="2">
        <v>0</v>
      </c>
      <c r="D45" s="2">
        <v>0</v>
      </c>
      <c r="E45" s="2">
        <f t="shared" ref="E45:E49" si="5">ROUND(IF(Y45&lt;&gt;"--",Y45,0)+IF(AD45&lt;&gt;"--",AD45,0)+IF(AH45&lt;&gt;"--",AH45,0)+IF(Z45&lt;&gt;"--",Z45,0)+IF(AE45&lt;&gt;"--",AE45,0),2)</f>
        <v>219698.76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223482.99599999998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-3784.24*积分!X45</f>
        <v>-3784.24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119</v>
      </c>
      <c r="AT45" s="12" t="s">
        <v>119</v>
      </c>
      <c r="AU45" s="12" t="s">
        <v>119</v>
      </c>
      <c r="AV45" s="12" t="s">
        <v>119</v>
      </c>
      <c r="AW45" s="12" t="s">
        <v>119</v>
      </c>
      <c r="AX45" s="12" t="s">
        <v>119</v>
      </c>
      <c r="AY45" s="12" t="s">
        <v>119</v>
      </c>
      <c r="AZ45" s="12" t="s">
        <v>119</v>
      </c>
      <c r="BA45" s="12" t="s">
        <v>119</v>
      </c>
      <c r="BB45" s="12" t="s">
        <v>119</v>
      </c>
      <c r="BC45" s="12" t="s">
        <v>119</v>
      </c>
    </row>
    <row r="46" spans="1:55" ht="17.399999999999999" x14ac:dyDescent="0.25">
      <c r="A46" s="8" t="s">
        <v>196</v>
      </c>
      <c r="B46" s="4">
        <f t="shared" si="0"/>
        <v>57731.71</v>
      </c>
      <c r="C46" s="4">
        <v>0</v>
      </c>
      <c r="D46" s="4">
        <v>0</v>
      </c>
      <c r="E46" s="4">
        <f t="shared" si="5"/>
        <v>57731.71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58236.164999999994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-504.46*积分!X46</f>
        <v>-504.46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119</v>
      </c>
      <c r="AT46" s="7" t="s">
        <v>119</v>
      </c>
      <c r="AU46" s="7" t="s">
        <v>119</v>
      </c>
      <c r="AV46" s="7" t="s">
        <v>119</v>
      </c>
      <c r="AW46" s="7" t="s">
        <v>119</v>
      </c>
      <c r="AX46" s="7" t="s">
        <v>119</v>
      </c>
      <c r="AY46" s="7" t="s">
        <v>119</v>
      </c>
      <c r="AZ46" s="7" t="s">
        <v>119</v>
      </c>
      <c r="BA46" s="7" t="s">
        <v>119</v>
      </c>
      <c r="BB46" s="7" t="s">
        <v>119</v>
      </c>
      <c r="BC46" s="7" t="s">
        <v>119</v>
      </c>
    </row>
    <row r="47" spans="1:55" ht="17.399999999999999" x14ac:dyDescent="0.25">
      <c r="A47" s="5" t="s">
        <v>130</v>
      </c>
      <c r="B47" s="11">
        <f t="shared" si="0"/>
        <v>232971.92</v>
      </c>
      <c r="C47" s="2">
        <v>0</v>
      </c>
      <c r="D47" s="2">
        <v>0</v>
      </c>
      <c r="E47" s="2">
        <f t="shared" si="5"/>
        <v>232971.92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232432.42479999995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539.5*积分!X47</f>
        <v>539.5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119</v>
      </c>
      <c r="AT47" s="12" t="s">
        <v>119</v>
      </c>
      <c r="AU47" s="12" t="s">
        <v>119</v>
      </c>
      <c r="AV47" s="12" t="s">
        <v>119</v>
      </c>
      <c r="AW47" s="12" t="s">
        <v>119</v>
      </c>
      <c r="AX47" s="12" t="s">
        <v>119</v>
      </c>
      <c r="AY47" s="12" t="s">
        <v>119</v>
      </c>
      <c r="AZ47" s="12" t="s">
        <v>119</v>
      </c>
      <c r="BA47" s="12" t="s">
        <v>119</v>
      </c>
      <c r="BB47" s="12" t="s">
        <v>119</v>
      </c>
      <c r="BC47" s="12" t="s">
        <v>119</v>
      </c>
    </row>
    <row r="48" spans="1:55" ht="17.399999999999999" x14ac:dyDescent="0.25">
      <c r="A48" s="8" t="s">
        <v>125</v>
      </c>
      <c r="B48" s="4">
        <f t="shared" si="0"/>
        <v>85235.07</v>
      </c>
      <c r="C48" s="4">
        <v>0</v>
      </c>
      <c r="D48" s="4">
        <v>0</v>
      </c>
      <c r="E48" s="4">
        <f t="shared" si="5"/>
        <v>85235.07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84676.724000000002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558.35*积分!X48</f>
        <v>558.35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119</v>
      </c>
      <c r="AT48" s="7" t="s">
        <v>119</v>
      </c>
      <c r="AU48" s="7" t="s">
        <v>119</v>
      </c>
      <c r="AV48" s="7" t="s">
        <v>119</v>
      </c>
      <c r="AW48" s="7" t="s">
        <v>119</v>
      </c>
      <c r="AX48" s="7" t="s">
        <v>119</v>
      </c>
      <c r="AY48" s="7" t="s">
        <v>119</v>
      </c>
      <c r="AZ48" s="7" t="s">
        <v>119</v>
      </c>
      <c r="BA48" s="7" t="s">
        <v>119</v>
      </c>
      <c r="BB48" s="7" t="s">
        <v>119</v>
      </c>
      <c r="BC48" s="7" t="s">
        <v>119</v>
      </c>
    </row>
    <row r="49" spans="1:55" ht="17.399999999999999" x14ac:dyDescent="0.25">
      <c r="A49" s="5" t="s">
        <v>131</v>
      </c>
      <c r="B49" s="11">
        <f t="shared" si="0"/>
        <v>59020.53</v>
      </c>
      <c r="C49" s="2">
        <v>0</v>
      </c>
      <c r="D49" s="2">
        <v>0</v>
      </c>
      <c r="E49" s="2">
        <f t="shared" si="5"/>
        <v>59020.53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 t="str">
        <f>IFERROR(INDEX([4]Sheet1!$AK:$AK, MATCH(A49, [4]Sheet1!$A:$A, 0)) * 积分!C48, "--")</f>
        <v>--</v>
      </c>
      <c r="H49" s="2" t="str">
        <f>IFERROR(INDEX([4]Sheet1!$AB:$AB, MATCH(A49, [4]Sheet1!$A:$A, 0)) * 积分!D48, "--")</f>
        <v>--</v>
      </c>
      <c r="I49" s="2" t="str">
        <f>IFERROR(INDEX([4]Sheet1!$AA:$AA, MATCH(A49, [4]Sheet1!$A:$A, 0)) * 积分!E48, "--")</f>
        <v>--</v>
      </c>
      <c r="J49" s="2" t="str">
        <f>IFERROR(INDEX([4]Sheet1!$Z:$Z, MATCH(A49, [4]Sheet1!$A:$A, 0)) * 积分!F48, "--")</f>
        <v>--</v>
      </c>
      <c r="K49" s="2" t="str">
        <f>IFERROR(INDEX([4]Sheet1!$Y:$Y, MATCH(A49, [4]Sheet1!$A:$A, 0)) * 积分!G48, "--")</f>
        <v>--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58502.840000000004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517.69*积分!X49</f>
        <v>517.69000000000005</v>
      </c>
      <c r="AI49" s="2" t="str">
        <f>IFERROR(INDEX([4]Sheet1!$AD:$AD, MATCH(A49, [4]Sheet1!$A:$A, 0)) * 积分!AA48, "--")</f>
        <v>--</v>
      </c>
      <c r="AJ49" s="2" t="str">
        <f>IFERROR(INDEX([4]Sheet1!$AC:$AC, MATCH(A49, [4]Sheet1!$A:$A, 0)) * 积分!AB48, "--")</f>
        <v>--</v>
      </c>
      <c r="AK49" s="2" t="str">
        <f>IFERROR(INDEX([4]Sheet1!$AE:$AE, MATCH(A49, [4]Sheet1!$A:$A, 0)) * 积分!AC48, "--")</f>
        <v>--</v>
      </c>
      <c r="AL49" s="2" t="str">
        <f>IFERROR(INDEX([4]Sheet1!$AF:$AF, MATCH(A49, [4]Sheet1!$A:$A, 0)) * 积分!AD48, "--")</f>
        <v>--</v>
      </c>
      <c r="AM49" s="2" t="str">
        <f>IFERROR(INDEX([4]Sheet1!$AG:$AG, MATCH(A49, [4]Sheet1!$A:$A, 0)) * 积分!AE48, "--")</f>
        <v>--</v>
      </c>
      <c r="AN49" s="2" t="str">
        <f>IFERROR(INDEX([4]Sheet1!$AH:$AH, MATCH(A49, [4]Sheet1!$A:$A, 0)) * 积分!AF48, "--")</f>
        <v>--</v>
      </c>
      <c r="AO49" s="2" t="str">
        <f>IFERROR(INDEX([4]Sheet1!$AI:$AI, MATCH(A49, [4]Sheet1!$A:$A, 0)) * 积分!AG48, "--")</f>
        <v>--</v>
      </c>
      <c r="AP49" s="2" t="str">
        <f>IFERROR(INDEX([4]Sheet1!$AJ:$AJ, MATCH(A49, [4]Sheet1!$A:$A, 0)) * 积分!AH48, "--")</f>
        <v>--</v>
      </c>
      <c r="AQ49" s="2">
        <v>0</v>
      </c>
      <c r="AR49" s="2">
        <v>0</v>
      </c>
      <c r="AS49" s="12" t="s">
        <v>119</v>
      </c>
      <c r="AT49" s="12" t="s">
        <v>119</v>
      </c>
      <c r="AU49" s="12" t="s">
        <v>119</v>
      </c>
      <c r="AV49" s="12" t="s">
        <v>119</v>
      </c>
      <c r="AW49" s="12" t="s">
        <v>119</v>
      </c>
      <c r="AX49" s="12" t="s">
        <v>119</v>
      </c>
      <c r="AY49" s="12" t="s">
        <v>119</v>
      </c>
      <c r="AZ49" s="12" t="s">
        <v>119</v>
      </c>
      <c r="BA49" s="12" t="s">
        <v>119</v>
      </c>
      <c r="BB49" s="12" t="s">
        <v>119</v>
      </c>
      <c r="BC49" s="12" t="s">
        <v>119</v>
      </c>
    </row>
    <row r="50" spans="1:55" ht="17.399999999999999" x14ac:dyDescent="0.25">
      <c r="A50" s="8" t="s">
        <v>143</v>
      </c>
      <c r="B50" s="4">
        <f>ROUND(AK50+AL50+AM50+AN50+AO50+AP50+AS50 + AT50 + AU50 + AV50 + AW50 + AX50 + AY50 + AZ50 + BA50 + BB50 + BC50,3)</f>
        <v>101403.18</v>
      </c>
      <c r="C50" s="4">
        <v>0</v>
      </c>
      <c r="D50" s="4">
        <v>0</v>
      </c>
      <c r="E50" s="4">
        <v>0</v>
      </c>
      <c r="F50" s="7" t="s">
        <v>119</v>
      </c>
      <c r="G50" s="7" t="s">
        <v>119</v>
      </c>
      <c r="H50" s="7" t="s">
        <v>119</v>
      </c>
      <c r="I50" s="7" t="s">
        <v>119</v>
      </c>
      <c r="J50" s="7" t="s">
        <v>119</v>
      </c>
      <c r="K50" s="7" t="s">
        <v>119</v>
      </c>
      <c r="L50" s="7" t="s">
        <v>119</v>
      </c>
      <c r="M50" s="7" t="s">
        <v>119</v>
      </c>
      <c r="N50" s="7" t="s">
        <v>119</v>
      </c>
      <c r="O50" s="7" t="s">
        <v>119</v>
      </c>
      <c r="P50" s="7" t="s">
        <v>119</v>
      </c>
      <c r="Q50" s="7" t="s">
        <v>119</v>
      </c>
      <c r="R50" s="7" t="s">
        <v>119</v>
      </c>
      <c r="S50" s="7" t="s">
        <v>119</v>
      </c>
      <c r="T50" s="7" t="s">
        <v>119</v>
      </c>
      <c r="U50" s="7" t="s">
        <v>119</v>
      </c>
      <c r="V50" s="7" t="s">
        <v>119</v>
      </c>
      <c r="W50" s="7" t="s">
        <v>119</v>
      </c>
      <c r="X50" s="7" t="s">
        <v>119</v>
      </c>
      <c r="Y50" s="4" t="str" cm="1">
        <f t="array" ref="Y50">IFERROR(INDEX([7]Sheet1!$D:$D, MATCH(1, ([7]Sheet1!$B:$B=A50) * ([7]Sheet1!$C:$C="单位系数"), 0)) * 积分!P50, "--")</f>
        <v>--</v>
      </c>
      <c r="Z50" s="7" t="s">
        <v>119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7" t="s">
        <v>119</v>
      </c>
      <c r="AD50" s="7" t="s">
        <v>119</v>
      </c>
      <c r="AE50" s="7" t="s">
        <v>119</v>
      </c>
      <c r="AF50" s="7" t="s">
        <v>119</v>
      </c>
      <c r="AG50" s="7" t="s">
        <v>119</v>
      </c>
      <c r="AH50" s="7" t="s">
        <v>119</v>
      </c>
      <c r="AI50" s="7" t="s">
        <v>119</v>
      </c>
      <c r="AJ50" s="7" t="s">
        <v>119</v>
      </c>
      <c r="AK50" s="7">
        <f>IFERROR(INDEX([4]Sheet1!$AE:$AE, MATCH(A50,[4]Sheet1!$AN:$AN, 0)) * 积分!AC50*'系数（护理）'!M3, "--")</f>
        <v>353.34000000000003</v>
      </c>
      <c r="AL50" s="7">
        <f>IFERROR(INDEX([4]Sheet1!$AF:$AF, MATCH(A50,[4]Sheet1!$AN:$AN, 0)) * 积分!AD50*'系数（护理）'!N3, "--")</f>
        <v>3253.11</v>
      </c>
      <c r="AM50" s="7">
        <f>IFERROR(INDEX([4]Sheet1!$AG:$AG, MATCH(A50,[4]Sheet1!$AN:$AN, 0)) * 积分!AE50*'系数（护理）'!O3, "--")</f>
        <v>0</v>
      </c>
      <c r="AN50" s="7">
        <f>IFERROR(INDEX([4]Sheet1!$AH:$AH, MATCH(A50,[4]Sheet1!$AN:$AN, 0)) * 积分!AF50*'系数（护理）'!P3, "--")</f>
        <v>0</v>
      </c>
      <c r="AO50" s="7">
        <f>IFERROR(INDEX([4]Sheet1!$AI:$AI, MATCH(A50,[4]Sheet1!$AN:$AN, 0)) * 积分!AG50*'系数（护理）'!Q3, "--")</f>
        <v>0</v>
      </c>
      <c r="AP50" s="7">
        <f>IFERROR(INDEX([4]Sheet1!$AJ:$AJ, MATCH(A50,[4]Sheet1!$AN:$AN, 0)) * 积分!AH50*'系数（护理）'!R3, "--")</f>
        <v>0</v>
      </c>
      <c r="AQ50" s="7" t="s">
        <v>119</v>
      </c>
      <c r="AR50" s="7" t="s">
        <v>119</v>
      </c>
      <c r="AS50" s="7">
        <f>IFERROR(INDEX([4]Sheet1!$Y:$Y, MATCH(A50,[4]Sheet1!$AN:$AN, 0)) * 积分!AP50*'系数（护理）'!K3, "--")</f>
        <v>0</v>
      </c>
      <c r="AT50" s="4">
        <v>-3588.76</v>
      </c>
      <c r="AU50" s="4">
        <f>IFERROR(INDEX([4]Sheet1!$AL:$AL, MATCH(A50,[4]Sheet1!$AN:$AN, 0)) * 积分!AR50*'系数（护理）'!I3, "--")</f>
        <v>55773.899999999994</v>
      </c>
      <c r="AV50" s="4">
        <f>IFERROR(INDEX([9]Sheet1!$H:$H, MATCH(A50,[9]Sheet1!$B:$B, 0)) * 积分!AS50*'系数（护理）'!H3, "--")</f>
        <v>0</v>
      </c>
      <c r="AW50" s="4">
        <f>IFERROR(INDEX([4]Sheet1!$AK:$AK, MATCH(A50,[4]Sheet1!$AN:$AN, 0)) * 积分!AT50*'系数（护理）'!G3, "--")</f>
        <v>540</v>
      </c>
      <c r="AX50" s="4">
        <f>IFERROR(INDEX([9]Sheet1!$G:$G, MATCH(A50,[9]Sheet1!$B:$B, 0)) * 积分!AU50*'系数（护理）'!F3, "--")</f>
        <v>19593.900000000001</v>
      </c>
      <c r="AY50" s="4">
        <f>IFERROR(INDEX([9]Sheet1!$F:$F, MATCH(A50,[9]Sheet1!$B:$B, 0)) * 积分!AV50*'系数（护理）'!E3, "--")</f>
        <v>9096</v>
      </c>
      <c r="AZ50" s="4">
        <f>IFERROR(INDEX([9]Sheet1!$E:$E, MATCH(A50,[9]Sheet1!$B:$B, 0)) * 积分!AW50*'系数（护理）'!D3, "--")</f>
        <v>1518</v>
      </c>
      <c r="BA50" s="4">
        <f>IFERROR(INDEX([9]Sheet1!$C:$C, MATCH(A50,[9]Sheet1!$B:$B, 0)) * 积分!AX50*'系数（护理）'!C3, "--")</f>
        <v>0</v>
      </c>
      <c r="BB50" s="4">
        <f>IFERROR(INDEX([9]Sheet1!$D:$D, MATCH(A50,[9]Sheet1!$B:$B, 0)) * 积分!AY50*'系数（护理）'!B3, "--")</f>
        <v>0</v>
      </c>
      <c r="BC50" s="4">
        <f>IFERROR(INDEX([9]Sheet1!$I:$I, MATCH(A50,[9]Sheet1!$B:$B, 0)) * 积分!AZ50 * '系数（护理）'!L3, "--")</f>
        <v>14863.69024</v>
      </c>
    </row>
    <row r="51" spans="1:55" ht="17.399999999999999" x14ac:dyDescent="0.25">
      <c r="A51" s="5" t="s">
        <v>173</v>
      </c>
      <c r="B51" s="2">
        <f t="shared" ref="B51:B67" si="6">ROUND(AK51+AL51+AM51+AN51+AO51+AP51+AS51 + AT51 + AU51 + AV51 + AW51 + AX51 + AY51 + AZ51 + BA51 + BB51 + BC51,3)</f>
        <v>116794.751</v>
      </c>
      <c r="C51" s="2">
        <v>0</v>
      </c>
      <c r="D51" s="2">
        <v>0</v>
      </c>
      <c r="E51" s="2">
        <v>0</v>
      </c>
      <c r="F51" s="12" t="s">
        <v>119</v>
      </c>
      <c r="G51" s="12" t="s">
        <v>119</v>
      </c>
      <c r="H51" s="12" t="s">
        <v>119</v>
      </c>
      <c r="I51" s="12" t="s">
        <v>119</v>
      </c>
      <c r="J51" s="12" t="s">
        <v>119</v>
      </c>
      <c r="K51" s="12" t="s">
        <v>119</v>
      </c>
      <c r="L51" s="12" t="s">
        <v>119</v>
      </c>
      <c r="M51" s="12" t="s">
        <v>119</v>
      </c>
      <c r="N51" s="12" t="s">
        <v>119</v>
      </c>
      <c r="O51" s="12" t="s">
        <v>119</v>
      </c>
      <c r="P51" s="12" t="s">
        <v>119</v>
      </c>
      <c r="Q51" s="12" t="s">
        <v>119</v>
      </c>
      <c r="R51" s="12" t="s">
        <v>119</v>
      </c>
      <c r="S51" s="12" t="s">
        <v>119</v>
      </c>
      <c r="T51" s="12" t="s">
        <v>119</v>
      </c>
      <c r="U51" s="12" t="s">
        <v>119</v>
      </c>
      <c r="V51" s="12" t="s">
        <v>119</v>
      </c>
      <c r="W51" s="12" t="s">
        <v>119</v>
      </c>
      <c r="X51" s="12" t="s">
        <v>119</v>
      </c>
      <c r="Y51" s="2" t="str" cm="1">
        <f t="array" ref="Y51">IFERROR(INDEX([7]Sheet1!$D:$D, MATCH(1, ([7]Sheet1!$B:$B=A51) * ([7]Sheet1!$C:$C="单位系数"), 0)) * 积分!P51, "--")</f>
        <v>--</v>
      </c>
      <c r="Z51" s="12" t="s">
        <v>119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12" t="s">
        <v>119</v>
      </c>
      <c r="AD51" s="12" t="s">
        <v>119</v>
      </c>
      <c r="AE51" s="12" t="s">
        <v>119</v>
      </c>
      <c r="AF51" s="12" t="s">
        <v>119</v>
      </c>
      <c r="AG51" s="12" t="s">
        <v>119</v>
      </c>
      <c r="AH51" s="12" t="s">
        <v>119</v>
      </c>
      <c r="AI51" s="12" t="s">
        <v>119</v>
      </c>
      <c r="AJ51" s="12" t="s">
        <v>119</v>
      </c>
      <c r="AK51" s="12">
        <f>IFERROR(INDEX([4]Sheet1!$AE:$AE, MATCH("胸外二科护理",[4]Sheet1!$AN:$AN, 0)) * 积分!AC51*'系数（护理）'!M4, "--")</f>
        <v>2546.65</v>
      </c>
      <c r="AL51" s="12">
        <f>IFERROR(INDEX([4]Sheet1!$AF:$AF, MATCH("胸外二科护理",[4]Sheet1!$AN:$AN, 0)) * 积分!AD51*'系数（护理）'!N4, "--")</f>
        <v>6834.56</v>
      </c>
      <c r="AM51" s="12">
        <v>0</v>
      </c>
      <c r="AN51" s="12">
        <v>0</v>
      </c>
      <c r="AO51" s="12">
        <v>0</v>
      </c>
      <c r="AP51" s="12">
        <v>0</v>
      </c>
      <c r="AQ51" s="12" t="s">
        <v>119</v>
      </c>
      <c r="AR51" s="12" t="s">
        <v>119</v>
      </c>
      <c r="AS51" s="12">
        <f>IFERROR((INDEX([4]Sheet1!$Y:$Y, MATCH("胸外二科护理",[4]Sheet1!$AN:$AN, 0)) +INDEX([4]Sheet1!$Y:$Y, MATCH("介入治疗科护理",[4]Sheet1!$AN:$AN, 0)))* 积分!AP51*'系数（护理）'!K4, "--")</f>
        <v>0</v>
      </c>
      <c r="AT51" s="2">
        <v>-22937.19</v>
      </c>
      <c r="AU51" s="2">
        <f>IFERROR((INDEX([4]Sheet1!$AL:$AL, MATCH("胸外二科护理",[4]Sheet1!$AN:$AN, 0)) +INDEX([4]Sheet1!$AL:$AL, MATCH("介入治疗科护理",[4]Sheet1!$AN:$AN, 0)))* 积分!AR51*'系数（护理）'!I4, "--")</f>
        <v>88663.12</v>
      </c>
      <c r="AV51" s="2">
        <f>IFERROR(INDEX([9]Sheet1!$H:$H, MATCH(A51,[9]Sheet1!$B:$B, 0)) * 积分!AS51*'系数（护理）'!H4, "--")</f>
        <v>0</v>
      </c>
      <c r="AW51" s="2">
        <f>IFERROR((INDEX([4]Sheet1!$AK:$AK, MATCH("胸外二科护理",[4]Sheet1!$AN:$AN, 0)) +INDEX([4]Sheet1!$AK:$AK, MATCH("介入治疗科护理",[4]Sheet1!$AN:$AN, 0)))* 积分!AT51*'系数（护理）'!G4, "--")</f>
        <v>1400</v>
      </c>
      <c r="AX51" s="2">
        <f>IFERROR(INDEX([9]Sheet1!$G:$G, MATCH(A51,[9]Sheet1!$B:$B, 0)) * 积分!AU51*'系数（护理）'!F4, "--")</f>
        <v>4486.05</v>
      </c>
      <c r="AY51" s="2">
        <f>IFERROR(INDEX([9]Sheet1!$F:$F, MATCH(A51,[9]Sheet1!$B:$B, 0)) * 积分!AV51*'系数（护理）'!E4, "--")</f>
        <v>9176</v>
      </c>
      <c r="AZ51" s="2">
        <f>IFERROR(INDEX([9]Sheet1!$E:$E, MATCH(A51,[9]Sheet1!$B:$B, 0)) * 积分!AW51*'系数（护理）'!D4, "--")</f>
        <v>473</v>
      </c>
      <c r="BA51" s="2">
        <f>IFERROR(INDEX([9]Sheet1!$C:$C, MATCH(A51,[9]Sheet1!$B:$B, 0)) * 积分!AX51*'系数（护理）'!C4, "--")</f>
        <v>0</v>
      </c>
      <c r="BB51" s="2">
        <f>IFERROR(INDEX([9]Sheet1!$D:$D, MATCH(A51,[9]Sheet1!$B:$B, 0)) * 积分!AY51*'系数（护理）'!B4, "--")</f>
        <v>0</v>
      </c>
      <c r="BC51" s="2">
        <f>IFERROR(INDEX([9]Sheet1!$I:$I, MATCH(A51,[9]Sheet1!$B:$B, 0)) * 积分!AZ51* '系数（护理）'!L4, "--")</f>
        <v>26152.560720000001</v>
      </c>
    </row>
    <row r="52" spans="1:55" ht="17.399999999999999" x14ac:dyDescent="0.25">
      <c r="A52" s="8" t="s">
        <v>174</v>
      </c>
      <c r="B52" s="4">
        <f t="shared" si="6"/>
        <v>65625.926000000007</v>
      </c>
      <c r="C52" s="4">
        <v>0</v>
      </c>
      <c r="D52" s="4">
        <v>0</v>
      </c>
      <c r="E52" s="4">
        <v>0</v>
      </c>
      <c r="F52" s="7" t="s">
        <v>119</v>
      </c>
      <c r="G52" s="7" t="s">
        <v>119</v>
      </c>
      <c r="H52" s="7" t="s">
        <v>119</v>
      </c>
      <c r="I52" s="7" t="s">
        <v>119</v>
      </c>
      <c r="J52" s="7" t="s">
        <v>119</v>
      </c>
      <c r="K52" s="7" t="s">
        <v>119</v>
      </c>
      <c r="L52" s="7" t="s">
        <v>119</v>
      </c>
      <c r="M52" s="7" t="s">
        <v>119</v>
      </c>
      <c r="N52" s="7" t="s">
        <v>119</v>
      </c>
      <c r="O52" s="7" t="s">
        <v>119</v>
      </c>
      <c r="P52" s="7" t="s">
        <v>119</v>
      </c>
      <c r="Q52" s="7" t="s">
        <v>119</v>
      </c>
      <c r="R52" s="7" t="s">
        <v>119</v>
      </c>
      <c r="S52" s="7" t="s">
        <v>119</v>
      </c>
      <c r="T52" s="7" t="s">
        <v>119</v>
      </c>
      <c r="U52" s="7" t="s">
        <v>119</v>
      </c>
      <c r="V52" s="7" t="s">
        <v>119</v>
      </c>
      <c r="W52" s="7" t="s">
        <v>119</v>
      </c>
      <c r="X52" s="7" t="s">
        <v>119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119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119</v>
      </c>
      <c r="AD52" s="7" t="s">
        <v>119</v>
      </c>
      <c r="AE52" s="7" t="s">
        <v>119</v>
      </c>
      <c r="AF52" s="7" t="s">
        <v>119</v>
      </c>
      <c r="AG52" s="7" t="s">
        <v>119</v>
      </c>
      <c r="AH52" s="7" t="s">
        <v>119</v>
      </c>
      <c r="AI52" s="7" t="s">
        <v>119</v>
      </c>
      <c r="AJ52" s="7" t="s">
        <v>119</v>
      </c>
      <c r="AK52" s="7">
        <f>IFERROR(INDEX([4]Sheet1!$AE:$AE, MATCH(A52,[4]Sheet1!$AN:$AN, 0)) * 积分!AC52*'系数（护理）'!M5, "--")</f>
        <v>1928.4</v>
      </c>
      <c r="AL52" s="7">
        <f>IFERROR(INDEX([4]Sheet1!$AF:$AF, MATCH(A52,[4]Sheet1!$AN:$AN, 0)) * 积分!AD52*'系数（护理）'!N5, "--")</f>
        <v>3720.6000000000004</v>
      </c>
      <c r="AM52" s="7">
        <f>IFERROR(INDEX([4]Sheet1!$AG:$AG, MATCH(A52,[4]Sheet1!$AN:$AN, 0)) * 积分!AE52*'系数（护理）'!O5, "--")</f>
        <v>0</v>
      </c>
      <c r="AN52" s="7">
        <f>IFERROR(INDEX([4]Sheet1!$AH:$AH, MATCH(A52,[4]Sheet1!$AN:$AN, 0)) * 积分!AF52*'系数（护理）'!P5, "--")</f>
        <v>0</v>
      </c>
      <c r="AO52" s="7">
        <f>IFERROR(INDEX([4]Sheet1!$AI:$AI, MATCH(A52,[4]Sheet1!$AN:$AN, 0)) * 积分!AG52*'系数（护理）'!Q5, "--")</f>
        <v>0</v>
      </c>
      <c r="AP52" s="7">
        <f>IFERROR(INDEX([4]Sheet1!$AJ:$AJ, MATCH(A52,[4]Sheet1!$AN:$AN, 0)) * 积分!AH52*'系数（护理）'!R5, "--")</f>
        <v>0</v>
      </c>
      <c r="AQ52" s="7" t="s">
        <v>119</v>
      </c>
      <c r="AR52" s="7" t="s">
        <v>119</v>
      </c>
      <c r="AS52" s="7">
        <f>IFERROR(INDEX([4]Sheet1!$Y:$Y, MATCH(A52,[4]Sheet1!$AN:$AN, 0)) * 积分!AP52*'系数（护理）'!K5, "--")</f>
        <v>1170</v>
      </c>
      <c r="AT52" s="4">
        <v>600</v>
      </c>
      <c r="AU52" s="4">
        <f>IFERROR(INDEX([4]Sheet1!$AL:$AL, MATCH(A52,[4]Sheet1!$AN:$AN, 0)) * 积分!AR52*'系数（护理）'!I5, "--")</f>
        <v>28960.880000000005</v>
      </c>
      <c r="AV52" s="4">
        <f>IFERROR(INDEX([9]Sheet1!$H:$H, MATCH(A52,[9]Sheet1!$B:$B, 0)) * 积分!AS52*'系数（护理）'!H5, "--")</f>
        <v>0</v>
      </c>
      <c r="AW52" s="4">
        <f>IFERROR(INDEX([4]Sheet1!$AK:$AK, MATCH(A52,[4]Sheet1!$AN:$AN, 0)) * 积分!AT52*'系数（护理）'!G5, "--")</f>
        <v>220</v>
      </c>
      <c r="AX52" s="4">
        <f>IFERROR(INDEX([9]Sheet1!$G:$G, MATCH(A52,[9]Sheet1!$B:$B, 0)) * 积分!AU52*'系数（护理）'!F5, "--")</f>
        <v>14064.300000000001</v>
      </c>
      <c r="AY52" s="4">
        <f>IFERROR(INDEX([9]Sheet1!$F:$F, MATCH(A52,[9]Sheet1!$B:$B, 0)) * 积分!AV52*'系数（护理）'!E5, "--")</f>
        <v>5712</v>
      </c>
      <c r="AZ52" s="4">
        <f>IFERROR(INDEX([9]Sheet1!$E:$E, MATCH(A52,[9]Sheet1!$B:$B, 0)) * 积分!AW52*'系数（护理）'!D5, "--")</f>
        <v>825</v>
      </c>
      <c r="BA52" s="4">
        <f>IFERROR(INDEX([9]Sheet1!$C:$C, MATCH(A52,[9]Sheet1!$B:$B, 0)) * 积分!AX52*'系数（护理）'!C5, "--")</f>
        <v>0</v>
      </c>
      <c r="BB52" s="4">
        <f>IFERROR(INDEX([9]Sheet1!$D:$D, MATCH(A52,[9]Sheet1!$B:$B, 0)) * 积分!AY52*'系数（护理）'!B5, "--")</f>
        <v>0</v>
      </c>
      <c r="BC52" s="4">
        <f>IFERROR(INDEX([9]Sheet1!$I:$I, MATCH(A52,[9]Sheet1!$B:$B, 0)) * 积分!AZ52 * '系数（护理）'!L5, "--")</f>
        <v>8424.7463299999981</v>
      </c>
    </row>
    <row r="53" spans="1:55" ht="17.399999999999999" x14ac:dyDescent="0.25">
      <c r="A53" s="5" t="s">
        <v>155</v>
      </c>
      <c r="B53" s="2">
        <f t="shared" si="6"/>
        <v>153326.47</v>
      </c>
      <c r="C53" s="2">
        <v>0</v>
      </c>
      <c r="D53" s="2">
        <v>0</v>
      </c>
      <c r="E53" s="2">
        <v>0</v>
      </c>
      <c r="F53" s="12" t="s">
        <v>119</v>
      </c>
      <c r="G53" s="12" t="s">
        <v>119</v>
      </c>
      <c r="H53" s="12" t="s">
        <v>119</v>
      </c>
      <c r="I53" s="12" t="s">
        <v>119</v>
      </c>
      <c r="J53" s="12" t="s">
        <v>119</v>
      </c>
      <c r="K53" s="12" t="s">
        <v>119</v>
      </c>
      <c r="L53" s="12" t="s">
        <v>119</v>
      </c>
      <c r="M53" s="12" t="s">
        <v>119</v>
      </c>
      <c r="N53" s="12" t="s">
        <v>119</v>
      </c>
      <c r="O53" s="12" t="s">
        <v>119</v>
      </c>
      <c r="P53" s="12" t="s">
        <v>119</v>
      </c>
      <c r="Q53" s="12" t="s">
        <v>119</v>
      </c>
      <c r="R53" s="12" t="s">
        <v>119</v>
      </c>
      <c r="S53" s="12" t="s">
        <v>119</v>
      </c>
      <c r="T53" s="12" t="s">
        <v>119</v>
      </c>
      <c r="U53" s="12" t="s">
        <v>119</v>
      </c>
      <c r="V53" s="12" t="s">
        <v>119</v>
      </c>
      <c r="W53" s="12" t="s">
        <v>119</v>
      </c>
      <c r="X53" s="12" t="s">
        <v>119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119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119</v>
      </c>
      <c r="AD53" s="12" t="s">
        <v>119</v>
      </c>
      <c r="AE53" s="12" t="s">
        <v>119</v>
      </c>
      <c r="AF53" s="12" t="s">
        <v>119</v>
      </c>
      <c r="AG53" s="12" t="s">
        <v>119</v>
      </c>
      <c r="AH53" s="12" t="s">
        <v>119</v>
      </c>
      <c r="AI53" s="12" t="s">
        <v>119</v>
      </c>
      <c r="AJ53" s="12" t="s">
        <v>119</v>
      </c>
      <c r="AK53" s="12">
        <f>IFERROR(INDEX([4]Sheet1!$AE:$AE, MATCH(A53,[4]Sheet1!$AN:$AN, 0)) * 积分!AC53*'系数（护理）'!M6, "--")</f>
        <v>2738.34</v>
      </c>
      <c r="AL53" s="12">
        <f>IFERROR(INDEX([4]Sheet1!$AF:$AF, MATCH(A53,[4]Sheet1!$AN:$AN, 0)) * 积分!AD53*'系数（护理）'!N6, "--")</f>
        <v>29386.15</v>
      </c>
      <c r="AM53" s="12">
        <f>IFERROR(INDEX([4]Sheet1!$AG:$AG, MATCH(A53,[4]Sheet1!$AN:$AN, 0)) * 积分!AE53*'系数（护理）'!O6, "--")</f>
        <v>0</v>
      </c>
      <c r="AN53" s="12">
        <f>IFERROR(INDEX([4]Sheet1!$AH:$AH, MATCH(A53,[4]Sheet1!$AN:$AN, 0)) * 积分!AF53*'系数（护理）'!P6, "--")</f>
        <v>0</v>
      </c>
      <c r="AO53" s="12">
        <f>IFERROR(INDEX([4]Sheet1!$AI:$AI, MATCH(A53,[4]Sheet1!$AN:$AN, 0)) * 积分!AG53*'系数（护理）'!Q6, "--")</f>
        <v>0</v>
      </c>
      <c r="AP53" s="12">
        <f>IFERROR(INDEX([4]Sheet1!$AJ:$AJ, MATCH(A53,[4]Sheet1!$AN:$AN, 0)) * 积分!AH53*'系数（护理）'!R6, "--")</f>
        <v>0</v>
      </c>
      <c r="AQ53" s="12" t="s">
        <v>119</v>
      </c>
      <c r="AR53" s="12" t="s">
        <v>119</v>
      </c>
      <c r="AS53" s="12">
        <f>IFERROR(INDEX([4]Sheet1!$Y:$Y, MATCH(A53,[4]Sheet1!$AN:$AN, 0)) * 积分!AP53*'系数（护理）'!K6, "--")</f>
        <v>0</v>
      </c>
      <c r="AT53" s="2">
        <v>-25400.66</v>
      </c>
      <c r="AU53" s="2">
        <f>IFERROR(INDEX([4]Sheet1!$AL:$AL, MATCH(A53,[4]Sheet1!$AN:$AN, 0)) * 积分!AR53*'系数（护理）'!I6, "--")</f>
        <v>114328.76</v>
      </c>
      <c r="AV53" s="2">
        <f>IFERROR(INDEX([9]Sheet1!$H:$H, MATCH(A53,[9]Sheet1!$B:$B, 0)) * 积分!AS53*'系数（护理）'!H6, "--")</f>
        <v>0</v>
      </c>
      <c r="AW53" s="2">
        <f>IFERROR(INDEX([4]Sheet1!$AK:$AK, MATCH(A53,[4]Sheet1!$AN:$AN, 0)) * 积分!AT53*'系数（护理）'!G6, "--")</f>
        <v>1280</v>
      </c>
      <c r="AX53" s="2">
        <f>IFERROR(INDEX([9]Sheet1!$G:$G, MATCH(A53,[9]Sheet1!$B:$B, 0)) * 积分!AU53*'系数（护理）'!F6, "--")</f>
        <v>10805.400000000001</v>
      </c>
      <c r="AY53" s="2">
        <f>IFERROR(INDEX([9]Sheet1!$F:$F, MATCH(A53,[9]Sheet1!$B:$B, 0)) * 积分!AV53*'系数（护理）'!E6, "--")</f>
        <v>11424</v>
      </c>
      <c r="AZ53" s="2">
        <f>IFERROR(INDEX([9]Sheet1!$E:$E, MATCH(A53,[9]Sheet1!$B:$B, 0)) * 积分!AW53*'系数（护理）'!D6, "--")</f>
        <v>704</v>
      </c>
      <c r="BA53" s="2">
        <f>IFERROR(INDEX([9]Sheet1!$C:$C, MATCH(A53,[9]Sheet1!$B:$B, 0)) * 积分!AX53*'系数（护理）'!C6, "--")</f>
        <v>0</v>
      </c>
      <c r="BB53" s="2">
        <f>IFERROR(INDEX([9]Sheet1!$D:$D, MATCH(A53,[9]Sheet1!$B:$B, 0)) * 积分!AY53*'系数（护理）'!B6, "--")</f>
        <v>0</v>
      </c>
      <c r="BC53" s="2">
        <f>IFERROR(INDEX([9]Sheet1!$I:$I, MATCH(A53,[9]Sheet1!$B:$B, 0)) * 积分!AZ53* '系数（护理）'!L6, "--")</f>
        <v>8060.4803999999986</v>
      </c>
    </row>
    <row r="54" spans="1:55" ht="17.399999999999999" x14ac:dyDescent="0.25">
      <c r="A54" s="8" t="s">
        <v>136</v>
      </c>
      <c r="B54" s="4">
        <f t="shared" si="6"/>
        <v>120898.91099999999</v>
      </c>
      <c r="C54" s="4">
        <v>0</v>
      </c>
      <c r="D54" s="4">
        <v>0</v>
      </c>
      <c r="E54" s="4">
        <v>0</v>
      </c>
      <c r="F54" s="7" t="s">
        <v>119</v>
      </c>
      <c r="G54" s="7" t="s">
        <v>119</v>
      </c>
      <c r="H54" s="7" t="s">
        <v>119</v>
      </c>
      <c r="I54" s="7" t="s">
        <v>119</v>
      </c>
      <c r="J54" s="7" t="s">
        <v>119</v>
      </c>
      <c r="K54" s="7" t="s">
        <v>119</v>
      </c>
      <c r="L54" s="7" t="s">
        <v>119</v>
      </c>
      <c r="M54" s="7" t="s">
        <v>119</v>
      </c>
      <c r="N54" s="7" t="s">
        <v>119</v>
      </c>
      <c r="O54" s="7" t="s">
        <v>119</v>
      </c>
      <c r="P54" s="7" t="s">
        <v>119</v>
      </c>
      <c r="Q54" s="7" t="s">
        <v>119</v>
      </c>
      <c r="R54" s="7" t="s">
        <v>119</v>
      </c>
      <c r="S54" s="7" t="s">
        <v>119</v>
      </c>
      <c r="T54" s="7" t="s">
        <v>119</v>
      </c>
      <c r="U54" s="7" t="s">
        <v>119</v>
      </c>
      <c r="V54" s="7" t="s">
        <v>119</v>
      </c>
      <c r="W54" s="7" t="s">
        <v>119</v>
      </c>
      <c r="X54" s="7" t="s">
        <v>119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119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119</v>
      </c>
      <c r="AD54" s="7" t="s">
        <v>119</v>
      </c>
      <c r="AE54" s="7" t="s">
        <v>119</v>
      </c>
      <c r="AF54" s="7" t="s">
        <v>119</v>
      </c>
      <c r="AG54" s="7" t="s">
        <v>119</v>
      </c>
      <c r="AH54" s="7" t="s">
        <v>119</v>
      </c>
      <c r="AI54" s="7" t="s">
        <v>119</v>
      </c>
      <c r="AJ54" s="7" t="s">
        <v>119</v>
      </c>
      <c r="AK54" s="7">
        <f>IFERROR(INDEX([4]Sheet1!$AE:$AE, MATCH(A54,[4]Sheet1!$AN:$AN, 0)) * 积分!AC54*'系数（护理）'!M7, "--")</f>
        <v>3850.5899999999997</v>
      </c>
      <c r="AL54" s="7">
        <f>IFERROR(INDEX([4]Sheet1!$AF:$AF, MATCH(A54,[4]Sheet1!$AN:$AN, 0)) * 积分!AD54*'系数（护理）'!N7, "--")</f>
        <v>11709</v>
      </c>
      <c r="AM54" s="7">
        <f>IFERROR(INDEX([4]Sheet1!$AG:$AG, MATCH(A54,[4]Sheet1!$AN:$AN, 0)) * 积分!AE54*'系数（护理）'!O7, "--")</f>
        <v>0</v>
      </c>
      <c r="AN54" s="7">
        <f>IFERROR(INDEX([4]Sheet1!$AH:$AH, MATCH(A54,[4]Sheet1!$AN:$AN, 0)) * 积分!AF54*'系数（护理）'!P7, "--")</f>
        <v>0</v>
      </c>
      <c r="AO54" s="7">
        <f>IFERROR(INDEX([4]Sheet1!$AI:$AI, MATCH(A54,[4]Sheet1!$AN:$AN, 0)) * 积分!AG54*'系数（护理）'!Q7, "--")</f>
        <v>0</v>
      </c>
      <c r="AP54" s="7">
        <f>IFERROR(INDEX([4]Sheet1!$AJ:$AJ, MATCH(A54,[4]Sheet1!$AN:$AN, 0)) * 积分!AH54*'系数（护理）'!R7, "--")</f>
        <v>0</v>
      </c>
      <c r="AQ54" s="7" t="s">
        <v>119</v>
      </c>
      <c r="AR54" s="7" t="s">
        <v>119</v>
      </c>
      <c r="AS54" s="7">
        <f>IFERROR(INDEX([4]Sheet1!$Y:$Y, MATCH(A54,[4]Sheet1!$AN:$AN, 0)) * 积分!AP54*'系数（护理）'!K7, "--")</f>
        <v>0</v>
      </c>
      <c r="AT54" s="4">
        <v>-3388.76</v>
      </c>
      <c r="AU54" s="4">
        <f>IFERROR(INDEX([4]Sheet1!$AL:$AL, MATCH(A54,[4]Sheet1!$AN:$AN, 0)) * 积分!AR54*'系数（护理）'!I7, "--")</f>
        <v>65501.439999999995</v>
      </c>
      <c r="AV54" s="4">
        <f>IFERROR(INDEX([9]Sheet1!$H:$H, MATCH(A54,[9]Sheet1!$B:$B, 0)) * 积分!AS54*'系数（护理）'!H7, "--")</f>
        <v>0</v>
      </c>
      <c r="AW54" s="4">
        <f>IFERROR(INDEX([4]Sheet1!$AK:$AK, MATCH(A54,[4]Sheet1!$AN:$AN, 0)) * 积分!AT54*'系数（护理）'!G7, "--")</f>
        <v>400</v>
      </c>
      <c r="AX54" s="4">
        <f>IFERROR(INDEX([9]Sheet1!$G:$G, MATCH(A54,[9]Sheet1!$B:$B, 0)) * 积分!AU54*'系数（护理）'!F7, "--")</f>
        <v>23737.050000000003</v>
      </c>
      <c r="AY54" s="4">
        <f>IFERROR(INDEX([9]Sheet1!$F:$F, MATCH(A54,[9]Sheet1!$B:$B, 0)) * 积分!AV54*'系数（护理）'!E7, "--")</f>
        <v>10224</v>
      </c>
      <c r="AZ54" s="4">
        <f>IFERROR(INDEX([9]Sheet1!$E:$E, MATCH(A54,[9]Sheet1!$B:$B, 0)) * 积分!AW54*'系数（护理）'!D7, "--")</f>
        <v>1749</v>
      </c>
      <c r="BA54" s="4">
        <f>IFERROR(INDEX([9]Sheet1!$C:$C, MATCH(A54,[9]Sheet1!$B:$B, 0)) * 积分!AX54*'系数（护理）'!C7, "--")</f>
        <v>0</v>
      </c>
      <c r="BB54" s="4">
        <f>IFERROR(INDEX([9]Sheet1!$D:$D, MATCH(A54,[9]Sheet1!$B:$B, 0)) * 积分!AY54*'系数（护理）'!B7, "--")</f>
        <v>0</v>
      </c>
      <c r="BC54" s="4">
        <f>IFERROR(INDEX([9]Sheet1!$I:$I, MATCH(A54,[9]Sheet1!$B:$B, 0)) * 积分!AZ54 * '系数（护理）'!L7, "--")</f>
        <v>7116.5913</v>
      </c>
    </row>
    <row r="55" spans="1:55" ht="17.399999999999999" x14ac:dyDescent="0.25">
      <c r="A55" s="5" t="s">
        <v>135</v>
      </c>
      <c r="B55" s="2">
        <f t="shared" si="6"/>
        <v>110969.03</v>
      </c>
      <c r="C55" s="2">
        <v>0</v>
      </c>
      <c r="D55" s="2">
        <v>0</v>
      </c>
      <c r="E55" s="2">
        <v>0</v>
      </c>
      <c r="F55" s="12" t="s">
        <v>119</v>
      </c>
      <c r="G55" s="12" t="s">
        <v>119</v>
      </c>
      <c r="H55" s="12" t="s">
        <v>119</v>
      </c>
      <c r="I55" s="12" t="s">
        <v>119</v>
      </c>
      <c r="J55" s="12" t="s">
        <v>119</v>
      </c>
      <c r="K55" s="12" t="s">
        <v>119</v>
      </c>
      <c r="L55" s="12" t="s">
        <v>119</v>
      </c>
      <c r="M55" s="12" t="s">
        <v>119</v>
      </c>
      <c r="N55" s="12" t="s">
        <v>119</v>
      </c>
      <c r="O55" s="12" t="s">
        <v>119</v>
      </c>
      <c r="P55" s="12" t="s">
        <v>119</v>
      </c>
      <c r="Q55" s="12" t="s">
        <v>119</v>
      </c>
      <c r="R55" s="12" t="s">
        <v>119</v>
      </c>
      <c r="S55" s="12" t="s">
        <v>119</v>
      </c>
      <c r="T55" s="12" t="s">
        <v>119</v>
      </c>
      <c r="U55" s="12" t="s">
        <v>119</v>
      </c>
      <c r="V55" s="12" t="s">
        <v>119</v>
      </c>
      <c r="W55" s="12" t="s">
        <v>119</v>
      </c>
      <c r="X55" s="12" t="s">
        <v>119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119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119</v>
      </c>
      <c r="AD55" s="12" t="s">
        <v>119</v>
      </c>
      <c r="AE55" s="12" t="s">
        <v>119</v>
      </c>
      <c r="AF55" s="12" t="s">
        <v>119</v>
      </c>
      <c r="AG55" s="12" t="s">
        <v>119</v>
      </c>
      <c r="AH55" s="12" t="s">
        <v>119</v>
      </c>
      <c r="AI55" s="12" t="s">
        <v>119</v>
      </c>
      <c r="AJ55" s="12" t="s">
        <v>119</v>
      </c>
      <c r="AK55" s="12">
        <f>IFERROR(INDEX([4]Sheet1!$AE:$AE, MATCH(A55,[4]Sheet1!$AN:$AN, 0)) * 积分!AC55*'系数（护理）'!M8, "--")</f>
        <v>5077.88</v>
      </c>
      <c r="AL55" s="12">
        <f>IFERROR(INDEX([4]Sheet1!$AF:$AF, MATCH(A55,[4]Sheet1!$AN:$AN, 0)) * 积分!AD55*'系数（护理）'!N8, "--")</f>
        <v>5699.99</v>
      </c>
      <c r="AM55" s="12">
        <f>IFERROR(INDEX([4]Sheet1!$AG:$AG, MATCH(A55,[4]Sheet1!$AN:$AN, 0)) * 积分!AE55*'系数（护理）'!O8, "--")</f>
        <v>0</v>
      </c>
      <c r="AN55" s="12">
        <f>IFERROR(INDEX([4]Sheet1!$AH:$AH, MATCH(A55,[4]Sheet1!$AN:$AN, 0)) * 积分!AF55*'系数（护理）'!P8, "--")</f>
        <v>0</v>
      </c>
      <c r="AO55" s="12">
        <f>IFERROR(INDEX([4]Sheet1!$AI:$AI, MATCH(A55,[4]Sheet1!$AN:$AN, 0)) * 积分!AG55*'系数（护理）'!Q8, "--")</f>
        <v>0</v>
      </c>
      <c r="AP55" s="12">
        <f>IFERROR(INDEX([4]Sheet1!$AJ:$AJ, MATCH(A55,[4]Sheet1!$AN:$AN, 0)) * 积分!AH55*'系数（护理）'!R8, "--")</f>
        <v>0</v>
      </c>
      <c r="AQ55" s="12" t="s">
        <v>119</v>
      </c>
      <c r="AR55" s="12" t="s">
        <v>119</v>
      </c>
      <c r="AS55" s="12">
        <f>IFERROR(INDEX([4]Sheet1!$Y:$Y, MATCH(A55,[4]Sheet1!$AN:$AN, 0)) * 积分!AP55*'系数（护理）'!K8, "--")</f>
        <v>0</v>
      </c>
      <c r="AT55" s="2">
        <v>-3012.56</v>
      </c>
      <c r="AU55" s="2">
        <f>IFERROR(INDEX([4]Sheet1!$AL:$AL, MATCH(A55,[4]Sheet1!$AN:$AN, 0)) * 积分!AR55*'系数（护理）'!I8, "--")</f>
        <v>60117.759999999995</v>
      </c>
      <c r="AV55" s="2">
        <f>IFERROR(INDEX([9]Sheet1!$H:$H, MATCH(A55,[9]Sheet1!$B:$B, 0)) * 积分!AS55*'系数（护理）'!H8, "--")</f>
        <v>0</v>
      </c>
      <c r="AW55" s="2">
        <f>IFERROR(INDEX([4]Sheet1!$AK:$AK, MATCH(A55,[4]Sheet1!$AN:$AN, 0)) * 积分!AT55*'系数（护理）'!G8, "--")</f>
        <v>340</v>
      </c>
      <c r="AX55" s="2">
        <f>IFERROR(INDEX([9]Sheet1!$G:$G, MATCH(A55,[9]Sheet1!$B:$B, 0)) * 积分!AU55*'系数（护理）'!F8, "--")</f>
        <v>11178</v>
      </c>
      <c r="AY55" s="2">
        <f>IFERROR(INDEX([9]Sheet1!$F:$F, MATCH(A55,[9]Sheet1!$B:$B, 0)) * 积分!AV55*'系数（护理）'!E8, "--")</f>
        <v>10416</v>
      </c>
      <c r="AZ55" s="2">
        <f>IFERROR(INDEX([9]Sheet1!$E:$E, MATCH(A55,[9]Sheet1!$B:$B, 0)) * 积分!AW55*'系数（护理）'!D8, "--")</f>
        <v>1738</v>
      </c>
      <c r="BA55" s="2">
        <f>IFERROR(INDEX([9]Sheet1!$C:$C, MATCH(A55,[9]Sheet1!$B:$B, 0)) * 积分!AX55*'系数（护理）'!C8, "--")</f>
        <v>0</v>
      </c>
      <c r="BB55" s="2">
        <f>IFERROR(INDEX([9]Sheet1!$D:$D, MATCH(A55,[9]Sheet1!$B:$B, 0)) * 积分!AY55*'系数（护理）'!B8, "--")</f>
        <v>0</v>
      </c>
      <c r="BC55" s="2">
        <f>IFERROR(INDEX([9]Sheet1!$I:$I, MATCH(A55,[9]Sheet1!$B:$B, 0)) * 积分!AZ55* '系数（护理）'!L8, "--")</f>
        <v>19413.960029999998</v>
      </c>
    </row>
    <row r="56" spans="1:55" ht="17.399999999999999" x14ac:dyDescent="0.25">
      <c r="A56" s="8" t="s">
        <v>149</v>
      </c>
      <c r="B56" s="4">
        <f>ROUND(AK56+AL56+AM56+AN56+AO56+AP56+AS56 + AT56 + AU56 + AV56 + AW56 + AX56 + AY56 + AZ56 + BA56 + BB56 + BC56,3)</f>
        <v>68336.872000000003</v>
      </c>
      <c r="C56" s="4">
        <v>0</v>
      </c>
      <c r="D56" s="4">
        <v>0</v>
      </c>
      <c r="E56" s="4">
        <v>0</v>
      </c>
      <c r="F56" s="7" t="s">
        <v>119</v>
      </c>
      <c r="G56" s="7" t="s">
        <v>119</v>
      </c>
      <c r="H56" s="7" t="s">
        <v>119</v>
      </c>
      <c r="I56" s="7" t="s">
        <v>119</v>
      </c>
      <c r="J56" s="7" t="s">
        <v>119</v>
      </c>
      <c r="K56" s="7" t="s">
        <v>119</v>
      </c>
      <c r="L56" s="7" t="s">
        <v>119</v>
      </c>
      <c r="M56" s="7" t="s">
        <v>119</v>
      </c>
      <c r="N56" s="7" t="s">
        <v>119</v>
      </c>
      <c r="O56" s="7" t="s">
        <v>119</v>
      </c>
      <c r="P56" s="7" t="s">
        <v>119</v>
      </c>
      <c r="Q56" s="7" t="s">
        <v>119</v>
      </c>
      <c r="R56" s="7" t="s">
        <v>119</v>
      </c>
      <c r="S56" s="7" t="s">
        <v>119</v>
      </c>
      <c r="T56" s="7" t="s">
        <v>119</v>
      </c>
      <c r="U56" s="7" t="s">
        <v>119</v>
      </c>
      <c r="V56" s="7" t="s">
        <v>119</v>
      </c>
      <c r="W56" s="7" t="s">
        <v>119</v>
      </c>
      <c r="X56" s="7" t="s">
        <v>119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119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119</v>
      </c>
      <c r="AD56" s="7" t="s">
        <v>119</v>
      </c>
      <c r="AE56" s="7" t="s">
        <v>119</v>
      </c>
      <c r="AF56" s="7" t="s">
        <v>119</v>
      </c>
      <c r="AG56" s="7" t="s">
        <v>119</v>
      </c>
      <c r="AH56" s="7" t="s">
        <v>119</v>
      </c>
      <c r="AI56" s="7" t="s">
        <v>119</v>
      </c>
      <c r="AJ56" s="7" t="s">
        <v>119</v>
      </c>
      <c r="AK56" s="7">
        <f>IFERROR(INDEX([4]Sheet1!$AE:$AE, MATCH(A56,[4]Sheet1!$AN:$AN, 0)) * 积分!AC56*'系数（护理）'!M9, "--")</f>
        <v>5287.8</v>
      </c>
      <c r="AL56" s="7">
        <f>IFERROR(INDEX([4]Sheet1!$AF:$AF, MATCH(A56,[4]Sheet1!$AN:$AN, 0)) * 积分!AD56*'系数（护理）'!N9, "--")</f>
        <v>163.85999999999999</v>
      </c>
      <c r="AM56" s="7">
        <f>IFERROR(INDEX([4]Sheet1!$AG:$AG, MATCH(A56,[4]Sheet1!$AN:$AN, 0)) * 积分!AE56*'系数（护理）'!O9, "--")</f>
        <v>0</v>
      </c>
      <c r="AN56" s="7">
        <f>IFERROR(INDEX([4]Sheet1!$AH:$AH, MATCH(A56,[4]Sheet1!$AN:$AN, 0)) * 积分!AF56*'系数（护理）'!P9, "--")</f>
        <v>0</v>
      </c>
      <c r="AO56" s="7">
        <f>IFERROR(INDEX([4]Sheet1!$AI:$AI, MATCH(A56,[4]Sheet1!$AN:$AN, 0)) * 积分!AG56*'系数（护理）'!Q9, "--")</f>
        <v>0</v>
      </c>
      <c r="AP56" s="7">
        <f>IFERROR(INDEX([4]Sheet1!$AJ:$AJ, MATCH(A56,[4]Sheet1!$AN:$AN, 0)) * 积分!AH56*'系数（护理）'!R9, "--")</f>
        <v>0</v>
      </c>
      <c r="AQ56" s="7" t="s">
        <v>119</v>
      </c>
      <c r="AR56" s="7" t="s">
        <v>119</v>
      </c>
      <c r="AS56" s="7">
        <f>IFERROR(INDEX([4]Sheet1!$Y:$Y, MATCH(A56,[4]Sheet1!$AN:$AN, 0)) * 积分!AP56*'系数（护理）'!K9, "--")</f>
        <v>0</v>
      </c>
      <c r="AT56" s="4">
        <v>-2187.44</v>
      </c>
      <c r="AU56" s="4">
        <f>IFERROR(INDEX([4]Sheet1!$AL:$AL, MATCH(A56,[4]Sheet1!$AN:$AN, 0)) * 积分!AR56*'系数（护理）'!I9, "--")</f>
        <v>38589.440000000002</v>
      </c>
      <c r="AV56" s="4">
        <f>IFERROR(INDEX([9]Sheet1!$H:$H, MATCH(A56,[9]Sheet1!$B:$B, 0)) * 积分!AS56*'系数（护理）'!H9, "--")</f>
        <v>0</v>
      </c>
      <c r="AW56" s="4">
        <f>IFERROR(INDEX([4]Sheet1!$AK:$AK, MATCH(A56,[4]Sheet1!$AN:$AN, 0)) * 积分!AT56*'系数（护理）'!G9, "--")</f>
        <v>1000</v>
      </c>
      <c r="AX56" s="4">
        <f>IFERROR(INDEX([9]Sheet1!$G:$G, MATCH(A56,[9]Sheet1!$B:$B, 0)) * 积分!AU56*'系数（护理）'!F9, "--")</f>
        <v>6224.85</v>
      </c>
      <c r="AY56" s="4">
        <f>IFERROR(INDEX([9]Sheet1!$F:$F, MATCH(A56,[9]Sheet1!$B:$B, 0)) * 积分!AV56*'系数（护理）'!E9, "--")</f>
        <v>7616</v>
      </c>
      <c r="AZ56" s="4">
        <f>IFERROR(INDEX([9]Sheet1!$E:$E, MATCH(A56,[9]Sheet1!$B:$B, 0)) * 积分!AW56*'系数（护理）'!D9, "--")</f>
        <v>99</v>
      </c>
      <c r="BA56" s="4">
        <f>IFERROR(INDEX([9]Sheet1!$C:$C, MATCH(A56,[9]Sheet1!$B:$B, 0)) * 积分!AX56*'系数（护理）'!C9, "--")</f>
        <v>0</v>
      </c>
      <c r="BB56" s="4">
        <f>IFERROR(INDEX([9]Sheet1!$D:$D, MATCH(A56,[9]Sheet1!$B:$B, 0)) * 积分!AY56*'系数（护理）'!B9, "--")</f>
        <v>0</v>
      </c>
      <c r="BC56" s="4">
        <f>IFERROR(INDEX([9]Sheet1!$I:$I, MATCH(A56,[9]Sheet1!$B:$B, 0)) * 积分!AZ56 * '系数（护理）'!L9, "--")</f>
        <v>11543.36184</v>
      </c>
    </row>
    <row r="57" spans="1:55" ht="17.399999999999999" x14ac:dyDescent="0.25">
      <c r="A57" s="5" t="s">
        <v>148</v>
      </c>
      <c r="B57" s="2">
        <f t="shared" si="6"/>
        <v>105973.90399999999</v>
      </c>
      <c r="C57" s="2">
        <v>0</v>
      </c>
      <c r="D57" s="2">
        <v>0</v>
      </c>
      <c r="E57" s="2">
        <v>0</v>
      </c>
      <c r="F57" s="12" t="s">
        <v>119</v>
      </c>
      <c r="G57" s="12" t="s">
        <v>119</v>
      </c>
      <c r="H57" s="12" t="s">
        <v>119</v>
      </c>
      <c r="I57" s="12" t="s">
        <v>119</v>
      </c>
      <c r="J57" s="12" t="s">
        <v>119</v>
      </c>
      <c r="K57" s="12" t="s">
        <v>119</v>
      </c>
      <c r="L57" s="12" t="s">
        <v>119</v>
      </c>
      <c r="M57" s="12" t="s">
        <v>119</v>
      </c>
      <c r="N57" s="12" t="s">
        <v>119</v>
      </c>
      <c r="O57" s="12" t="s">
        <v>119</v>
      </c>
      <c r="P57" s="12" t="s">
        <v>119</v>
      </c>
      <c r="Q57" s="12" t="s">
        <v>119</v>
      </c>
      <c r="R57" s="12" t="s">
        <v>119</v>
      </c>
      <c r="S57" s="12" t="s">
        <v>119</v>
      </c>
      <c r="T57" s="12" t="s">
        <v>119</v>
      </c>
      <c r="U57" s="12" t="s">
        <v>119</v>
      </c>
      <c r="V57" s="12" t="s">
        <v>119</v>
      </c>
      <c r="W57" s="12" t="s">
        <v>119</v>
      </c>
      <c r="X57" s="12" t="s">
        <v>119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119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119</v>
      </c>
      <c r="AD57" s="12" t="s">
        <v>119</v>
      </c>
      <c r="AE57" s="12" t="s">
        <v>119</v>
      </c>
      <c r="AF57" s="12" t="s">
        <v>119</v>
      </c>
      <c r="AG57" s="12" t="s">
        <v>119</v>
      </c>
      <c r="AH57" s="12" t="s">
        <v>119</v>
      </c>
      <c r="AI57" s="12" t="s">
        <v>119</v>
      </c>
      <c r="AJ57" s="12" t="s">
        <v>119</v>
      </c>
      <c r="AK57" s="12">
        <f>IFERROR(INDEX([4]Sheet1!$AE:$AE, MATCH(A57,[4]Sheet1!$AN:$AN, 0)) * 积分!AC57*'系数（护理）'!M10, "--")</f>
        <v>9067.52</v>
      </c>
      <c r="AL57" s="12">
        <f>IFERROR(INDEX([4]Sheet1!$AF:$AF, MATCH(A57,[4]Sheet1!$AN:$AN, 0)) * 积分!AD57*'系数（护理）'!N10, "--")</f>
        <v>2175.89</v>
      </c>
      <c r="AM57" s="12">
        <f>IFERROR(INDEX([4]Sheet1!$AG:$AG, MATCH(A57,[4]Sheet1!$AN:$AN, 0)) * 积分!AE57*'系数（护理）'!O10, "--")</f>
        <v>0</v>
      </c>
      <c r="AN57" s="12">
        <f>IFERROR(INDEX([4]Sheet1!$AH:$AH, MATCH(A57,[4]Sheet1!$AN:$AN, 0)) * 积分!AF57*'系数（护理）'!P10, "--")</f>
        <v>0</v>
      </c>
      <c r="AO57" s="12">
        <f>IFERROR(INDEX([4]Sheet1!$AI:$AI, MATCH(A57,[4]Sheet1!$AN:$AN, 0)) * 积分!AG57*'系数（护理）'!Q10, "--")</f>
        <v>0</v>
      </c>
      <c r="AP57" s="12">
        <f>IFERROR(INDEX([4]Sheet1!$AJ:$AJ, MATCH(A57,[4]Sheet1!$AN:$AN, 0)) * 积分!AH57*'系数（护理）'!R10, "--")</f>
        <v>0</v>
      </c>
      <c r="AQ57" s="12" t="s">
        <v>119</v>
      </c>
      <c r="AR57" s="12" t="s">
        <v>119</v>
      </c>
      <c r="AS57" s="12">
        <f>IFERROR(INDEX([4]Sheet1!$Y:$Y, MATCH(A57,[4]Sheet1!$AN:$AN, 0)) * 积分!AP57*'系数（护理）'!K10, "--")</f>
        <v>0</v>
      </c>
      <c r="AT57" s="2">
        <v>-3396.69</v>
      </c>
      <c r="AU57" s="2">
        <f>IFERROR(INDEX([4]Sheet1!$AL:$AL, MATCH(A57,[4]Sheet1!$AN:$AN, 0)) * 积分!AR57*'系数（护理）'!I10, "--")</f>
        <v>58442.399999999994</v>
      </c>
      <c r="AV57" s="2">
        <f>IFERROR(INDEX([9]Sheet1!$H:$H, MATCH(A57,[9]Sheet1!$B:$B, 0)) * 积分!AS57*'系数（护理）'!H10, "--")</f>
        <v>0</v>
      </c>
      <c r="AW57" s="2">
        <f>IFERROR(INDEX([4]Sheet1!$AK:$AK, MATCH(A57,[4]Sheet1!$AN:$AN, 0)) * 积分!AT57*'系数（护理）'!G10, "--")</f>
        <v>1840</v>
      </c>
      <c r="AX57" s="2">
        <f>IFERROR(INDEX([9]Sheet1!$G:$G, MATCH(A57,[9]Sheet1!$B:$B, 0)) * 积分!AU57*'系数（护理）'!F10, "--")</f>
        <v>13034.25</v>
      </c>
      <c r="AY57" s="2">
        <f>IFERROR(INDEX([9]Sheet1!$F:$F, MATCH(A57,[9]Sheet1!$B:$B, 0)) * 积分!AV57*'系数（护理）'!E10, "--")</f>
        <v>8872</v>
      </c>
      <c r="AZ57" s="2">
        <f>IFERROR(INDEX([9]Sheet1!$E:$E, MATCH(A57,[9]Sheet1!$B:$B, 0)) * 积分!AW57*'系数（护理）'!D10, "--")</f>
        <v>11</v>
      </c>
      <c r="BA57" s="2">
        <f>IFERROR(INDEX([9]Sheet1!$C:$C, MATCH(A57,[9]Sheet1!$B:$B, 0)) * 积分!AX57*'系数（护理）'!C10, "--")</f>
        <v>0</v>
      </c>
      <c r="BB57" s="2">
        <f>IFERROR(INDEX([9]Sheet1!$D:$D, MATCH(A57,[9]Sheet1!$B:$B, 0)) * 积分!AY57*'系数（护理）'!B10, "--")</f>
        <v>0</v>
      </c>
      <c r="BC57" s="2">
        <f>IFERROR(INDEX([9]Sheet1!$I:$I, MATCH(A57,[9]Sheet1!$B:$B, 0)) * 积分!AZ57* '系数（护理）'!L10, "--")</f>
        <v>15927.534040000002</v>
      </c>
    </row>
    <row r="58" spans="1:55" ht="17.399999999999999" x14ac:dyDescent="0.25">
      <c r="A58" s="8" t="s">
        <v>151</v>
      </c>
      <c r="B58" s="4">
        <f t="shared" si="6"/>
        <v>90916.97</v>
      </c>
      <c r="C58" s="4">
        <v>0</v>
      </c>
      <c r="D58" s="4">
        <v>0</v>
      </c>
      <c r="E58" s="4">
        <v>0</v>
      </c>
      <c r="F58" s="7" t="s">
        <v>119</v>
      </c>
      <c r="G58" s="7" t="s">
        <v>119</v>
      </c>
      <c r="H58" s="7" t="s">
        <v>119</v>
      </c>
      <c r="I58" s="7" t="s">
        <v>119</v>
      </c>
      <c r="J58" s="7" t="s">
        <v>119</v>
      </c>
      <c r="K58" s="7" t="s">
        <v>119</v>
      </c>
      <c r="L58" s="7" t="s">
        <v>119</v>
      </c>
      <c r="M58" s="7" t="s">
        <v>119</v>
      </c>
      <c r="N58" s="7" t="s">
        <v>119</v>
      </c>
      <c r="O58" s="7" t="s">
        <v>119</v>
      </c>
      <c r="P58" s="7" t="s">
        <v>119</v>
      </c>
      <c r="Q58" s="7" t="s">
        <v>119</v>
      </c>
      <c r="R58" s="7" t="s">
        <v>119</v>
      </c>
      <c r="S58" s="7" t="s">
        <v>119</v>
      </c>
      <c r="T58" s="7" t="s">
        <v>119</v>
      </c>
      <c r="U58" s="7" t="s">
        <v>119</v>
      </c>
      <c r="V58" s="7" t="s">
        <v>119</v>
      </c>
      <c r="W58" s="7" t="s">
        <v>119</v>
      </c>
      <c r="X58" s="7" t="s">
        <v>119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119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119</v>
      </c>
      <c r="AD58" s="7" t="s">
        <v>119</v>
      </c>
      <c r="AE58" s="7" t="s">
        <v>119</v>
      </c>
      <c r="AF58" s="7" t="s">
        <v>119</v>
      </c>
      <c r="AG58" s="7" t="s">
        <v>119</v>
      </c>
      <c r="AH58" s="7" t="s">
        <v>119</v>
      </c>
      <c r="AI58" s="7" t="s">
        <v>119</v>
      </c>
      <c r="AJ58" s="7" t="s">
        <v>119</v>
      </c>
      <c r="AK58" s="7">
        <f>IFERROR(INDEX([4]Sheet1!$AE:$AE, MATCH("妇瘤二科护理",[4]Sheet1!$AN:$AN, 0)) * 积分!AD58*'系数（护理）'!M11, "--")</f>
        <v>907.28000000000009</v>
      </c>
      <c r="AL58" s="7">
        <f>IFERROR(INDEX([4]Sheet1!$AF:$AF, MATCH("妇瘤二科护理",[4]Sheet1!$AN:$AN, 0)) * 积分!AF58*'系数（护理）'!N11, "--")</f>
        <v>874.9</v>
      </c>
      <c r="AM58" s="7">
        <f>IFERROR(INDEX([4]Sheet1!$AE:$AE, MATCH("骨与软组织二科护理",[4]Sheet1!$AN:$AN, 0)) * 积分!AC58*'系数（护理）'!N11, "--")</f>
        <v>56.6</v>
      </c>
      <c r="AN58" s="7">
        <f>IFERROR(INDEX([4]Sheet1!$AF:$AF, MATCH("骨与软组织二科护理",[4]Sheet1!$AN:$AN, 0)) * 积分!AE58*'系数（护理）'!N11, "--")</f>
        <v>388.44</v>
      </c>
      <c r="AO58" s="7">
        <v>0</v>
      </c>
      <c r="AP58" s="7">
        <v>0</v>
      </c>
      <c r="AQ58" s="7" t="s">
        <v>119</v>
      </c>
      <c r="AR58" s="7" t="s">
        <v>119</v>
      </c>
      <c r="AS58" s="7">
        <f>IFERROR((INDEX([4]Sheet1!$Y:$Y, MATCH("骨与软组织二科护理",[4]Sheet1!$AN:$AN, 0)) +INDEX([4]Sheet1!$Y:$Y, MATCH("妇瘤二科护理",[4]Sheet1!$AN:$AN, 0)))* 积分!AP58*'系数（护理）'!K11, "--")</f>
        <v>780</v>
      </c>
      <c r="AT58" s="4">
        <v>-15014.55</v>
      </c>
      <c r="AU58" s="4">
        <f>IFERROR((INDEX([4]Sheet1!$AL:$AL, MATCH("骨与软组织二科护理",[4]Sheet1!$AN:$AN, 0)) +INDEX([4]Sheet1!$AL:$AL, MATCH("妇瘤二科护理",[4]Sheet1!$AN:$AN, 0)))* 积分!AR58*'系数（护理）'!I11, "--")</f>
        <v>56247.360000000001</v>
      </c>
      <c r="AV58" s="4">
        <f>IFERROR(INDEX([9]Sheet1!$H:$H, MATCH(A58,[9]Sheet1!$B:$B, 0)) * 积分!AS58*'系数（护理）'!H11, "--")</f>
        <v>0</v>
      </c>
      <c r="AW58" s="4">
        <f>IFERROR((INDEX([4]Sheet1!$AK:$AK, MATCH("骨与软组织二科护理",[4]Sheet1!$AN:$AN, 0)) +INDEX([4]Sheet1!$AK:$AK, MATCH("妇瘤二科护理",[4]Sheet1!$AN:$AN, 0)))* 积分!AT51*'系数（护理）'!G11, "--")</f>
        <v>440</v>
      </c>
      <c r="AX58" s="4">
        <f>IFERROR(INDEX([9]Sheet1!$G:$G, MATCH(A58,[9]Sheet1!$B:$B, 0)) * 积分!AU58*'系数（护理）'!F11, "--")</f>
        <v>15822.000000000002</v>
      </c>
      <c r="AY58" s="4">
        <f>IFERROR(INDEX([9]Sheet1!$F:$F, MATCH(A58,[9]Sheet1!$B:$B, 0)) * 积分!AV58*'系数（护理）'!E11, "--")</f>
        <v>10744</v>
      </c>
      <c r="AZ58" s="4">
        <f>IFERROR(INDEX([9]Sheet1!$E:$E, MATCH(A58,[9]Sheet1!$B:$B, 0)) * 积分!AW58*'系数（护理）'!D11, "--")</f>
        <v>1408</v>
      </c>
      <c r="BA58" s="4">
        <f>IFERROR(INDEX([9]Sheet1!$C:$C, MATCH(A58,[9]Sheet1!$B:$B, 0)) * 积分!AX58*'系数（护理）'!C11, "--")</f>
        <v>0</v>
      </c>
      <c r="BB58" s="4">
        <f>IFERROR(INDEX([9]Sheet1!$D:$D, MATCH(A58,[9]Sheet1!$B:$B, 0)) * 积分!AY58*'系数（护理）'!B11, "--")</f>
        <v>0</v>
      </c>
      <c r="BC58" s="4">
        <f>IFERROR(INDEX([9]Sheet1!$I:$I, MATCH(A58,[9]Sheet1!$B:$B, 0)) * 积分!AZ58 * '系数（护理）'!L11, "--")</f>
        <v>18262.940399999999</v>
      </c>
    </row>
    <row r="59" spans="1:55" ht="17.399999999999999" x14ac:dyDescent="0.25">
      <c r="A59" s="5" t="s">
        <v>178</v>
      </c>
      <c r="B59" s="2">
        <f t="shared" si="6"/>
        <v>97602.074999999997</v>
      </c>
      <c r="C59" s="2">
        <v>0</v>
      </c>
      <c r="D59" s="2">
        <v>0</v>
      </c>
      <c r="E59" s="2">
        <v>0</v>
      </c>
      <c r="F59" s="12" t="s">
        <v>119</v>
      </c>
      <c r="G59" s="12" t="s">
        <v>119</v>
      </c>
      <c r="H59" s="12" t="s">
        <v>119</v>
      </c>
      <c r="I59" s="12" t="s">
        <v>119</v>
      </c>
      <c r="J59" s="12" t="s">
        <v>119</v>
      </c>
      <c r="K59" s="12" t="s">
        <v>119</v>
      </c>
      <c r="L59" s="12" t="s">
        <v>119</v>
      </c>
      <c r="M59" s="12" t="s">
        <v>119</v>
      </c>
      <c r="N59" s="12" t="s">
        <v>119</v>
      </c>
      <c r="O59" s="12" t="s">
        <v>119</v>
      </c>
      <c r="P59" s="12" t="s">
        <v>119</v>
      </c>
      <c r="Q59" s="12" t="s">
        <v>119</v>
      </c>
      <c r="R59" s="12" t="s">
        <v>119</v>
      </c>
      <c r="S59" s="12" t="s">
        <v>119</v>
      </c>
      <c r="T59" s="12" t="s">
        <v>119</v>
      </c>
      <c r="U59" s="12" t="s">
        <v>119</v>
      </c>
      <c r="V59" s="12" t="s">
        <v>119</v>
      </c>
      <c r="W59" s="12" t="s">
        <v>119</v>
      </c>
      <c r="X59" s="12" t="s">
        <v>119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119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119</v>
      </c>
      <c r="AD59" s="12" t="s">
        <v>119</v>
      </c>
      <c r="AE59" s="12" t="s">
        <v>119</v>
      </c>
      <c r="AF59" s="12" t="s">
        <v>119</v>
      </c>
      <c r="AG59" s="12" t="s">
        <v>119</v>
      </c>
      <c r="AH59" s="12" t="s">
        <v>119</v>
      </c>
      <c r="AI59" s="12" t="s">
        <v>119</v>
      </c>
      <c r="AJ59" s="12" t="s">
        <v>119</v>
      </c>
      <c r="AK59" s="12">
        <f>IFERROR(INDEX([4]Sheet1!$AE:$AE, MATCH(A59,[4]Sheet1!$AN:$AN, 0)) * 积分!AC59*'系数（护理）'!M12, "--")</f>
        <v>8312.8799999999992</v>
      </c>
      <c r="AL59" s="12">
        <f>IFERROR(INDEX([4]Sheet1!$AF:$AF, MATCH(A59,[4]Sheet1!$AN:$AN, 0)) * 积分!AD59*'系数（护理）'!N12, "--")</f>
        <v>1008.24</v>
      </c>
      <c r="AM59" s="12">
        <f>IFERROR(INDEX([4]Sheet1!$AG:$AG, MATCH(A59,[4]Sheet1!$AN:$AN, 0)) * 积分!AE59*'系数（护理）'!O12, "--")</f>
        <v>0</v>
      </c>
      <c r="AN59" s="12">
        <f>IFERROR(INDEX([4]Sheet1!$AH:$AH, MATCH(A59,[4]Sheet1!$AN:$AN, 0)) * 积分!AF59*'系数（护理）'!P12, "--")</f>
        <v>0</v>
      </c>
      <c r="AO59" s="12">
        <f>IFERROR(INDEX([4]Sheet1!$AI:$AI, MATCH(A59,[4]Sheet1!$AN:$AN, 0)) * 积分!AG59*'系数（护理）'!Q12, "--")</f>
        <v>0</v>
      </c>
      <c r="AP59" s="12">
        <f>IFERROR(INDEX([4]Sheet1!$AJ:$AJ, MATCH(A59,[4]Sheet1!$AN:$AN, 0)) * 积分!AH59*'系数（护理）'!R12, "--")</f>
        <v>0</v>
      </c>
      <c r="AQ59" s="12" t="s">
        <v>119</v>
      </c>
      <c r="AR59" s="12" t="s">
        <v>119</v>
      </c>
      <c r="AS59" s="12">
        <f>IFERROR(INDEX([4]Sheet1!$Y:$Y, MATCH(A59,[4]Sheet1!$AN:$AN, 0)) * 积分!AP59*'系数（护理）'!K12, "--")</f>
        <v>0</v>
      </c>
      <c r="AT59" s="2">
        <v>15277.11</v>
      </c>
      <c r="AU59" s="2">
        <f>IFERROR(INDEX([4]Sheet1!$AL:$AL, MATCH(A59,[4]Sheet1!$AN:$AN, 0)) * 积分!AR59*'系数（护理）'!I12, "--")</f>
        <v>37257.199999999997</v>
      </c>
      <c r="AV59" s="2">
        <f>IFERROR(INDEX([9]Sheet1!$H:$H, MATCH(A59,[9]Sheet1!$B:$B, 0)) * 积分!AS59*'系数（护理）'!H12, "--")</f>
        <v>0</v>
      </c>
      <c r="AW59" s="2">
        <f>IFERROR(INDEX([4]Sheet1!$AK:$AK, MATCH(A59,[4]Sheet1!$AN:$AN, 0)) * 积分!AT59*'系数（护理）'!G12, "--")</f>
        <v>1180</v>
      </c>
      <c r="AX59" s="2">
        <f>IFERROR(INDEX([9]Sheet1!$G:$G, MATCH(A59,[9]Sheet1!$B:$B, 0)) * 积分!AU59*'系数（护理）'!F12, "--")</f>
        <v>25304.400000000001</v>
      </c>
      <c r="AY59" s="2">
        <f>IFERROR(INDEX([9]Sheet1!$F:$F, MATCH(A59,[9]Sheet1!$B:$B, 0)) * 积分!AV59*'系数（护理）'!E12, "--")</f>
        <v>8072</v>
      </c>
      <c r="AZ59" s="2">
        <f>IFERROR(INDEX([9]Sheet1!$E:$E, MATCH(A59,[9]Sheet1!$B:$B, 0)) * 积分!AW59*'系数（护理）'!D12, "--")</f>
        <v>88</v>
      </c>
      <c r="BA59" s="2">
        <f>IFERROR(INDEX([9]Sheet1!$C:$C, MATCH(A59,[9]Sheet1!$B:$B, 0)) * 积分!AX59*'系数（护理）'!C12, "--")</f>
        <v>0</v>
      </c>
      <c r="BB59" s="2">
        <f>IFERROR(INDEX([9]Sheet1!$D:$D, MATCH(A59,[9]Sheet1!$B:$B, 0)) * 积分!AY59*'系数（护理）'!B12, "--")</f>
        <v>0</v>
      </c>
      <c r="BC59" s="2">
        <f>IFERROR(INDEX([9]Sheet1!$I:$I, MATCH(A59,[9]Sheet1!$B:$B, 0)) * 积分!AZ59* '系数（护理）'!L12, "--")</f>
        <v>1102.2453</v>
      </c>
    </row>
    <row r="60" spans="1:55" ht="17.399999999999999" x14ac:dyDescent="0.25">
      <c r="A60" s="8" t="s">
        <v>150</v>
      </c>
      <c r="B60" s="4">
        <f t="shared" si="6"/>
        <v>139015.06200000001</v>
      </c>
      <c r="C60" s="4">
        <v>0</v>
      </c>
      <c r="D60" s="4">
        <v>0</v>
      </c>
      <c r="E60" s="4">
        <v>0</v>
      </c>
      <c r="F60" s="7" t="s">
        <v>119</v>
      </c>
      <c r="G60" s="7" t="s">
        <v>119</v>
      </c>
      <c r="H60" s="7" t="s">
        <v>119</v>
      </c>
      <c r="I60" s="7" t="s">
        <v>119</v>
      </c>
      <c r="J60" s="7" t="s">
        <v>119</v>
      </c>
      <c r="K60" s="7" t="s">
        <v>119</v>
      </c>
      <c r="L60" s="7" t="s">
        <v>119</v>
      </c>
      <c r="M60" s="7" t="s">
        <v>119</v>
      </c>
      <c r="N60" s="7" t="s">
        <v>119</v>
      </c>
      <c r="O60" s="7" t="s">
        <v>119</v>
      </c>
      <c r="P60" s="7" t="s">
        <v>119</v>
      </c>
      <c r="Q60" s="7" t="s">
        <v>119</v>
      </c>
      <c r="R60" s="7" t="s">
        <v>119</v>
      </c>
      <c r="S60" s="7" t="s">
        <v>119</v>
      </c>
      <c r="T60" s="7" t="s">
        <v>119</v>
      </c>
      <c r="U60" s="7" t="s">
        <v>119</v>
      </c>
      <c r="V60" s="7" t="s">
        <v>119</v>
      </c>
      <c r="W60" s="7" t="s">
        <v>119</v>
      </c>
      <c r="X60" s="7" t="s">
        <v>119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119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119</v>
      </c>
      <c r="AD60" s="7" t="s">
        <v>119</v>
      </c>
      <c r="AE60" s="7" t="s">
        <v>119</v>
      </c>
      <c r="AF60" s="7" t="s">
        <v>119</v>
      </c>
      <c r="AG60" s="7" t="s">
        <v>119</v>
      </c>
      <c r="AH60" s="7" t="s">
        <v>119</v>
      </c>
      <c r="AI60" s="7" t="s">
        <v>119</v>
      </c>
      <c r="AJ60" s="7" t="s">
        <v>119</v>
      </c>
      <c r="AK60" s="7">
        <f>IFERROR(INDEX([4]Sheet1!$AF:$AF, MATCH("肝胆胰肿瘤外科护理",[4]Sheet1!$AN:$AN, 0)) * 积分!AF60*'系数（护理）'!M13, "--")</f>
        <v>4160.24</v>
      </c>
      <c r="AL60" s="7">
        <f>IFERROR(INDEX([4]Sheet1!$AE:$AE, MATCH("肝胆胰肿瘤外科护理",[4]Sheet1!$AN:$AN, 0)) * 积分!AD60*'系数（护理）'!N13, "--")</f>
        <v>2389.56</v>
      </c>
      <c r="AM60" s="7">
        <f>IFERROR(INDEX([4]Sheet1!$AE:$AE, MATCH("泌尿外科护理",[4]Sheet1!$AN:$AN, 0)) * 积分!AC60*'系数（护理）'!O13, "--")</f>
        <v>1189.3500000000001</v>
      </c>
      <c r="AN60" s="7">
        <f>IFERROR(INDEX([4]Sheet1!$AF:$AF, MATCH("泌尿外科护理",[4]Sheet1!$AN:$AN, 0)) * 积分!AE60*'系数（护理）'!P13, "--")</f>
        <v>409.53</v>
      </c>
      <c r="AO60" s="7">
        <v>0</v>
      </c>
      <c r="AP60" s="7">
        <v>0</v>
      </c>
      <c r="AQ60" s="7" t="s">
        <v>119</v>
      </c>
      <c r="AR60" s="7" t="s">
        <v>119</v>
      </c>
      <c r="AS60" s="7">
        <f>IFERROR((INDEX([4]Sheet1!$Y:$Y, MATCH("肝胆胰肿瘤外科护理",[4]Sheet1!$AN:$AN, 0)) +INDEX([4]Sheet1!$Y:$Y, MATCH("泌尿外科护理",[4]Sheet1!$AN:$AN, 0)))* 积分!AP60*'系数（护理）'!K13, "--")</f>
        <v>910</v>
      </c>
      <c r="AT60" s="4">
        <v>-3396.69</v>
      </c>
      <c r="AU60" s="4">
        <f>IFERROR((INDEX([4]Sheet1!$AL:$AL, MATCH("肝胆胰肿瘤外科护理",[4]Sheet1!$AN:$AN, 0)) +INDEX([4]Sheet1!$AL:$AL, MATCH("泌尿外科护理",[4]Sheet1!$AN:$AN, 0)))* 积分!AR60*'系数（护理）'!I13, "--")</f>
        <v>79945.2</v>
      </c>
      <c r="AV60" s="4">
        <f>IFERROR(INDEX([9]Sheet1!$H:$H, MATCH(A60,[9]Sheet1!$B:$B, 0)) * 积分!AS60*'系数（护理）'!H13, "--")</f>
        <v>0</v>
      </c>
      <c r="AW60" s="4">
        <f>IFERROR((INDEX([4]Sheet1!$AK:$AK, MATCH("肝胆胰肿瘤外科护理",[4]Sheet1!$AN:$AN, 0)) +INDEX([4]Sheet1!$AK:$AK, MATCH("泌尿外科护理",[4]Sheet1!$AN:$AN, 0)))* 积分!AT51*'系数（护理）'!G13, "--")</f>
        <v>1200</v>
      </c>
      <c r="AX60" s="4">
        <f>IFERROR(INDEX([9]Sheet1!$G:$G, MATCH(A60,[9]Sheet1!$B:$B, 0)) * 积分!AU60*'系数（护理）'!F13, "--")</f>
        <v>19183.5</v>
      </c>
      <c r="AY60" s="4">
        <f>IFERROR(INDEX([9]Sheet1!$F:$F, MATCH(A60,[9]Sheet1!$B:$B, 0)) * 积分!AV60*'系数（护理）'!E13, "--")</f>
        <v>10512</v>
      </c>
      <c r="AZ60" s="4">
        <f>IFERROR(INDEX([9]Sheet1!$E:$E, MATCH(A60,[9]Sheet1!$B:$B, 0)) * 积分!AW60*'系数（护理）'!D13, "--")</f>
        <v>803</v>
      </c>
      <c r="BA60" s="4">
        <f>IFERROR(INDEX([9]Sheet1!$C:$C, MATCH(A60,[9]Sheet1!$B:$B, 0)) * 积分!AX60*'系数（护理）'!C13, "--")</f>
        <v>0</v>
      </c>
      <c r="BB60" s="4">
        <f>IFERROR(INDEX([9]Sheet1!$D:$D, MATCH(A60,[9]Sheet1!$B:$B, 0)) * 积分!AY60*'系数（护理）'!B13, "--")</f>
        <v>0</v>
      </c>
      <c r="BC60" s="4">
        <f>IFERROR(INDEX([9]Sheet1!$I:$I, MATCH(A60,[9]Sheet1!$B:$B, 0)) * 积分!AZ60 * '系数（护理）'!L13, "--")</f>
        <v>21709.372079999997</v>
      </c>
    </row>
    <row r="61" spans="1:55" ht="17.399999999999999" x14ac:dyDescent="0.25">
      <c r="A61" s="5" t="s">
        <v>146</v>
      </c>
      <c r="B61" s="2">
        <f t="shared" si="6"/>
        <v>76525.451000000001</v>
      </c>
      <c r="C61" s="2">
        <v>0</v>
      </c>
      <c r="D61" s="2">
        <v>0</v>
      </c>
      <c r="E61" s="2">
        <v>0</v>
      </c>
      <c r="F61" s="12" t="s">
        <v>119</v>
      </c>
      <c r="G61" s="12" t="s">
        <v>119</v>
      </c>
      <c r="H61" s="12" t="s">
        <v>119</v>
      </c>
      <c r="I61" s="12" t="s">
        <v>119</v>
      </c>
      <c r="J61" s="12" t="s">
        <v>119</v>
      </c>
      <c r="K61" s="12" t="s">
        <v>119</v>
      </c>
      <c r="L61" s="12" t="s">
        <v>119</v>
      </c>
      <c r="M61" s="12" t="s">
        <v>119</v>
      </c>
      <c r="N61" s="12" t="s">
        <v>119</v>
      </c>
      <c r="O61" s="12" t="s">
        <v>119</v>
      </c>
      <c r="P61" s="12" t="s">
        <v>119</v>
      </c>
      <c r="Q61" s="12" t="s">
        <v>119</v>
      </c>
      <c r="R61" s="12" t="s">
        <v>119</v>
      </c>
      <c r="S61" s="12" t="s">
        <v>119</v>
      </c>
      <c r="T61" s="12" t="s">
        <v>119</v>
      </c>
      <c r="U61" s="12" t="s">
        <v>119</v>
      </c>
      <c r="V61" s="12" t="s">
        <v>119</v>
      </c>
      <c r="W61" s="12" t="s">
        <v>119</v>
      </c>
      <c r="X61" s="12" t="s">
        <v>119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119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119</v>
      </c>
      <c r="AD61" s="12" t="s">
        <v>119</v>
      </c>
      <c r="AE61" s="12" t="s">
        <v>119</v>
      </c>
      <c r="AF61" s="12" t="s">
        <v>119</v>
      </c>
      <c r="AG61" s="12" t="s">
        <v>119</v>
      </c>
      <c r="AH61" s="12" t="s">
        <v>119</v>
      </c>
      <c r="AI61" s="12" t="s">
        <v>119</v>
      </c>
      <c r="AJ61" s="12" t="s">
        <v>119</v>
      </c>
      <c r="AK61" s="12">
        <f>IFERROR(INDEX([4]Sheet1!$AE:$AE, MATCH(A61,[4]Sheet1!$AN:$AN, 0)) * 积分!AC61*'系数（护理）'!M14, "--")</f>
        <v>2338.1800000000003</v>
      </c>
      <c r="AL61" s="12">
        <f>IFERROR(INDEX([4]Sheet1!$AF:$AF, MATCH(A61,[4]Sheet1!$AN:$AN, 0)) * 积分!AD61*'系数（护理）'!N14, "--")</f>
        <v>1229.25</v>
      </c>
      <c r="AM61" s="12">
        <f>IFERROR(INDEX([4]Sheet1!$AG:$AG, MATCH(A61,[4]Sheet1!$AN:$AN, 0)) * 积分!AE61*'系数（护理）'!O14, "--")</f>
        <v>0</v>
      </c>
      <c r="AN61" s="12">
        <f>IFERROR(INDEX([4]Sheet1!$AH:$AH, MATCH(A61,[4]Sheet1!$AN:$AN, 0)) * 积分!AF61*'系数（护理）'!P14, "--")</f>
        <v>0</v>
      </c>
      <c r="AO61" s="12">
        <f>IFERROR(INDEX([4]Sheet1!$AI:$AI, MATCH(A61,[4]Sheet1!$AN:$AN, 0)) * 积分!AG61*'系数（护理）'!Q14, "--")</f>
        <v>0</v>
      </c>
      <c r="AP61" s="12">
        <f>IFERROR(INDEX([4]Sheet1!$AJ:$AJ, MATCH(A61,[4]Sheet1!$AN:$AN, 0)) * 积分!AH61*'系数（护理）'!R14, "--")</f>
        <v>0</v>
      </c>
      <c r="AQ61" s="12" t="s">
        <v>119</v>
      </c>
      <c r="AR61" s="12" t="s">
        <v>119</v>
      </c>
      <c r="AS61" s="12">
        <f>IFERROR(INDEX([4]Sheet1!$Y:$Y, MATCH(A61,[4]Sheet1!$AN:$AN, 0)) * 积分!AP61*'系数（护理）'!K14, "--")</f>
        <v>0</v>
      </c>
      <c r="AT61" s="2">
        <v>-3394.71</v>
      </c>
      <c r="AU61" s="2">
        <f>IFERROR(INDEX([4]Sheet1!$AL:$AL, MATCH(A61,[4]Sheet1!$AN:$AN, 0)) * 积分!AR61*'系数（护理）'!I14, "--")</f>
        <v>39016.049999999996</v>
      </c>
      <c r="AV61" s="2">
        <f>IFERROR(INDEX([9]Sheet1!$H:$H, MATCH(A61,[9]Sheet1!$B:$B, 0)) * 积分!AS61*'系数（护理）'!H14, "--")</f>
        <v>0</v>
      </c>
      <c r="AW61" s="2">
        <f>IFERROR(INDEX([4]Sheet1!$AK:$AK, MATCH(A61,[4]Sheet1!$AN:$AN, 0)) * 积分!AT61*'系数（护理）'!G14, "--")</f>
        <v>880</v>
      </c>
      <c r="AX61" s="2">
        <f>IFERROR(INDEX([9]Sheet1!$G:$G, MATCH(A61,[9]Sheet1!$B:$B, 0)) * 积分!AU61*'系数（护理）'!F14, "--")</f>
        <v>15822.000000000002</v>
      </c>
      <c r="AY61" s="2">
        <f>IFERROR(INDEX([9]Sheet1!$F:$F, MATCH(A61,[9]Sheet1!$B:$B, 0)) * 积分!AV61*'系数（护理）'!E14, "--")</f>
        <v>7024</v>
      </c>
      <c r="AZ61" s="2">
        <f>IFERROR(INDEX([9]Sheet1!$E:$E, MATCH(A61,[9]Sheet1!$B:$B, 0)) * 积分!AW61*'系数（护理）'!D14, "--")</f>
        <v>0</v>
      </c>
      <c r="BA61" s="2">
        <f>IFERROR(INDEX([9]Sheet1!$C:$C, MATCH(A61,[9]Sheet1!$B:$B, 0)) * 积分!AX61*'系数（护理）'!C14, "--")</f>
        <v>0</v>
      </c>
      <c r="BB61" s="2">
        <f>IFERROR(INDEX([9]Sheet1!$D:$D, MATCH(A61,[9]Sheet1!$B:$B, 0)) * 积分!AY61*'系数（护理）'!B14, "--")</f>
        <v>0</v>
      </c>
      <c r="BC61" s="2">
        <f>IFERROR(INDEX([9]Sheet1!$I:$I, MATCH(A61,[9]Sheet1!$B:$B, 0)) * 积分!AZ61* '系数（护理）'!L14, "--")</f>
        <v>13610.681439999998</v>
      </c>
    </row>
    <row r="62" spans="1:55" ht="17.399999999999999" x14ac:dyDescent="0.25">
      <c r="A62" s="8" t="s">
        <v>152</v>
      </c>
      <c r="B62" s="4">
        <f t="shared" si="6"/>
        <v>89883.895000000004</v>
      </c>
      <c r="C62" s="4">
        <v>0</v>
      </c>
      <c r="D62" s="4">
        <v>0</v>
      </c>
      <c r="E62" s="4">
        <v>0</v>
      </c>
      <c r="F62" s="7" t="s">
        <v>119</v>
      </c>
      <c r="G62" s="7" t="s">
        <v>119</v>
      </c>
      <c r="H62" s="7" t="s">
        <v>119</v>
      </c>
      <c r="I62" s="7" t="s">
        <v>119</v>
      </c>
      <c r="J62" s="7" t="s">
        <v>119</v>
      </c>
      <c r="K62" s="7" t="s">
        <v>119</v>
      </c>
      <c r="L62" s="7" t="s">
        <v>119</v>
      </c>
      <c r="M62" s="7" t="s">
        <v>119</v>
      </c>
      <c r="N62" s="7" t="s">
        <v>119</v>
      </c>
      <c r="O62" s="7" t="s">
        <v>119</v>
      </c>
      <c r="P62" s="7" t="s">
        <v>119</v>
      </c>
      <c r="Q62" s="7" t="s">
        <v>119</v>
      </c>
      <c r="R62" s="7" t="s">
        <v>119</v>
      </c>
      <c r="S62" s="7" t="s">
        <v>119</v>
      </c>
      <c r="T62" s="7" t="s">
        <v>119</v>
      </c>
      <c r="U62" s="7" t="s">
        <v>119</v>
      </c>
      <c r="V62" s="7" t="s">
        <v>119</v>
      </c>
      <c r="W62" s="7" t="s">
        <v>119</v>
      </c>
      <c r="X62" s="7" t="s">
        <v>119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119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119</v>
      </c>
      <c r="AD62" s="7" t="s">
        <v>119</v>
      </c>
      <c r="AE62" s="7" t="s">
        <v>119</v>
      </c>
      <c r="AF62" s="7" t="s">
        <v>119</v>
      </c>
      <c r="AG62" s="7" t="s">
        <v>119</v>
      </c>
      <c r="AH62" s="7" t="s">
        <v>119</v>
      </c>
      <c r="AI62" s="7" t="s">
        <v>119</v>
      </c>
      <c r="AJ62" s="7" t="s">
        <v>119</v>
      </c>
      <c r="AK62" s="7">
        <f>IFERROR(INDEX([4]Sheet1!$AE:$AE, MATCH(A62,[4]Sheet1!$AN:$AN, 0)) * 积分!AC62*'系数（护理）'!M15, "--")</f>
        <v>1663.44</v>
      </c>
      <c r="AL62" s="7">
        <f>IFERROR(INDEX([4]Sheet1!$AF:$AF, MATCH(A62,[4]Sheet1!$AN:$AN, 0)) * 积分!AD62*'系数（护理）'!N15, "--")</f>
        <v>6445.83</v>
      </c>
      <c r="AM62" s="7">
        <f>IFERROR(INDEX([4]Sheet1!$AG:$AG, MATCH(A62,[4]Sheet1!$AN:$AN, 0)) * 积分!AE62*'系数（护理）'!O15, "--")</f>
        <v>0</v>
      </c>
      <c r="AN62" s="7">
        <f>IFERROR(INDEX([4]Sheet1!$AH:$AH, MATCH(A62,[4]Sheet1!$AN:$AN, 0)) * 积分!AF62*'系数（护理）'!P15, "--")</f>
        <v>0</v>
      </c>
      <c r="AO62" s="7">
        <f>IFERROR(INDEX([4]Sheet1!$AI:$AI, MATCH(A62,[4]Sheet1!$AN:$AN, 0)) * 积分!AG62*'系数（护理）'!Q15, "--")</f>
        <v>0</v>
      </c>
      <c r="AP62" s="7">
        <f>IFERROR(INDEX([4]Sheet1!$AJ:$AJ, MATCH(A62,[4]Sheet1!$AN:$AN, 0)) * 积分!AH62*'系数（护理）'!R15, "--")</f>
        <v>0</v>
      </c>
      <c r="AQ62" s="7" t="s">
        <v>119</v>
      </c>
      <c r="AR62" s="7" t="s">
        <v>119</v>
      </c>
      <c r="AS62" s="7">
        <f>IFERROR(INDEX([4]Sheet1!$Y:$Y, MATCH(A62,[4]Sheet1!$AN:$AN, 0)) * 积分!AP62*'系数（护理）'!K15, "--")</f>
        <v>845</v>
      </c>
      <c r="AT62" s="4">
        <v>-2986.78</v>
      </c>
      <c r="AU62" s="4">
        <f>IFERROR(INDEX([4]Sheet1!$AL:$AL, MATCH(A62,[4]Sheet1!$AN:$AN, 0)) * 积分!AR62*'系数（护理）'!I15, "--")</f>
        <v>53296.800000000003</v>
      </c>
      <c r="AV62" s="4">
        <f>IFERROR(INDEX([9]Sheet1!$H:$H, MATCH(A62,[9]Sheet1!$B:$B, 0)) * 积分!AS62*'系数（护理）'!H15, "--")</f>
        <v>0</v>
      </c>
      <c r="AW62" s="4">
        <f>IFERROR(INDEX([4]Sheet1!$AK:$AK, MATCH(A62,[4]Sheet1!$AN:$AN, 0)) * 积分!AT62*'系数（护理）'!G15, "--")</f>
        <v>620</v>
      </c>
      <c r="AX62" s="4">
        <f>IFERROR(INDEX([9]Sheet1!$G:$G, MATCH(A62,[9]Sheet1!$B:$B, 0)) * 积分!AU62*'系数（护理）'!F15, "--")</f>
        <v>7564.05</v>
      </c>
      <c r="AY62" s="4">
        <f>IFERROR(INDEX([9]Sheet1!$F:$F, MATCH(A62,[9]Sheet1!$B:$B, 0)) * 积分!AV62*'系数（护理）'!E15, "--")</f>
        <v>8624</v>
      </c>
      <c r="AZ62" s="4">
        <f>IFERROR(INDEX([9]Sheet1!$E:$E, MATCH(A62,[9]Sheet1!$B:$B, 0)) * 积分!AW62*'系数（护理）'!D15, "--")</f>
        <v>440</v>
      </c>
      <c r="BA62" s="4">
        <f>IFERROR(INDEX([9]Sheet1!$C:$C, MATCH(A62,[9]Sheet1!$B:$B, 0)) * 积分!AX62*'系数（护理）'!C15, "--")</f>
        <v>0</v>
      </c>
      <c r="BB62" s="4">
        <f>IFERROR(INDEX([9]Sheet1!$D:$D, MATCH(A62,[9]Sheet1!$B:$B, 0)) * 积分!AY62*'系数（护理）'!B15, "--")</f>
        <v>0</v>
      </c>
      <c r="BC62" s="4">
        <f>IFERROR(INDEX([9]Sheet1!$I:$I, MATCH(A62,[9]Sheet1!$B:$B, 0)) * 积分!AZ62 * '系数（护理）'!L15, "--")</f>
        <v>13371.554679999997</v>
      </c>
    </row>
    <row r="63" spans="1:55" ht="17.399999999999999" x14ac:dyDescent="0.25">
      <c r="A63" s="5" t="s">
        <v>144</v>
      </c>
      <c r="B63" s="2">
        <f t="shared" si="6"/>
        <v>349696.35</v>
      </c>
      <c r="C63" s="2">
        <v>0</v>
      </c>
      <c r="D63" s="2">
        <v>0</v>
      </c>
      <c r="E63" s="2">
        <v>0</v>
      </c>
      <c r="F63" s="12" t="s">
        <v>119</v>
      </c>
      <c r="G63" s="12" t="s">
        <v>119</v>
      </c>
      <c r="H63" s="12" t="s">
        <v>119</v>
      </c>
      <c r="I63" s="12" t="s">
        <v>119</v>
      </c>
      <c r="J63" s="12" t="s">
        <v>119</v>
      </c>
      <c r="K63" s="12" t="s">
        <v>119</v>
      </c>
      <c r="L63" s="12" t="s">
        <v>119</v>
      </c>
      <c r="M63" s="12" t="s">
        <v>119</v>
      </c>
      <c r="N63" s="12" t="s">
        <v>119</v>
      </c>
      <c r="O63" s="12" t="s">
        <v>119</v>
      </c>
      <c r="P63" s="12" t="s">
        <v>119</v>
      </c>
      <c r="Q63" s="12" t="s">
        <v>119</v>
      </c>
      <c r="R63" s="12" t="s">
        <v>119</v>
      </c>
      <c r="S63" s="12" t="s">
        <v>119</v>
      </c>
      <c r="T63" s="12" t="s">
        <v>119</v>
      </c>
      <c r="U63" s="12" t="s">
        <v>119</v>
      </c>
      <c r="V63" s="12" t="s">
        <v>119</v>
      </c>
      <c r="W63" s="12" t="s">
        <v>119</v>
      </c>
      <c r="X63" s="12" t="s">
        <v>119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119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119</v>
      </c>
      <c r="AD63" s="12" t="s">
        <v>119</v>
      </c>
      <c r="AE63" s="12" t="s">
        <v>119</v>
      </c>
      <c r="AF63" s="12" t="s">
        <v>119</v>
      </c>
      <c r="AG63" s="12" t="s">
        <v>119</v>
      </c>
      <c r="AH63" s="12" t="s">
        <v>119</v>
      </c>
      <c r="AI63" s="12" t="s">
        <v>119</v>
      </c>
      <c r="AJ63" s="12" t="s">
        <v>119</v>
      </c>
      <c r="AK63" s="12">
        <f>IFERROR(INDEX([4]Sheet1!$AE:$AE, MATCH(A63,[4]Sheet1!$AN:$AN, 0)) * 积分!AC63*'系数（护理）'!M16, "--")</f>
        <v>1811</v>
      </c>
      <c r="AL63" s="12">
        <f>IFERROR(INDEX([4]Sheet1!$AF:$AF, MATCH(A63,[4]Sheet1!$AN:$AN, 0)) * 积分!AD63*'系数（护理）'!N16, "--")</f>
        <v>3956.8599999999997</v>
      </c>
      <c r="AM63" s="12">
        <f>IFERROR(INDEX([4]Sheet1!$AG:$AG, MATCH(A63,[4]Sheet1!$AN:$AN, 0)) * 积分!AE63*'系数（护理）'!O16, "--")</f>
        <v>3091</v>
      </c>
      <c r="AN63" s="12">
        <f>IFERROR(INDEX([4]Sheet1!$AH:$AH, MATCH(A63,[4]Sheet1!$AN:$AN, 0)) * 积分!AF63*'系数（护理）'!P16, "--")</f>
        <v>1215.55</v>
      </c>
      <c r="AO63" s="12">
        <f>IFERROR(INDEX([4]Sheet1!$AI:$AI, MATCH(A63,[4]Sheet1!$AN:$AN, 0)) * 积分!AG63*'系数（护理）'!Q16, "--")</f>
        <v>1760.72</v>
      </c>
      <c r="AP63" s="12">
        <f>IFERROR(INDEX([4]Sheet1!$AJ:$AJ, MATCH(A63,[4]Sheet1!$AN:$AN, 0)) * 积分!AH63*'系数（护理）'!R16, "--")</f>
        <v>2796.42</v>
      </c>
      <c r="AQ63" s="12" t="s">
        <v>119</v>
      </c>
      <c r="AR63" s="12" t="s">
        <v>119</v>
      </c>
      <c r="AS63" s="12">
        <f>IFERROR(INDEX([4]Sheet1!$Y:$Y, MATCH(A63,[4]Sheet1!$AN:$AN, 0)) * 积分!AP63*'系数（护理）'!K16, "--")</f>
        <v>0</v>
      </c>
      <c r="AT63" s="2">
        <v>2700</v>
      </c>
      <c r="AU63" s="2">
        <f>IFERROR(INDEX([4]Sheet1!$AL:$AL, MATCH(A63,[4]Sheet1!$AN:$AN, 0)) * 积分!AR63*'系数（护理）'!I16, "--")</f>
        <v>135644.01</v>
      </c>
      <c r="AV63" s="2">
        <f>IFERROR(INDEX([9]Sheet1!$H:$H, MATCH(A63,[9]Sheet1!$B:$B, 0)) * 积分!AS63*'系数（护理）'!H16, "--")</f>
        <v>0</v>
      </c>
      <c r="AW63" s="2">
        <f>IFERROR(INDEX([4]Sheet1!$AK:$AK, MATCH(A63,[4]Sheet1!$AN:$AN, 0)) * 积分!AT63*'系数（护理）'!G16, "--")</f>
        <v>1540</v>
      </c>
      <c r="AX63" s="2">
        <f>IFERROR(INDEX([9]Sheet1!$G:$G, MATCH(A63,[9]Sheet1!$B:$B, 0)) * 积分!AU63*'系数（护理）'!F16, "--")</f>
        <v>102113.19</v>
      </c>
      <c r="AY63" s="2">
        <f>IFERROR(INDEX([9]Sheet1!$F:$F, MATCH(A63,[9]Sheet1!$B:$B, 0)) * 积分!AV63*'系数（护理）'!E16, "--")</f>
        <v>40240</v>
      </c>
      <c r="AZ63" s="2">
        <f>IFERROR(INDEX([9]Sheet1!$E:$E, MATCH(A63,[9]Sheet1!$B:$B, 0)) * 积分!AW63*'系数（护理）'!D16, "--")</f>
        <v>385</v>
      </c>
      <c r="BA63" s="2">
        <f>IFERROR(INDEX([9]Sheet1!$C:$C, MATCH(A63,[9]Sheet1!$B:$B, 0)) * 积分!AX63*'系数（护理）'!C16, "--")</f>
        <v>0</v>
      </c>
      <c r="BB63" s="2">
        <f>IFERROR(INDEX([9]Sheet1!$D:$D, MATCH(A63,[9]Sheet1!$B:$B, 0)) * 积分!AY63*'系数（护理）'!B16, "--")</f>
        <v>0</v>
      </c>
      <c r="BC63" s="2">
        <f>IFERROR(INDEX([9]Sheet1!$I:$I, MATCH(A63,[9]Sheet1!$B:$B, 0)) * 积分!AZ63* '系数（护理）'!L16, "--")</f>
        <v>52442.6</v>
      </c>
    </row>
    <row r="64" spans="1:55" ht="17.399999999999999" x14ac:dyDescent="0.25">
      <c r="A64" s="8" t="s">
        <v>138</v>
      </c>
      <c r="B64" s="4">
        <f t="shared" si="6"/>
        <v>94499.525999999998</v>
      </c>
      <c r="C64" s="4">
        <v>0</v>
      </c>
      <c r="D64" s="4">
        <v>0</v>
      </c>
      <c r="E64" s="4">
        <v>0</v>
      </c>
      <c r="F64" s="7" t="s">
        <v>119</v>
      </c>
      <c r="G64" s="7" t="s">
        <v>119</v>
      </c>
      <c r="H64" s="7" t="s">
        <v>119</v>
      </c>
      <c r="I64" s="7" t="s">
        <v>119</v>
      </c>
      <c r="J64" s="7" t="s">
        <v>119</v>
      </c>
      <c r="K64" s="7" t="s">
        <v>119</v>
      </c>
      <c r="L64" s="7" t="s">
        <v>119</v>
      </c>
      <c r="M64" s="7" t="s">
        <v>119</v>
      </c>
      <c r="N64" s="7" t="s">
        <v>119</v>
      </c>
      <c r="O64" s="7" t="s">
        <v>119</v>
      </c>
      <c r="P64" s="7" t="s">
        <v>119</v>
      </c>
      <c r="Q64" s="7" t="s">
        <v>119</v>
      </c>
      <c r="R64" s="7" t="s">
        <v>119</v>
      </c>
      <c r="S64" s="7" t="s">
        <v>119</v>
      </c>
      <c r="T64" s="7" t="s">
        <v>119</v>
      </c>
      <c r="U64" s="7" t="s">
        <v>119</v>
      </c>
      <c r="V64" s="7" t="s">
        <v>119</v>
      </c>
      <c r="W64" s="7" t="s">
        <v>119</v>
      </c>
      <c r="X64" s="7" t="s">
        <v>119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119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119</v>
      </c>
      <c r="AD64" s="7" t="s">
        <v>119</v>
      </c>
      <c r="AE64" s="7" t="s">
        <v>119</v>
      </c>
      <c r="AF64" s="7" t="s">
        <v>119</v>
      </c>
      <c r="AG64" s="7" t="s">
        <v>119</v>
      </c>
      <c r="AH64" s="7" t="s">
        <v>119</v>
      </c>
      <c r="AI64" s="7" t="s">
        <v>119</v>
      </c>
      <c r="AJ64" s="7" t="s">
        <v>119</v>
      </c>
      <c r="AK64" s="7">
        <f>IFERROR(INDEX([4]Sheet1!$AE:$AE, MATCH(A64,[4]Sheet1!$AN:$AN, 0)) * 积分!AC64*'系数（护理）'!M17, "--")</f>
        <v>6184.72</v>
      </c>
      <c r="AL64" s="7">
        <f>IFERROR(INDEX([4]Sheet1!$AF:$AF, MATCH(A64,[4]Sheet1!$AN:$AN, 0)) * 积分!AD64*'系数（护理）'!N17, "--")</f>
        <v>1758.85</v>
      </c>
      <c r="AM64" s="7">
        <f>IFERROR(INDEX([4]Sheet1!$AG:$AG, MATCH(A64,[4]Sheet1!$AN:$AN, 0)) * 积分!AE64*'系数（护理）'!O17, "--")</f>
        <v>0</v>
      </c>
      <c r="AN64" s="7">
        <f>IFERROR(INDEX([4]Sheet1!$AH:$AH, MATCH(A64,[4]Sheet1!$AN:$AN, 0)) * 积分!AF64*'系数（护理）'!P17, "--")</f>
        <v>0</v>
      </c>
      <c r="AO64" s="7">
        <f>IFERROR(INDEX([4]Sheet1!$AI:$AI, MATCH(A64,[4]Sheet1!$AN:$AN, 0)) * 积分!AG64*'系数（护理）'!Q17, "--")</f>
        <v>0</v>
      </c>
      <c r="AP64" s="7">
        <f>IFERROR(INDEX([4]Sheet1!$AJ:$AJ, MATCH(A64,[4]Sheet1!$AN:$AN, 0)) * 积分!AH64*'系数（护理）'!R17, "--")</f>
        <v>0</v>
      </c>
      <c r="AQ64" s="7" t="s">
        <v>119</v>
      </c>
      <c r="AR64" s="7" t="s">
        <v>119</v>
      </c>
      <c r="AS64" s="7">
        <f>IFERROR(INDEX([4]Sheet1!$Y:$Y, MATCH(A64,[4]Sheet1!$AN:$AN, 0)) * 积分!AP64*'系数（护理）'!K17, "--")</f>
        <v>0</v>
      </c>
      <c r="AT64" s="4">
        <v>-2974.88</v>
      </c>
      <c r="AU64" s="4">
        <f>IFERROR(INDEX([4]Sheet1!$AL:$AL, MATCH(A64,[4]Sheet1!$AN:$AN, 0)) * 积分!AR64*'系数（护理）'!I17, "--")</f>
        <v>46651.22</v>
      </c>
      <c r="AV64" s="4">
        <f>IFERROR(INDEX([9]Sheet1!$H:$H, MATCH(A64,[9]Sheet1!$B:$B, 0)) * 积分!AS64*'系数（护理）'!H17, "--")</f>
        <v>0</v>
      </c>
      <c r="AW64" s="4">
        <f>IFERROR(INDEX([4]Sheet1!$AK:$AK, MATCH(A64,[4]Sheet1!$AN:$AN, 0)) * 积分!AT64*'系数（护理）'!G17, "--")</f>
        <v>300</v>
      </c>
      <c r="AX64" s="4">
        <f>IFERROR(INDEX([9]Sheet1!$G:$G, MATCH(A64,[9]Sheet1!$B:$B, 0)) * 积分!AU64*'系数（护理）'!F17, "--")</f>
        <v>31530.06</v>
      </c>
      <c r="AY64" s="4">
        <f>IFERROR(INDEX([9]Sheet1!$F:$F, MATCH(A64,[9]Sheet1!$B:$B, 0)) * 积分!AV64*'系数（护理）'!E17, "--")</f>
        <v>7248</v>
      </c>
      <c r="AZ64" s="4">
        <f>IFERROR(INDEX([9]Sheet1!$E:$E, MATCH(A64,[9]Sheet1!$B:$B, 0)) * 积分!AW64*'系数（护理）'!D17, "--")</f>
        <v>1243</v>
      </c>
      <c r="BA64" s="4">
        <f>IFERROR(INDEX([9]Sheet1!$C:$C, MATCH(A64,[9]Sheet1!$B:$B, 0)) * 积分!AX64*'系数（护理）'!C17, "--")</f>
        <v>0</v>
      </c>
      <c r="BB64" s="4">
        <f>IFERROR(INDEX([9]Sheet1!$D:$D, MATCH(A64,[9]Sheet1!$B:$B, 0)) * 积分!AY64*'系数（护理）'!B17, "--")</f>
        <v>0</v>
      </c>
      <c r="BC64" s="4">
        <f>IFERROR(INDEX([9]Sheet1!$I:$I, MATCH(A64,[9]Sheet1!$B:$B, 0)) * 积分!AZ64 * '系数（护理）'!L17, "--")</f>
        <v>2558.556</v>
      </c>
    </row>
    <row r="65" spans="1:55" ht="17.399999999999999" x14ac:dyDescent="0.25">
      <c r="A65" s="5" t="s">
        <v>145</v>
      </c>
      <c r="B65" s="2">
        <f t="shared" si="6"/>
        <v>113305.079</v>
      </c>
      <c r="C65" s="2">
        <v>0</v>
      </c>
      <c r="D65" s="2">
        <v>0</v>
      </c>
      <c r="E65" s="2">
        <v>0</v>
      </c>
      <c r="F65" s="12" t="s">
        <v>119</v>
      </c>
      <c r="G65" s="12" t="s">
        <v>119</v>
      </c>
      <c r="H65" s="12" t="s">
        <v>119</v>
      </c>
      <c r="I65" s="12" t="s">
        <v>119</v>
      </c>
      <c r="J65" s="12" t="s">
        <v>119</v>
      </c>
      <c r="K65" s="12" t="s">
        <v>119</v>
      </c>
      <c r="L65" s="12" t="s">
        <v>119</v>
      </c>
      <c r="M65" s="12" t="s">
        <v>119</v>
      </c>
      <c r="N65" s="12" t="s">
        <v>119</v>
      </c>
      <c r="O65" s="12" t="s">
        <v>119</v>
      </c>
      <c r="P65" s="12" t="s">
        <v>119</v>
      </c>
      <c r="Q65" s="12" t="s">
        <v>119</v>
      </c>
      <c r="R65" s="12" t="s">
        <v>119</v>
      </c>
      <c r="S65" s="12" t="s">
        <v>119</v>
      </c>
      <c r="T65" s="12" t="s">
        <v>119</v>
      </c>
      <c r="U65" s="12" t="s">
        <v>119</v>
      </c>
      <c r="V65" s="12" t="s">
        <v>119</v>
      </c>
      <c r="W65" s="12" t="s">
        <v>119</v>
      </c>
      <c r="X65" s="12" t="s">
        <v>119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119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119</v>
      </c>
      <c r="AD65" s="12" t="s">
        <v>119</v>
      </c>
      <c r="AE65" s="12" t="s">
        <v>119</v>
      </c>
      <c r="AF65" s="12" t="s">
        <v>119</v>
      </c>
      <c r="AG65" s="12" t="s">
        <v>119</v>
      </c>
      <c r="AH65" s="12" t="s">
        <v>119</v>
      </c>
      <c r="AI65" s="12" t="s">
        <v>119</v>
      </c>
      <c r="AJ65" s="12" t="s">
        <v>119</v>
      </c>
      <c r="AK65" s="12">
        <f>IFERROR((INDEX([4]Sheet1!$AE:$AE, MATCH("中西医结合科护理",[4]Sheet1!$AN:$AN, 0))+INDEX([4]Sheet1!$AE:$AE, MATCH("乳腺内科护理",[4]Sheet1!$AN:$AN, 0))) * 积分!AC65*'系数（护理）'!M18, "--")</f>
        <v>4495.3599999999997</v>
      </c>
      <c r="AL65" s="12">
        <f>IFERROR(INDEX([4]Sheet1!$AF:$AF, MATCH("中西医结合科护理",[4]Sheet1!$AN:$AN, 0)) * 积分!AD65*'系数（护理）'!N18, "--")</f>
        <v>2002.08</v>
      </c>
      <c r="AM65" s="12">
        <v>0</v>
      </c>
      <c r="AN65" s="12">
        <v>0</v>
      </c>
      <c r="AO65" s="12">
        <v>0</v>
      </c>
      <c r="AP65" s="12">
        <v>0</v>
      </c>
      <c r="AQ65" s="12" t="s">
        <v>119</v>
      </c>
      <c r="AR65" s="12" t="s">
        <v>119</v>
      </c>
      <c r="AS65" s="12">
        <f>IFERROR((INDEX([4]Sheet1!$Y:$Y, MATCH("中西医结合科护理",[4]Sheet1!$AN:$AN, 0)) +INDEX([4]Sheet1!$Y:$Y, MATCH("乳腺内科护理",[4]Sheet1!$AN:$AN, 0)))* 积分!AP65*'系数（护理）'!K18, "--")</f>
        <v>0</v>
      </c>
      <c r="AT65" s="2">
        <v>-3626.45</v>
      </c>
      <c r="AU65" s="2">
        <f>IFERROR((INDEX([4]Sheet1!$AL:$AL, MATCH("中西医结合科护理",[4]Sheet1!$AN:$AN, 0)) +INDEX([4]Sheet1!$AL:$AL, MATCH("乳腺内科护理",[4]Sheet1!$AN:$AN, 0)))* 积分!AR65*'系数（护理）'!I18, "--")</f>
        <v>66034.36</v>
      </c>
      <c r="AV65" s="2">
        <f>IFERROR(INDEX([9]Sheet1!$H:$H, MATCH(A65,[9]Sheet1!$B:$B, 0)) * 积分!AS65*'系数（护理）'!H18, "--")</f>
        <v>0</v>
      </c>
      <c r="AW65" s="2">
        <f>IFERROR((INDEX([4]Sheet1!$AK:$AK, MATCH("中西医结合科护理",[4]Sheet1!$AN:$AN, 0)) +INDEX([4]Sheet1!$AK:$AK, MATCH("乳腺内科护理",[4]Sheet1!$AN:$AN, 0)))* 积分!AT51*'系数（护理）'!G18, "--")</f>
        <v>1440</v>
      </c>
      <c r="AX65" s="2">
        <f>IFERROR(INDEX([9]Sheet1!$G:$G, MATCH(A65,[9]Sheet1!$B:$B, 0)) * 积分!AU65*'系数（护理）'!F18, "--")</f>
        <v>12632.220000000001</v>
      </c>
      <c r="AY65" s="2">
        <f>IFERROR(INDEX([9]Sheet1!$F:$F, MATCH(A65,[9]Sheet1!$B:$B, 0)) * 积分!AV65*'系数（护理）'!E18, "--")</f>
        <v>9880</v>
      </c>
      <c r="AZ65" s="2">
        <f>IFERROR(INDEX([9]Sheet1!$E:$E, MATCH(A65,[9]Sheet1!$B:$B, 0)) * 积分!AW65*'系数（护理）'!D18, "--")</f>
        <v>649</v>
      </c>
      <c r="BA65" s="2">
        <f>IFERROR(INDEX([9]Sheet1!$C:$C, MATCH(A65,[9]Sheet1!$B:$B, 0)) * 积分!AX65*'系数（护理）'!C18, "--")</f>
        <v>0</v>
      </c>
      <c r="BB65" s="2">
        <f>IFERROR(INDEX([9]Sheet1!$D:$D, MATCH(A65,[9]Sheet1!$B:$B, 0)) * 积分!AY65*'系数（护理）'!B18, "--")</f>
        <v>0</v>
      </c>
      <c r="BC65" s="2">
        <f>IFERROR(INDEX([9]Sheet1!$I:$I, MATCH(A65,[9]Sheet1!$B:$B, 0)) * 积分!AZ65* '系数（护理）'!L18, "--")</f>
        <v>19798.508519999999</v>
      </c>
    </row>
    <row r="66" spans="1:55" ht="17.399999999999999" x14ac:dyDescent="0.25">
      <c r="A66" s="8" t="s">
        <v>137</v>
      </c>
      <c r="B66" s="4">
        <f t="shared" si="6"/>
        <v>147515.08900000001</v>
      </c>
      <c r="C66" s="4">
        <v>0</v>
      </c>
      <c r="D66" s="4">
        <v>0</v>
      </c>
      <c r="E66" s="4">
        <v>0</v>
      </c>
      <c r="F66" s="7" t="s">
        <v>119</v>
      </c>
      <c r="G66" s="7" t="s">
        <v>119</v>
      </c>
      <c r="H66" s="7" t="s">
        <v>119</v>
      </c>
      <c r="I66" s="7" t="s">
        <v>119</v>
      </c>
      <c r="J66" s="7" t="s">
        <v>119</v>
      </c>
      <c r="K66" s="7" t="s">
        <v>119</v>
      </c>
      <c r="L66" s="7" t="s">
        <v>119</v>
      </c>
      <c r="M66" s="7" t="s">
        <v>119</v>
      </c>
      <c r="N66" s="7" t="s">
        <v>119</v>
      </c>
      <c r="O66" s="7" t="s">
        <v>119</v>
      </c>
      <c r="P66" s="7" t="s">
        <v>119</v>
      </c>
      <c r="Q66" s="7" t="s">
        <v>119</v>
      </c>
      <c r="R66" s="7" t="s">
        <v>119</v>
      </c>
      <c r="S66" s="7" t="s">
        <v>119</v>
      </c>
      <c r="T66" s="7" t="s">
        <v>119</v>
      </c>
      <c r="U66" s="7" t="s">
        <v>119</v>
      </c>
      <c r="V66" s="7" t="s">
        <v>119</v>
      </c>
      <c r="W66" s="7" t="s">
        <v>119</v>
      </c>
      <c r="X66" s="7" t="s">
        <v>119</v>
      </c>
      <c r="Y66" s="4" t="str" cm="1">
        <f t="array" ref="Y66">IFERROR(INDEX([7]Sheet1!$D:$D, MATCH(1, ([7]Sheet1!$B:$B=A66) * ([7]Sheet1!$C:$C="单位系数"), 0)) * 积分!P66, "--")</f>
        <v>--</v>
      </c>
      <c r="Z66" s="7" t="s">
        <v>119</v>
      </c>
      <c r="AA66" s="4" t="str" cm="1">
        <f t="array" ref="AA66">IFERROR(INDEX([7]Sheet1!$D:$D, MATCH(1, ([7]Sheet1!$B:$B=A66) * ([7]Sheet1!$C:$C="核算金额"), 0)) * 积分!R66, "--")</f>
        <v>--</v>
      </c>
      <c r="AB66" s="4" t="str" cm="1">
        <f t="array" ref="AB66">IFERROR(INDEX([7]Sheet1!$D:$D, MATCH(1, ([7]Sheet1!$B:$B=A66) * ([7]Sheet1!$C:$C="单据"), 0))* 积分!BA66, "--")</f>
        <v>--</v>
      </c>
      <c r="AC66" s="7" t="s">
        <v>119</v>
      </c>
      <c r="AD66" s="7" t="s">
        <v>119</v>
      </c>
      <c r="AE66" s="7" t="s">
        <v>119</v>
      </c>
      <c r="AF66" s="7" t="s">
        <v>119</v>
      </c>
      <c r="AG66" s="7" t="s">
        <v>119</v>
      </c>
      <c r="AH66" s="7" t="s">
        <v>119</v>
      </c>
      <c r="AI66" s="7" t="s">
        <v>119</v>
      </c>
      <c r="AJ66" s="7" t="s">
        <v>119</v>
      </c>
      <c r="AK66" s="7">
        <f>IFERROR(INDEX([4]Sheet1!$AE:$AE, MATCH(A66,[4]Sheet1!$AN:$AN, 0)) * 积分!AC66*'系数（护理）'!M19, "--")</f>
        <v>9581.880000000001</v>
      </c>
      <c r="AL66" s="7">
        <f>IFERROR(INDEX([4]Sheet1!$AF:$AF, MATCH(A66,[4]Sheet1!$AN:$AN, 0)) * 积分!AD66*'系数（护理）'!N19, "--")</f>
        <v>2630.3999999999996</v>
      </c>
      <c r="AM66" s="7">
        <f>IFERROR(INDEX([4]Sheet1!$AG:$AG, MATCH(A66,[4]Sheet1!$AN:$AN, 0)) * 积分!AE66*'系数（护理）'!O19, "--")</f>
        <v>0</v>
      </c>
      <c r="AN66" s="7">
        <f>IFERROR(INDEX([4]Sheet1!$AH:$AH, MATCH(A66,[4]Sheet1!$AN:$AN, 0)) * 积分!AF66*'系数（护理）'!P19, "--")</f>
        <v>0</v>
      </c>
      <c r="AO66" s="7">
        <f>IFERROR(INDEX([4]Sheet1!$AI:$AI, MATCH(A66,[4]Sheet1!$AN:$AN, 0)) * 积分!AG66*'系数（护理）'!Q19, "--")</f>
        <v>0</v>
      </c>
      <c r="AP66" s="7">
        <f>IFERROR(INDEX([4]Sheet1!$AJ:$AJ, MATCH(A66,[4]Sheet1!$AN:$AN, 0)) * 积分!AH66*'系数（护理）'!R19, "--")</f>
        <v>0</v>
      </c>
      <c r="AQ66" s="7" t="s">
        <v>119</v>
      </c>
      <c r="AR66" s="7" t="s">
        <v>119</v>
      </c>
      <c r="AS66" s="7">
        <f>IFERROR(INDEX([4]Sheet1!$Y:$Y, MATCH(A66,[4]Sheet1!$AN:$AN, 0)) * 积分!AP66*'系数（护理）'!K19, "--")</f>
        <v>0</v>
      </c>
      <c r="AT66" s="4">
        <v>-3560.33</v>
      </c>
      <c r="AU66" s="4">
        <f>IFERROR(INDEX([4]Sheet1!$AL:$AL, MATCH(A66,[4]Sheet1!$AN:$AN, 0)) * 积分!AR66*'系数（护理）'!I19, "--")</f>
        <v>89061.42</v>
      </c>
      <c r="AV66" s="4">
        <f>IFERROR(INDEX([9]Sheet1!$H:$H, MATCH(A66,[9]Sheet1!$B:$B, 0)) * 积分!AS66*'系数（护理）'!H19, "--")</f>
        <v>0</v>
      </c>
      <c r="AW66" s="4">
        <f>IFERROR(INDEX([4]Sheet1!$AK:$AK, MATCH(A66,[4]Sheet1!$AN:$AN, 0)) * 积分!AT66*'系数（护理）'!G19, "--")</f>
        <v>360</v>
      </c>
      <c r="AX66" s="4">
        <f>IFERROR(INDEX([9]Sheet1!$G:$G, MATCH(A66,[9]Sheet1!$B:$B, 0)) * 积分!AU66*'系数（护理）'!F19, "--")</f>
        <v>11388.6</v>
      </c>
      <c r="AY66" s="4">
        <f>IFERROR(INDEX([9]Sheet1!$F:$F, MATCH(A66,[9]Sheet1!$B:$B, 0)) * 积分!AV66*'系数（护理）'!E19, "--")</f>
        <v>11496</v>
      </c>
      <c r="AZ66" s="4">
        <f>IFERROR(INDEX([9]Sheet1!$E:$E, MATCH(A66,[9]Sheet1!$B:$B, 0)) * 积分!AW66*'系数（护理）'!D19, "--")</f>
        <v>1386</v>
      </c>
      <c r="BA66" s="4">
        <f>IFERROR(INDEX([9]Sheet1!$C:$C, MATCH(A66,[9]Sheet1!$B:$B, 0)) * 积分!AX66*'系数（护理）'!C19, "--")</f>
        <v>0</v>
      </c>
      <c r="BB66" s="4">
        <f>IFERROR(INDEX([9]Sheet1!$D:$D, MATCH(A66,[9]Sheet1!$B:$B, 0)) * 积分!AY66*'系数（护理）'!B19, "--")</f>
        <v>0</v>
      </c>
      <c r="BC66" s="4">
        <f>IFERROR(INDEX([9]Sheet1!$I:$I, MATCH(A66,[9]Sheet1!$B:$B, 0)) * 积分!AZ66 * '系数（护理）'!L19, "--")</f>
        <v>25171.1194</v>
      </c>
    </row>
    <row r="67" spans="1:55" ht="17.399999999999999" x14ac:dyDescent="0.25">
      <c r="A67" s="5" t="s">
        <v>142</v>
      </c>
      <c r="B67" s="2">
        <f t="shared" si="6"/>
        <v>120774.091</v>
      </c>
      <c r="C67" s="2">
        <v>0</v>
      </c>
      <c r="D67" s="2">
        <v>0</v>
      </c>
      <c r="E67" s="2">
        <v>0</v>
      </c>
      <c r="F67" s="12" t="s">
        <v>119</v>
      </c>
      <c r="G67" s="12" t="s">
        <v>119</v>
      </c>
      <c r="H67" s="12" t="s">
        <v>119</v>
      </c>
      <c r="I67" s="12" t="s">
        <v>119</v>
      </c>
      <c r="J67" s="12" t="s">
        <v>119</v>
      </c>
      <c r="K67" s="12" t="s">
        <v>119</v>
      </c>
      <c r="L67" s="12" t="s">
        <v>119</v>
      </c>
      <c r="M67" s="12" t="s">
        <v>119</v>
      </c>
      <c r="N67" s="12" t="s">
        <v>119</v>
      </c>
      <c r="O67" s="12" t="s">
        <v>119</v>
      </c>
      <c r="P67" s="12" t="s">
        <v>119</v>
      </c>
      <c r="Q67" s="12" t="s">
        <v>119</v>
      </c>
      <c r="R67" s="12" t="s">
        <v>119</v>
      </c>
      <c r="S67" s="12" t="s">
        <v>119</v>
      </c>
      <c r="T67" s="12" t="s">
        <v>119</v>
      </c>
      <c r="U67" s="12" t="s">
        <v>119</v>
      </c>
      <c r="V67" s="12" t="s">
        <v>119</v>
      </c>
      <c r="W67" s="12" t="s">
        <v>119</v>
      </c>
      <c r="X67" s="12" t="s">
        <v>119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119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119</v>
      </c>
      <c r="AD67" s="12" t="s">
        <v>119</v>
      </c>
      <c r="AE67" s="12" t="s">
        <v>119</v>
      </c>
      <c r="AF67" s="12" t="s">
        <v>119</v>
      </c>
      <c r="AG67" s="12" t="s">
        <v>119</v>
      </c>
      <c r="AH67" s="12" t="s">
        <v>119</v>
      </c>
      <c r="AI67" s="12" t="s">
        <v>119</v>
      </c>
      <c r="AJ67" s="12" t="s">
        <v>119</v>
      </c>
      <c r="AK67" s="12">
        <v>0</v>
      </c>
      <c r="AL67" s="12">
        <f>IFERROR(INDEX([4]Sheet1!$AE:$AE, MATCH(A67,[4]Sheet1!$AN:$AN, 0)) * 积分!AD67*'系数（护理）'!N20, "--")</f>
        <v>12223.35</v>
      </c>
      <c r="AM67" s="12">
        <f>IFERROR(INDEX([4]Sheet1!$AF:$AF, MATCH(A67,[4]Sheet1!$AN:$AN, 0)) * 积分!AE67*'系数（护理）'!O20, "--")</f>
        <v>831.72</v>
      </c>
      <c r="AN67" s="12">
        <f>IFERROR(INDEX([4]Sheet1!$AH:$AH, MATCH(A67,[4]Sheet1!$AN:$AN, 0)) * 积分!AF67*'系数（护理）'!P20, "--")</f>
        <v>0</v>
      </c>
      <c r="AO67" s="12">
        <f>IFERROR(INDEX([4]Sheet1!$AI:$AI, MATCH(A67,[4]Sheet1!$AN:$AN, 0)) * 积分!AG67*'系数（护理）'!Q20, "--")</f>
        <v>0</v>
      </c>
      <c r="AP67" s="12">
        <f>IFERROR(INDEX([4]Sheet1!$AJ:$AJ, MATCH(A67,[4]Sheet1!$AN:$AN, 0)) * 积分!AH67*'系数（护理）'!R20, "--")</f>
        <v>0</v>
      </c>
      <c r="AQ67" s="12" t="s">
        <v>119</v>
      </c>
      <c r="AR67" s="12" t="s">
        <v>119</v>
      </c>
      <c r="AS67" s="12">
        <f>IFERROR(INDEX([4]Sheet1!$Y:$Y, MATCH(A67,[4]Sheet1!$AN:$AN, 0)) * 积分!AP67*'系数（护理）'!K20, "--")</f>
        <v>0</v>
      </c>
      <c r="AT67" s="2">
        <v>1000</v>
      </c>
      <c r="AU67" s="2">
        <f>IFERROR(INDEX([4]Sheet1!$AL:$AL, MATCH(A67,[4]Sheet1!$AN:$AN, 0)) * 积分!AR67*'系数（护理）'!I20, "--")</f>
        <v>65866.8</v>
      </c>
      <c r="AV67" s="2">
        <f>IFERROR(INDEX([9]Sheet1!$H:$H, MATCH(A67,[9]Sheet1!$B:$B, 0)) * 积分!AS67*'系数（护理）'!H20, "--")</f>
        <v>0</v>
      </c>
      <c r="AW67" s="2">
        <f>IFERROR(INDEX([4]Sheet1!$AK:$AK, MATCH(A67,[4]Sheet1!$AN:$AN, 0)) * 积分!AT67*'系数（护理）'!G20, "--")</f>
        <v>920</v>
      </c>
      <c r="AX67" s="2">
        <f>IFERROR(INDEX([9]Sheet1!$G:$G, MATCH(A67,[9]Sheet1!$B:$B, 0)) * 积分!AU67*'系数（护理）'!F20, "--")</f>
        <v>29187.000000000004</v>
      </c>
      <c r="AY67" s="2">
        <f>IFERROR(INDEX([9]Sheet1!$F:$F, MATCH(A67,[9]Sheet1!$B:$B, 0)) * 积分!AV67*'系数（护理）'!E20, "--")</f>
        <v>8704</v>
      </c>
      <c r="AZ67" s="2">
        <f>IFERROR(INDEX([9]Sheet1!$E:$E, MATCH(A67,[9]Sheet1!$B:$B, 0)) * 积分!AW67*'系数（护理）'!D20, "--")</f>
        <v>638</v>
      </c>
      <c r="BA67" s="2">
        <f>IFERROR(INDEX([9]Sheet1!$C:$C, MATCH(A67,[9]Sheet1!$B:$B, 0)) * 积分!AX67*'系数（护理）'!C20, "--")</f>
        <v>0</v>
      </c>
      <c r="BB67" s="2">
        <f>IFERROR(INDEX([9]Sheet1!$D:$D, MATCH(A67,[9]Sheet1!$B:$B, 0)) * 积分!AY67*'系数（护理）'!B20, "--")</f>
        <v>0</v>
      </c>
      <c r="BC67" s="2">
        <f>IFERROR(INDEX([9]Sheet1!$I:$I, MATCH(A67,[9]Sheet1!$B:$B, 0)) * 积分!AZ67* '系数（护理）'!L20, "--")</f>
        <v>1403.2205199999999</v>
      </c>
    </row>
  </sheetData>
  <mergeCells count="55">
    <mergeCell ref="F1:F2"/>
    <mergeCell ref="G1:G2"/>
    <mergeCell ref="A1:A2"/>
    <mergeCell ref="B1:B2"/>
    <mergeCell ref="C1:C2"/>
    <mergeCell ref="D1:D2"/>
    <mergeCell ref="E1:E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W1:W2"/>
    <mergeCell ref="X1:X2"/>
    <mergeCell ref="Y1:Y2"/>
    <mergeCell ref="Z1:Z2"/>
    <mergeCell ref="AA1:AA2"/>
    <mergeCell ref="AB1:AB2"/>
    <mergeCell ref="AF1:AF2"/>
    <mergeCell ref="AG1:AG2"/>
    <mergeCell ref="AH1:AH2"/>
    <mergeCell ref="AC1:AC2"/>
    <mergeCell ref="AD1:AD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Q1:AQ2"/>
    <mergeCell ref="AR1:AR2"/>
    <mergeCell ref="AS1:AS2"/>
    <mergeCell ref="AT1:AT2"/>
    <mergeCell ref="AU1:AU2"/>
    <mergeCell ref="BA1:BA2"/>
    <mergeCell ref="BB1:BB2"/>
    <mergeCell ref="BC1:BC2"/>
    <mergeCell ref="AV1:AV2"/>
    <mergeCell ref="AW1:AW2"/>
    <mergeCell ref="AX1:AX2"/>
    <mergeCell ref="AY1:AY2"/>
    <mergeCell ref="AZ1:AZ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67"/>
  <sheetViews>
    <sheetView zoomScaleNormal="100" workbookViewId="0">
      <pane xSplit="1" ySplit="2" topLeftCell="AT3" activePane="bottomRight" state="frozen"/>
      <selection pane="topRight" activeCell="B1" sqref="B1"/>
      <selection pane="bottomLeft" activeCell="A3" sqref="A3"/>
      <selection pane="bottomRight" activeCell="X39" sqref="X39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39" t="s">
        <v>77</v>
      </c>
      <c r="B1" s="39" t="s">
        <v>4</v>
      </c>
      <c r="C1" s="37" t="s">
        <v>5</v>
      </c>
      <c r="D1" s="37" t="s">
        <v>6</v>
      </c>
      <c r="E1" s="37" t="s">
        <v>7</v>
      </c>
      <c r="F1" s="37" t="s">
        <v>8</v>
      </c>
      <c r="G1" s="37" t="s">
        <v>9</v>
      </c>
      <c r="H1" s="37" t="s">
        <v>10</v>
      </c>
      <c r="I1" s="37" t="s">
        <v>11</v>
      </c>
      <c r="J1" s="37" t="s">
        <v>12</v>
      </c>
      <c r="K1" s="37" t="s">
        <v>13</v>
      </c>
      <c r="L1" s="37" t="s">
        <v>14</v>
      </c>
      <c r="M1" s="37" t="s">
        <v>15</v>
      </c>
      <c r="N1" s="37" t="s">
        <v>21</v>
      </c>
      <c r="O1" s="37" t="s">
        <v>22</v>
      </c>
      <c r="P1" s="37" t="s">
        <v>23</v>
      </c>
      <c r="Q1" s="37" t="s">
        <v>24</v>
      </c>
      <c r="R1" s="37" t="s">
        <v>25</v>
      </c>
      <c r="S1" s="37" t="s">
        <v>26</v>
      </c>
      <c r="T1" s="37" t="s">
        <v>27</v>
      </c>
      <c r="U1" s="37" t="s">
        <v>28</v>
      </c>
      <c r="V1" s="37" t="s">
        <v>29</v>
      </c>
      <c r="W1" s="37" t="s">
        <v>30</v>
      </c>
      <c r="X1" s="37" t="s">
        <v>31</v>
      </c>
      <c r="Y1" s="37" t="s">
        <v>32</v>
      </c>
      <c r="Z1" s="37" t="s">
        <v>33</v>
      </c>
      <c r="AA1" s="37" t="s">
        <v>34</v>
      </c>
      <c r="AB1" s="37" t="s">
        <v>35</v>
      </c>
      <c r="AC1" s="37" t="s">
        <v>71</v>
      </c>
      <c r="AD1" s="37" t="s">
        <v>72</v>
      </c>
      <c r="AE1" s="37" t="s">
        <v>73</v>
      </c>
      <c r="AF1" s="37" t="s">
        <v>74</v>
      </c>
      <c r="AG1" s="37" t="s">
        <v>75</v>
      </c>
      <c r="AH1" s="37" t="s">
        <v>76</v>
      </c>
      <c r="AI1" s="37" t="s">
        <v>16</v>
      </c>
      <c r="AJ1" s="37" t="s">
        <v>17</v>
      </c>
      <c r="AK1" s="37" t="s">
        <v>18</v>
      </c>
      <c r="AL1" s="37" t="s">
        <v>19</v>
      </c>
      <c r="AM1" s="37" t="s">
        <v>20</v>
      </c>
      <c r="AN1" s="37" t="s">
        <v>133</v>
      </c>
      <c r="AO1" s="37" t="s">
        <v>134</v>
      </c>
      <c r="AP1" s="37" t="s">
        <v>181</v>
      </c>
      <c r="AQ1" s="37" t="s">
        <v>162</v>
      </c>
      <c r="AR1" s="37" t="s">
        <v>163</v>
      </c>
      <c r="AS1" s="37" t="s">
        <v>164</v>
      </c>
      <c r="AT1" s="37" t="s">
        <v>165</v>
      </c>
      <c r="AU1" s="37" t="s">
        <v>166</v>
      </c>
      <c r="AV1" s="37" t="s">
        <v>167</v>
      </c>
      <c r="AW1" s="37" t="s">
        <v>168</v>
      </c>
      <c r="AX1" s="37" t="s">
        <v>169</v>
      </c>
      <c r="AY1" s="37" t="s">
        <v>170</v>
      </c>
      <c r="AZ1" s="37" t="s">
        <v>171</v>
      </c>
      <c r="BA1" s="41" t="s">
        <v>118</v>
      </c>
    </row>
    <row r="2" spans="1:53" ht="14.4" customHeight="1" x14ac:dyDescent="0.25">
      <c r="A2" s="40"/>
      <c r="B2" s="40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41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7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8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7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8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7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79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8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7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8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7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8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7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8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7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8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Q22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7">
        <v>1</v>
      </c>
    </row>
    <row r="18" spans="1:53" ht="17.399999999999999" x14ac:dyDescent="0.25">
      <c r="A18" s="3" t="s">
        <v>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8">
        <v>1</v>
      </c>
    </row>
    <row r="19" spans="1:53" ht="17.399999999999999" x14ac:dyDescent="0.25">
      <c r="A19" s="1" t="s">
        <v>52</v>
      </c>
      <c r="B19" s="2">
        <v>435.39</v>
      </c>
      <c r="C19" s="2">
        <v>20</v>
      </c>
      <c r="D19" s="2">
        <v>0</v>
      </c>
      <c r="E19" s="2">
        <v>0</v>
      </c>
      <c r="F19" s="2">
        <v>0</v>
      </c>
      <c r="G19" s="2">
        <v>0</v>
      </c>
      <c r="H19" s="2">
        <v>10</v>
      </c>
      <c r="I19" s="2">
        <v>22</v>
      </c>
      <c r="J19" s="2">
        <v>13.8</v>
      </c>
      <c r="K19" s="2">
        <v>9.1999999999999993</v>
      </c>
      <c r="L19" s="2">
        <v>0</v>
      </c>
      <c r="M19" s="2">
        <v>0.09</v>
      </c>
      <c r="N19" s="2">
        <v>150</v>
      </c>
      <c r="O19" s="2">
        <v>24.79</v>
      </c>
      <c r="P19" s="2">
        <v>0</v>
      </c>
      <c r="Q19" s="2">
        <v>10</v>
      </c>
      <c r="R19" s="2">
        <v>0</v>
      </c>
      <c r="S19" s="2">
        <v>50</v>
      </c>
      <c r="T19" s="2">
        <v>22</v>
      </c>
      <c r="U19" s="2">
        <v>1</v>
      </c>
      <c r="V19" s="2">
        <v>1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77.739999999999995</v>
      </c>
      <c r="AD19" s="2">
        <v>92.33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17">
        <v>1</v>
      </c>
    </row>
    <row r="20" spans="1:53" ht="17.399999999999999" x14ac:dyDescent="0.25">
      <c r="A20" s="3" t="s">
        <v>53</v>
      </c>
      <c r="B20" s="4">
        <v>438.27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29.83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127.65</v>
      </c>
      <c r="AD20" s="4">
        <v>116.32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8">
        <v>1</v>
      </c>
    </row>
    <row r="21" spans="1:53" ht="17.399999999999999" x14ac:dyDescent="0.25">
      <c r="A21" s="1" t="s">
        <v>54</v>
      </c>
      <c r="B21" s="2">
        <v>199.62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21.23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166.21</v>
      </c>
      <c r="AD21" s="2">
        <v>191.51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7">
        <v>1</v>
      </c>
    </row>
    <row r="22" spans="1:53" ht="17.399999999999999" x14ac:dyDescent="0.25">
      <c r="A22" s="3" t="s">
        <v>55</v>
      </c>
      <c r="B22" s="4">
        <v>265.17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18.73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336.9</v>
      </c>
      <c r="AD22" s="4">
        <v>229.51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8">
        <v>1</v>
      </c>
    </row>
    <row r="23" spans="1:53" ht="17.399999999999999" x14ac:dyDescent="0.25">
      <c r="A23" s="1" t="s">
        <v>56</v>
      </c>
      <c r="B23" s="2">
        <v>302.25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22.6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192.53</v>
      </c>
      <c r="AD23" s="2">
        <v>167.06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7">
        <v>1</v>
      </c>
    </row>
    <row r="24" spans="1:53" ht="17.399999999999999" x14ac:dyDescent="0.25">
      <c r="A24" s="3" t="s">
        <v>57</v>
      </c>
      <c r="B24" s="4">
        <v>0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560.79999999999995</v>
      </c>
      <c r="Q24" s="4">
        <v>10</v>
      </c>
      <c r="R24" s="4">
        <v>0</v>
      </c>
      <c r="S24" s="4">
        <v>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5.7</v>
      </c>
      <c r="AJ24" s="4">
        <v>9</v>
      </c>
      <c r="AK24" s="4">
        <v>11</v>
      </c>
      <c r="AL24" s="4">
        <v>8</v>
      </c>
      <c r="AM24" s="4">
        <v>0.27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8">
        <v>1</v>
      </c>
    </row>
    <row r="25" spans="1:53" ht="17.399999999999999" x14ac:dyDescent="0.25">
      <c r="A25" s="1" t="s">
        <v>58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62.81</v>
      </c>
      <c r="Q25" s="2">
        <v>10</v>
      </c>
      <c r="R25" s="2">
        <v>0</v>
      </c>
      <c r="S25" s="2">
        <v>0</v>
      </c>
      <c r="T25" s="2">
        <v>0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7">
        <v>1</v>
      </c>
    </row>
    <row r="26" spans="1:53" ht="17.399999999999999" x14ac:dyDescent="0.25">
      <c r="A26" s="3" t="s">
        <v>59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29.86</v>
      </c>
      <c r="Q26" s="4">
        <v>10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8">
        <v>1</v>
      </c>
    </row>
    <row r="27" spans="1:53" ht="17.399999999999999" x14ac:dyDescent="0.25">
      <c r="A27" s="1" t="s">
        <v>60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54.55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0</v>
      </c>
      <c r="W27" s="2">
        <v>0</v>
      </c>
      <c r="X27" s="2">
        <v>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7">
        <v>1</v>
      </c>
    </row>
    <row r="28" spans="1:53" ht="17.399999999999999" x14ac:dyDescent="0.25">
      <c r="A28" s="3" t="s">
        <v>61</v>
      </c>
      <c r="B28" s="4">
        <v>507.64</v>
      </c>
      <c r="C28" s="4">
        <v>20</v>
      </c>
      <c r="D28" s="4">
        <v>30</v>
      </c>
      <c r="E28" s="4">
        <v>80</v>
      </c>
      <c r="F28" s="4">
        <v>160</v>
      </c>
      <c r="G28" s="4">
        <v>320</v>
      </c>
      <c r="H28" s="4">
        <v>30</v>
      </c>
      <c r="I28" s="4">
        <v>22</v>
      </c>
      <c r="J28" s="4">
        <v>13.8</v>
      </c>
      <c r="K28" s="4">
        <v>9.1999999999999993</v>
      </c>
      <c r="L28" s="4">
        <v>30</v>
      </c>
      <c r="M28" s="4">
        <v>0.09</v>
      </c>
      <c r="N28" s="4">
        <v>150</v>
      </c>
      <c r="O28" s="4">
        <v>24.79</v>
      </c>
      <c r="P28" s="4">
        <v>38.5</v>
      </c>
      <c r="Q28" s="4">
        <v>10</v>
      </c>
      <c r="R28" s="4">
        <v>0</v>
      </c>
      <c r="S28" s="4">
        <v>50</v>
      </c>
      <c r="T28" s="4">
        <v>22</v>
      </c>
      <c r="U28" s="4">
        <v>1</v>
      </c>
      <c r="V28" s="4">
        <v>1</v>
      </c>
      <c r="W28" s="4">
        <v>0</v>
      </c>
      <c r="X28" s="4">
        <v>0</v>
      </c>
      <c r="Y28" s="4">
        <v>15</v>
      </c>
      <c r="Z28" s="4">
        <v>40</v>
      </c>
      <c r="AA28" s="4">
        <v>80</v>
      </c>
      <c r="AB28" s="4">
        <v>160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8">
        <v>1</v>
      </c>
    </row>
    <row r="29" spans="1:53" ht="17.399999999999999" x14ac:dyDescent="0.25">
      <c r="A29" s="1" t="s">
        <v>62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2.87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79.900000000000006</v>
      </c>
      <c r="S29" s="2">
        <v>0</v>
      </c>
      <c r="T29" s="2">
        <v>0</v>
      </c>
      <c r="U29" s="2">
        <v>0</v>
      </c>
      <c r="V29" s="2">
        <v>0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7">
        <v>1</v>
      </c>
    </row>
    <row r="30" spans="1:53" ht="17.399999999999999" x14ac:dyDescent="0.25">
      <c r="A30" s="3" t="s">
        <v>63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11.74</v>
      </c>
      <c r="Q30" s="4">
        <v>10</v>
      </c>
      <c r="R30" s="4">
        <v>0</v>
      </c>
      <c r="S30" s="4">
        <v>0</v>
      </c>
      <c r="T30" s="4">
        <v>0</v>
      </c>
      <c r="U30" s="4">
        <v>1</v>
      </c>
      <c r="V30" s="4">
        <v>0</v>
      </c>
      <c r="W30" s="4">
        <v>1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8">
        <v>1</v>
      </c>
    </row>
    <row r="31" spans="1:53" ht="17.399999999999999" x14ac:dyDescent="0.25">
      <c r="A31" s="1" t="s">
        <v>64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11.25</v>
      </c>
      <c r="Q31" s="2">
        <v>10</v>
      </c>
      <c r="R31" s="2">
        <v>0</v>
      </c>
      <c r="S31" s="2">
        <v>0</v>
      </c>
      <c r="T31" s="2">
        <v>0</v>
      </c>
      <c r="U31" s="2">
        <v>1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7">
        <v>1</v>
      </c>
    </row>
    <row r="32" spans="1:53" ht="17.399999999999999" x14ac:dyDescent="0.25">
      <c r="A32" s="3" t="s">
        <v>65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5.6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8">
        <v>1</v>
      </c>
    </row>
    <row r="33" spans="1:53" ht="17.399999999999999" x14ac:dyDescent="0.25">
      <c r="A33" s="1" t="s">
        <v>66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15.2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7">
        <v>1</v>
      </c>
    </row>
    <row r="34" spans="1:53" ht="17.399999999999999" x14ac:dyDescent="0.25">
      <c r="A34" s="3" t="s">
        <v>67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14.35</v>
      </c>
      <c r="Q34" s="4">
        <v>10</v>
      </c>
      <c r="R34" s="4">
        <v>0</v>
      </c>
      <c r="S34" s="4">
        <v>0</v>
      </c>
      <c r="T34" s="4">
        <v>22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8">
        <v>1</v>
      </c>
    </row>
    <row r="35" spans="1:53" ht="17.399999999999999" x14ac:dyDescent="0.25">
      <c r="A35" s="1" t="s">
        <v>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10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7">
        <v>1</v>
      </c>
    </row>
    <row r="36" spans="1:53" ht="17.399999999999999" x14ac:dyDescent="0.25">
      <c r="A36" s="3" t="s">
        <v>69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16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50</v>
      </c>
      <c r="T36" s="4">
        <v>0</v>
      </c>
      <c r="U36" s="4">
        <v>0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8">
        <v>1</v>
      </c>
    </row>
    <row r="37" spans="1:53" ht="17.399999999999999" x14ac:dyDescent="0.25">
      <c r="A37" s="5" t="s">
        <v>26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50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7">
        <v>1</v>
      </c>
    </row>
    <row r="38" spans="1:53" ht="17.399999999999999" x14ac:dyDescent="0.25">
      <c r="A38" s="8" t="s">
        <v>195</v>
      </c>
      <c r="B38" s="9">
        <v>1</v>
      </c>
      <c r="C38" s="9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19.45</v>
      </c>
      <c r="S38" s="9">
        <v>1</v>
      </c>
      <c r="T38" s="9">
        <v>1</v>
      </c>
      <c r="U38" s="9">
        <v>1</v>
      </c>
      <c r="V38" s="9">
        <v>0</v>
      </c>
      <c r="W38" s="9">
        <v>0</v>
      </c>
      <c r="X38" s="9">
        <v>0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1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1.32</v>
      </c>
    </row>
    <row r="39" spans="1:53" ht="17.399999999999999" x14ac:dyDescent="0.25">
      <c r="A39" s="5" t="s">
        <v>126</v>
      </c>
      <c r="B39" s="10">
        <v>1</v>
      </c>
      <c r="C39" s="10">
        <v>1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1</v>
      </c>
      <c r="P39" s="10">
        <v>1</v>
      </c>
      <c r="Q39" s="10">
        <v>1</v>
      </c>
      <c r="R39" s="10">
        <v>83.45</v>
      </c>
      <c r="S39" s="10">
        <v>1</v>
      </c>
      <c r="T39" s="10">
        <v>1</v>
      </c>
      <c r="U39" s="10">
        <v>1</v>
      </c>
      <c r="V39" s="10">
        <v>0</v>
      </c>
      <c r="W39" s="10">
        <v>0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7">
        <v>1.64</v>
      </c>
    </row>
    <row r="40" spans="1:53" ht="17.399999999999999" x14ac:dyDescent="0.25">
      <c r="A40" s="8" t="s">
        <v>121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6.44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8">
        <v>4.72</v>
      </c>
    </row>
    <row r="41" spans="1:53" s="10" customFormat="1" ht="17.399999999999999" x14ac:dyDescent="0.25">
      <c r="A41" s="10" t="s">
        <v>127</v>
      </c>
      <c r="B41" s="10">
        <v>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369.93099999999998</v>
      </c>
      <c r="AO41" s="10">
        <v>7.391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7">
        <v>1</v>
      </c>
    </row>
    <row r="42" spans="1:53" s="9" customFormat="1" ht="17.399999999999999" x14ac:dyDescent="0.25">
      <c r="A42" s="9" t="s">
        <v>132</v>
      </c>
      <c r="B42" s="9">
        <v>0</v>
      </c>
      <c r="C42" s="9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9">
        <v>0</v>
      </c>
      <c r="AL42" s="9">
        <v>0</v>
      </c>
      <c r="AM42" s="9">
        <v>0</v>
      </c>
      <c r="AN42" s="9">
        <v>55.250999999999998</v>
      </c>
      <c r="AO42" s="9">
        <v>1.1040000000000001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>
        <v>0</v>
      </c>
      <c r="AV42" s="9">
        <v>0</v>
      </c>
      <c r="AW42" s="9">
        <v>0</v>
      </c>
      <c r="AX42" s="9">
        <v>0</v>
      </c>
      <c r="AY42" s="9">
        <v>0</v>
      </c>
      <c r="AZ42" s="9">
        <v>0</v>
      </c>
      <c r="BA42" s="18">
        <v>1</v>
      </c>
    </row>
    <row r="43" spans="1:53" ht="17.399999999999999" x14ac:dyDescent="0.25">
      <c r="A43" s="5" t="s">
        <v>128</v>
      </c>
      <c r="B43" s="10">
        <v>1</v>
      </c>
      <c r="C43" s="10">
        <v>1</v>
      </c>
      <c r="D43" s="10">
        <v>1</v>
      </c>
      <c r="E43" s="10">
        <v>1</v>
      </c>
      <c r="F43" s="10">
        <v>1</v>
      </c>
      <c r="G43" s="10">
        <v>1</v>
      </c>
      <c r="H43" s="10">
        <v>1</v>
      </c>
      <c r="I43" s="10">
        <v>1</v>
      </c>
      <c r="J43" s="10">
        <v>1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6.52</v>
      </c>
      <c r="Q43" s="10">
        <v>10</v>
      </c>
      <c r="R43" s="10">
        <v>1</v>
      </c>
      <c r="S43" s="10">
        <v>1</v>
      </c>
      <c r="T43" s="10">
        <v>1</v>
      </c>
      <c r="U43" s="10">
        <v>1</v>
      </c>
      <c r="V43" s="10">
        <v>0</v>
      </c>
      <c r="W43" s="10">
        <v>0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17">
        <v>1</v>
      </c>
    </row>
    <row r="44" spans="1:53" ht="17.399999999999999" x14ac:dyDescent="0.25">
      <c r="A44" s="8" t="s">
        <v>198</v>
      </c>
      <c r="B44" s="9">
        <v>1</v>
      </c>
      <c r="C44" s="9">
        <v>1</v>
      </c>
      <c r="D44" s="9">
        <v>1</v>
      </c>
      <c r="E44" s="9">
        <v>1</v>
      </c>
      <c r="F44" s="9">
        <v>1</v>
      </c>
      <c r="G44" s="9">
        <v>1</v>
      </c>
      <c r="H44" s="9">
        <v>1</v>
      </c>
      <c r="I44" s="9">
        <v>1</v>
      </c>
      <c r="J44" s="9">
        <v>1</v>
      </c>
      <c r="K44" s="9">
        <v>1</v>
      </c>
      <c r="L44" s="9">
        <v>1</v>
      </c>
      <c r="M44" s="9">
        <v>1</v>
      </c>
      <c r="N44" s="9">
        <v>1</v>
      </c>
      <c r="O44" s="9">
        <v>1</v>
      </c>
      <c r="P44" s="9">
        <v>14.16</v>
      </c>
      <c r="Q44" s="9">
        <v>10</v>
      </c>
      <c r="R44" s="9">
        <v>1</v>
      </c>
      <c r="S44" s="9">
        <v>1</v>
      </c>
      <c r="T44" s="9">
        <v>1</v>
      </c>
      <c r="U44" s="9">
        <v>1</v>
      </c>
      <c r="V44" s="9">
        <v>0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1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8">
        <v>1</v>
      </c>
    </row>
    <row r="45" spans="1:53" ht="17.399999999999999" x14ac:dyDescent="0.25">
      <c r="A45" s="5" t="s">
        <v>129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7.59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7">
        <v>1</v>
      </c>
    </row>
    <row r="46" spans="1:53" ht="17.399999999999999" x14ac:dyDescent="0.25">
      <c r="A46" s="8" t="s">
        <v>124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21.06</v>
      </c>
      <c r="Q46" s="9">
        <v>1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8">
        <v>1</v>
      </c>
    </row>
    <row r="47" spans="1:53" ht="17.399999999999999" x14ac:dyDescent="0.25">
      <c r="A47" s="5" t="s">
        <v>130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0.66700000000000004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7">
        <v>1</v>
      </c>
    </row>
    <row r="48" spans="1:53" ht="17.399999999999999" x14ac:dyDescent="0.25">
      <c r="A48" s="8" t="s">
        <v>125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24.76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8">
        <v>1</v>
      </c>
    </row>
    <row r="49" spans="1:53" ht="17.399999999999999" x14ac:dyDescent="0.25">
      <c r="A49" s="5" t="s">
        <v>131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4.4000000000000004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7">
        <v>1</v>
      </c>
    </row>
    <row r="50" spans="1:53" ht="17.399999999999999" x14ac:dyDescent="0.25">
      <c r="A50" s="8" t="s">
        <v>172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9">
        <v>0</v>
      </c>
      <c r="W50" s="9">
        <v>0</v>
      </c>
      <c r="X50" s="9">
        <v>0</v>
      </c>
      <c r="Y50" s="4">
        <v>0</v>
      </c>
      <c r="Z50" s="4">
        <v>0</v>
      </c>
      <c r="AA50" s="4">
        <v>0</v>
      </c>
      <c r="AB50" s="4">
        <v>0</v>
      </c>
      <c r="AC50" s="4">
        <v>117.78</v>
      </c>
      <c r="AD50" s="4">
        <v>154.91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1</v>
      </c>
      <c r="AR50" s="4">
        <v>442.65</v>
      </c>
      <c r="AS50" s="4">
        <v>150</v>
      </c>
      <c r="AT50" s="4">
        <v>20</v>
      </c>
      <c r="AU50" s="4">
        <v>0.27</v>
      </c>
      <c r="AV50" s="4">
        <v>8</v>
      </c>
      <c r="AW50" s="4">
        <v>11</v>
      </c>
      <c r="AX50" s="4">
        <v>5.7</v>
      </c>
      <c r="AY50" s="4">
        <v>9</v>
      </c>
      <c r="AZ50" s="4">
        <v>15.52</v>
      </c>
      <c r="BA50" s="18">
        <v>1</v>
      </c>
    </row>
    <row r="51" spans="1:53" ht="17.399999999999999" x14ac:dyDescent="0.25">
      <c r="A51" s="5" t="s">
        <v>173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10">
        <v>0</v>
      </c>
      <c r="W51" s="10">
        <v>0</v>
      </c>
      <c r="X51" s="10">
        <v>0</v>
      </c>
      <c r="Y51" s="2">
        <v>0</v>
      </c>
      <c r="Z51" s="2">
        <v>0</v>
      </c>
      <c r="AA51" s="2">
        <v>0</v>
      </c>
      <c r="AB51" s="2">
        <v>0</v>
      </c>
      <c r="AC51" s="2">
        <v>509.33</v>
      </c>
      <c r="AD51" s="2">
        <v>213.58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583.30999999999995</v>
      </c>
      <c r="AS51" s="2">
        <v>150</v>
      </c>
      <c r="AT51" s="2">
        <v>20</v>
      </c>
      <c r="AU51" s="2">
        <v>0.27</v>
      </c>
      <c r="AV51" s="2">
        <v>8</v>
      </c>
      <c r="AW51" s="2">
        <v>11</v>
      </c>
      <c r="AX51" s="2">
        <v>5.7</v>
      </c>
      <c r="AY51" s="2">
        <v>9</v>
      </c>
      <c r="AZ51" s="2">
        <v>25.74</v>
      </c>
      <c r="BA51" s="17">
        <v>1</v>
      </c>
    </row>
    <row r="52" spans="1:53" ht="17.399999999999999" x14ac:dyDescent="0.25">
      <c r="A52" s="8" t="s">
        <v>174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96.42</v>
      </c>
      <c r="AD52" s="4">
        <v>82.68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65</v>
      </c>
      <c r="AQ52" s="4">
        <v>1</v>
      </c>
      <c r="AR52" s="4">
        <v>278.47000000000003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13.13</v>
      </c>
      <c r="BA52" s="18">
        <v>1</v>
      </c>
    </row>
    <row r="53" spans="1:53" ht="17.399999999999999" x14ac:dyDescent="0.25">
      <c r="A53" s="5" t="s">
        <v>155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248.94</v>
      </c>
      <c r="AD53" s="2">
        <v>354.05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6.52</v>
      </c>
      <c r="BA53" s="17">
        <v>1</v>
      </c>
    </row>
    <row r="54" spans="1:53" ht="17.399999999999999" x14ac:dyDescent="0.25">
      <c r="A54" s="8" t="s">
        <v>153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104.07</v>
      </c>
      <c r="AD54" s="4">
        <v>195.15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1</v>
      </c>
      <c r="AR54" s="4">
        <v>448.64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6.23</v>
      </c>
      <c r="BA54" s="18">
        <v>1</v>
      </c>
    </row>
    <row r="55" spans="1:53" ht="17.399999999999999" x14ac:dyDescent="0.25">
      <c r="A55" s="5" t="s">
        <v>175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108.04</v>
      </c>
      <c r="AD55" s="2">
        <v>96.61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448.64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17.13</v>
      </c>
      <c r="BA55" s="17">
        <v>1</v>
      </c>
    </row>
    <row r="56" spans="1:53" ht="17.399999999999999" x14ac:dyDescent="0.25">
      <c r="A56" s="8" t="s">
        <v>176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62.95</v>
      </c>
      <c r="AD56" s="4">
        <v>54.62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301.48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15.66</v>
      </c>
      <c r="BA56" s="18">
        <v>1</v>
      </c>
    </row>
    <row r="57" spans="1:53" ht="17.399999999999999" x14ac:dyDescent="0.25">
      <c r="A57" s="5" t="s">
        <v>159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103.04</v>
      </c>
      <c r="AD57" s="2">
        <v>70.19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243.51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16.690000000000001</v>
      </c>
      <c r="BA57" s="17">
        <v>1</v>
      </c>
    </row>
    <row r="58" spans="1:53" ht="17.399999999999999" x14ac:dyDescent="0.25">
      <c r="A58" s="8" t="s">
        <v>177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28.3</v>
      </c>
      <c r="AD58" s="4">
        <v>41.24</v>
      </c>
      <c r="AE58" s="4">
        <v>29.88</v>
      </c>
      <c r="AF58" s="4">
        <v>33.65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65</v>
      </c>
      <c r="AQ58" s="4">
        <v>1</v>
      </c>
      <c r="AR58" s="4">
        <v>360.56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14.32</v>
      </c>
      <c r="BA58" s="18">
        <v>1</v>
      </c>
    </row>
    <row r="59" spans="1:53" ht="17.399999999999999" x14ac:dyDescent="0.25">
      <c r="A59" s="5" t="s">
        <v>178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109.38</v>
      </c>
      <c r="AD59" s="2">
        <v>126.03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219.16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1.3</v>
      </c>
      <c r="BA59" s="17">
        <v>1</v>
      </c>
    </row>
    <row r="60" spans="1:53" ht="17.399999999999999" x14ac:dyDescent="0.25">
      <c r="A60" s="8" t="s">
        <v>160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132.15</v>
      </c>
      <c r="AD60" s="4">
        <v>199.13</v>
      </c>
      <c r="AE60" s="4">
        <v>136.51</v>
      </c>
      <c r="AF60" s="4">
        <v>109.48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502.8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18.04</v>
      </c>
      <c r="BA60" s="18">
        <v>1</v>
      </c>
    </row>
    <row r="61" spans="1:53" ht="17.399999999999999" x14ac:dyDescent="0.25">
      <c r="A61" s="5" t="s">
        <v>158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89.93</v>
      </c>
      <c r="AD61" s="2">
        <v>81.95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302.45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19.22</v>
      </c>
      <c r="BA61" s="17">
        <v>1</v>
      </c>
    </row>
    <row r="62" spans="1:53" ht="17.399999999999999" x14ac:dyDescent="0.25">
      <c r="A62" s="8" t="s">
        <v>161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207.93</v>
      </c>
      <c r="AD62" s="4">
        <v>207.93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8">
        <v>1</v>
      </c>
    </row>
    <row r="63" spans="1:53" ht="17.399999999999999" x14ac:dyDescent="0.25">
      <c r="A63" s="5" t="s">
        <v>157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72.44</v>
      </c>
      <c r="AD63" s="2">
        <v>92.02</v>
      </c>
      <c r="AE63" s="2">
        <v>140.5</v>
      </c>
      <c r="AF63" s="2">
        <v>52.85</v>
      </c>
      <c r="AG63" s="2">
        <v>135.44</v>
      </c>
      <c r="AH63" s="2">
        <v>147.18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447.67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9.4</v>
      </c>
      <c r="BA63" s="17">
        <v>1</v>
      </c>
    </row>
    <row r="64" spans="1:53" ht="17.399999999999999" x14ac:dyDescent="0.25">
      <c r="A64" s="8" t="s">
        <v>154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63.76</v>
      </c>
      <c r="AD64" s="4">
        <v>60.65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1</v>
      </c>
      <c r="AR64" s="4">
        <v>302.93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3.25</v>
      </c>
      <c r="BA64" s="18">
        <v>1</v>
      </c>
    </row>
    <row r="65" spans="1:53" ht="17.399999999999999" x14ac:dyDescent="0.25">
      <c r="A65" s="5" t="s">
        <v>179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280.95999999999998</v>
      </c>
      <c r="AD65" s="2">
        <v>333.68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192.52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17.57</v>
      </c>
      <c r="BA65" s="17">
        <v>1</v>
      </c>
    </row>
    <row r="66" spans="1:53" ht="17.399999999999999" x14ac:dyDescent="0.25">
      <c r="A66" s="8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9">
        <v>0</v>
      </c>
      <c r="W66" s="9">
        <v>0</v>
      </c>
      <c r="X66" s="9">
        <v>0</v>
      </c>
      <c r="Y66" s="4">
        <v>0</v>
      </c>
      <c r="Z66" s="4">
        <v>0</v>
      </c>
      <c r="AA66" s="4">
        <v>0</v>
      </c>
      <c r="AB66" s="4">
        <v>0</v>
      </c>
      <c r="AC66" s="4">
        <v>51.24</v>
      </c>
      <c r="AD66" s="4">
        <v>54.8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</v>
      </c>
      <c r="AR66" s="4">
        <v>302.93</v>
      </c>
      <c r="AS66" s="4">
        <v>150</v>
      </c>
      <c r="AT66" s="4">
        <v>20</v>
      </c>
      <c r="AU66" s="4">
        <v>0.27</v>
      </c>
      <c r="AV66" s="4">
        <v>8</v>
      </c>
      <c r="AW66" s="4">
        <v>11</v>
      </c>
      <c r="AX66" s="4">
        <v>5.7</v>
      </c>
      <c r="AY66" s="4">
        <v>9</v>
      </c>
      <c r="AZ66" s="4">
        <v>17.3</v>
      </c>
      <c r="BA66" s="18">
        <v>1</v>
      </c>
    </row>
    <row r="67" spans="1:53" ht="17.399999999999999" x14ac:dyDescent="0.25">
      <c r="A67" s="5" t="s">
        <v>156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177.15</v>
      </c>
      <c r="AE67" s="2">
        <v>207.93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502.8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1.69</v>
      </c>
      <c r="BA67" s="17">
        <v>1</v>
      </c>
    </row>
  </sheetData>
  <dataConsolidate/>
  <mergeCells count="53">
    <mergeCell ref="G1:G2"/>
    <mergeCell ref="B1:B2"/>
    <mergeCell ref="C1:C2"/>
    <mergeCell ref="D1:D2"/>
    <mergeCell ref="E1:E2"/>
    <mergeCell ref="F1:F2"/>
    <mergeCell ref="N1:N2"/>
    <mergeCell ref="H1:H2"/>
    <mergeCell ref="I1:I2"/>
    <mergeCell ref="J1:J2"/>
    <mergeCell ref="K1:K2"/>
    <mergeCell ref="L1:L2"/>
    <mergeCell ref="M1:M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AN1:AN2"/>
    <mergeCell ref="AO1:AO2"/>
    <mergeCell ref="AP1:AP2"/>
    <mergeCell ref="AQ1:AQ2"/>
    <mergeCell ref="AR1:AR2"/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39" t="s">
        <v>77</v>
      </c>
      <c r="B1" s="39" t="s">
        <v>182</v>
      </c>
      <c r="C1" s="39" t="s">
        <v>183</v>
      </c>
      <c r="D1" s="39" t="s">
        <v>184</v>
      </c>
      <c r="E1" s="39" t="s">
        <v>185</v>
      </c>
      <c r="F1" s="39" t="s">
        <v>186</v>
      </c>
      <c r="G1" s="39" t="s">
        <v>187</v>
      </c>
      <c r="H1" s="39" t="s">
        <v>188</v>
      </c>
      <c r="I1" s="39" t="s">
        <v>189</v>
      </c>
      <c r="J1" s="39" t="s">
        <v>162</v>
      </c>
      <c r="K1" s="39" t="s">
        <v>190</v>
      </c>
      <c r="L1" s="39" t="s">
        <v>191</v>
      </c>
      <c r="M1" s="37" t="s">
        <v>71</v>
      </c>
      <c r="N1" s="37" t="s">
        <v>72</v>
      </c>
      <c r="O1" s="37" t="s">
        <v>73</v>
      </c>
      <c r="P1" s="37" t="s">
        <v>74</v>
      </c>
      <c r="Q1" s="37" t="s">
        <v>75</v>
      </c>
      <c r="R1" s="37" t="s">
        <v>76</v>
      </c>
    </row>
    <row r="2" spans="1:18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38"/>
      <c r="N2" s="38"/>
      <c r="O2" s="38"/>
      <c r="P2" s="38"/>
      <c r="Q2" s="38"/>
      <c r="R2" s="38"/>
    </row>
    <row r="3" spans="1:18" ht="17.399999999999999" x14ac:dyDescent="0.25">
      <c r="A3" s="1" t="s">
        <v>143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141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140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136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135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149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148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151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147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150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146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152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144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1" t="s">
        <v>138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1</v>
      </c>
      <c r="H17" s="13">
        <v>1</v>
      </c>
      <c r="I17" s="13">
        <v>1</v>
      </c>
      <c r="J17" s="13">
        <v>1</v>
      </c>
      <c r="K17" s="13">
        <v>1</v>
      </c>
      <c r="L17" s="13">
        <v>1.008</v>
      </c>
      <c r="M17" s="13">
        <v>1</v>
      </c>
      <c r="N17" s="13">
        <v>1</v>
      </c>
      <c r="O17" s="13">
        <v>1</v>
      </c>
      <c r="P17" s="13">
        <v>1</v>
      </c>
      <c r="Q17" s="13">
        <v>1</v>
      </c>
      <c r="R17" s="13">
        <v>1</v>
      </c>
    </row>
    <row r="18" spans="1:18" ht="17.399999999999999" x14ac:dyDescent="0.25">
      <c r="A18" s="3" t="s">
        <v>145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1.0169999999999999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137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1.0089999999999999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1.004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</sheetData>
  <mergeCells count="18">
    <mergeCell ref="F1:F2"/>
    <mergeCell ref="A1:A2"/>
    <mergeCell ref="B1:B2"/>
    <mergeCell ref="C1:C2"/>
    <mergeCell ref="D1:D2"/>
    <mergeCell ref="E1:E2"/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49"/>
  <sheetViews>
    <sheetView topLeftCell="A33" workbookViewId="0">
      <selection activeCell="C45" sqref="C45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39" t="s">
        <v>77</v>
      </c>
      <c r="B1" s="39" t="s">
        <v>115</v>
      </c>
      <c r="C1" s="39" t="s">
        <v>116</v>
      </c>
    </row>
    <row r="2" spans="1:3" ht="13.8" customHeight="1" x14ac:dyDescent="0.25">
      <c r="A2" s="40" t="s">
        <v>78</v>
      </c>
      <c r="B2" s="40">
        <v>70.849999999999994</v>
      </c>
      <c r="C2" s="40">
        <v>71.849999999999994</v>
      </c>
    </row>
    <row r="3" spans="1:3" ht="17.399999999999999" x14ac:dyDescent="0.25">
      <c r="A3" s="1" t="s">
        <v>80</v>
      </c>
      <c r="B3" s="2">
        <v>219.72</v>
      </c>
      <c r="C3" s="2">
        <v>10023.299999999999</v>
      </c>
    </row>
    <row r="4" spans="1:3" ht="17.399999999999999" x14ac:dyDescent="0.25">
      <c r="A4" s="3" t="s">
        <v>81</v>
      </c>
      <c r="B4" s="4">
        <v>139.38999999999999</v>
      </c>
      <c r="C4" s="4">
        <v>8978.56</v>
      </c>
    </row>
    <row r="5" spans="1:3" ht="17.399999999999999" x14ac:dyDescent="0.25">
      <c r="A5" s="1" t="s">
        <v>82</v>
      </c>
      <c r="B5" s="2">
        <v>270.05</v>
      </c>
      <c r="C5" s="2">
        <v>7487.89</v>
      </c>
    </row>
    <row r="6" spans="1:3" ht="17.399999999999999" x14ac:dyDescent="0.25">
      <c r="A6" s="3" t="s">
        <v>83</v>
      </c>
      <c r="B6" s="4">
        <v>263.27</v>
      </c>
      <c r="C6" s="4">
        <v>9084.16</v>
      </c>
    </row>
    <row r="7" spans="1:3" ht="34.799999999999997" x14ac:dyDescent="0.25">
      <c r="A7" s="1" t="s">
        <v>84</v>
      </c>
      <c r="B7" s="2">
        <v>121.74</v>
      </c>
      <c r="C7" s="2">
        <v>8394.18</v>
      </c>
    </row>
    <row r="8" spans="1:3" ht="34.799999999999997" x14ac:dyDescent="0.25">
      <c r="A8" s="3" t="s">
        <v>85</v>
      </c>
      <c r="B8" s="4">
        <v>132.19</v>
      </c>
      <c r="C8" s="4">
        <v>7920.74</v>
      </c>
    </row>
    <row r="9" spans="1:3" ht="17.399999999999999" x14ac:dyDescent="0.25">
      <c r="A9" s="1" t="s">
        <v>86</v>
      </c>
      <c r="B9" s="2">
        <v>123.44</v>
      </c>
      <c r="C9" s="2">
        <v>5061.12</v>
      </c>
    </row>
    <row r="10" spans="1:3" ht="17.399999999999999" x14ac:dyDescent="0.25">
      <c r="A10" s="3" t="s">
        <v>87</v>
      </c>
      <c r="B10" s="4">
        <v>138.76</v>
      </c>
      <c r="C10" s="4">
        <v>5154.97</v>
      </c>
    </row>
    <row r="11" spans="1:3" ht="17.399999999999999" x14ac:dyDescent="0.25">
      <c r="A11" s="1" t="s">
        <v>88</v>
      </c>
      <c r="B11" s="2">
        <v>140.72</v>
      </c>
      <c r="C11" s="2">
        <v>8365.19</v>
      </c>
    </row>
    <row r="12" spans="1:3" ht="17.399999999999999" x14ac:dyDescent="0.25">
      <c r="A12" s="3" t="s">
        <v>89</v>
      </c>
      <c r="B12" s="4">
        <v>173.97</v>
      </c>
      <c r="C12" s="4">
        <v>6793.56</v>
      </c>
    </row>
    <row r="13" spans="1:3" ht="17.399999999999999" x14ac:dyDescent="0.25">
      <c r="A13" s="1" t="s">
        <v>90</v>
      </c>
      <c r="B13" s="2">
        <v>142.58000000000001</v>
      </c>
      <c r="C13" s="2">
        <v>7558.95</v>
      </c>
    </row>
    <row r="14" spans="1:3" ht="34.799999999999997" x14ac:dyDescent="0.25">
      <c r="A14" s="3" t="s">
        <v>91</v>
      </c>
      <c r="B14" s="4">
        <v>156.37</v>
      </c>
      <c r="C14" s="4">
        <v>9519.7000000000007</v>
      </c>
    </row>
    <row r="15" spans="1:3" ht="17.399999999999999" x14ac:dyDescent="0.25">
      <c r="A15" s="1" t="s">
        <v>92</v>
      </c>
      <c r="B15" s="2">
        <v>128.55000000000001</v>
      </c>
      <c r="C15" s="2">
        <v>9543.92</v>
      </c>
    </row>
    <row r="16" spans="1:3" ht="34.799999999999997" x14ac:dyDescent="0.25">
      <c r="A16" s="3" t="s">
        <v>93</v>
      </c>
      <c r="B16" s="4">
        <v>147.21</v>
      </c>
      <c r="C16" s="4">
        <v>8517.69</v>
      </c>
    </row>
    <row r="17" spans="1:3" ht="17.399999999999999" x14ac:dyDescent="0.25">
      <c r="A17" s="1" t="s">
        <v>94</v>
      </c>
      <c r="B17" s="2">
        <v>122.4</v>
      </c>
      <c r="C17" s="2">
        <v>4637.79</v>
      </c>
    </row>
    <row r="18" spans="1:3" ht="17.399999999999999" x14ac:dyDescent="0.25">
      <c r="A18" s="3" t="s">
        <v>95</v>
      </c>
      <c r="B18" s="4">
        <v>317.57</v>
      </c>
      <c r="C18" s="4">
        <v>26405.72</v>
      </c>
    </row>
    <row r="19" spans="1:3" ht="34.799999999999997" x14ac:dyDescent="0.25">
      <c r="A19" s="1" t="s">
        <v>96</v>
      </c>
      <c r="B19" s="2">
        <v>55.77</v>
      </c>
      <c r="C19" s="2">
        <v>4199.5600000000004</v>
      </c>
    </row>
    <row r="20" spans="1:3" ht="17.399999999999999" x14ac:dyDescent="0.25">
      <c r="A20" s="3" t="s">
        <v>97</v>
      </c>
      <c r="B20" s="4">
        <v>131.06</v>
      </c>
      <c r="C20" s="4">
        <v>3021.13</v>
      </c>
    </row>
    <row r="21" spans="1:3" ht="14.4" customHeight="1" x14ac:dyDescent="0.25">
      <c r="A21" s="1" t="s">
        <v>98</v>
      </c>
      <c r="B21" s="2">
        <v>76.42</v>
      </c>
      <c r="C21" s="2">
        <v>3581.49</v>
      </c>
    </row>
    <row r="22" spans="1:3" ht="14.4" customHeight="1" x14ac:dyDescent="0.25">
      <c r="A22" s="3" t="s">
        <v>99</v>
      </c>
      <c r="B22" s="4">
        <v>115.42</v>
      </c>
      <c r="C22" s="4">
        <v>3834.6</v>
      </c>
    </row>
    <row r="23" spans="1:3" ht="35.4" customHeight="1" x14ac:dyDescent="0.25">
      <c r="A23" s="1" t="s">
        <v>100</v>
      </c>
      <c r="B23" s="2">
        <v>88.88</v>
      </c>
      <c r="C23" s="2">
        <v>4477.88</v>
      </c>
    </row>
    <row r="24" spans="1:3" ht="17.399999999999999" x14ac:dyDescent="0.25">
      <c r="A24" s="3" t="s">
        <v>101</v>
      </c>
      <c r="B24" s="4" t="s">
        <v>102</v>
      </c>
      <c r="C24" s="4">
        <v>1</v>
      </c>
    </row>
    <row r="25" spans="1:3" ht="17.399999999999999" x14ac:dyDescent="0.25">
      <c r="A25" s="1" t="s">
        <v>103</v>
      </c>
      <c r="B25" s="2" t="s">
        <v>102</v>
      </c>
      <c r="C25" s="2">
        <v>1</v>
      </c>
    </row>
    <row r="26" spans="1:3" ht="34.799999999999997" x14ac:dyDescent="0.25">
      <c r="A26" s="3" t="s">
        <v>104</v>
      </c>
      <c r="B26" s="4" t="s">
        <v>102</v>
      </c>
      <c r="C26" s="4" t="s">
        <v>102</v>
      </c>
    </row>
    <row r="27" spans="1:3" ht="17.399999999999999" x14ac:dyDescent="0.25">
      <c r="A27" s="1" t="s">
        <v>105</v>
      </c>
      <c r="B27" s="2" t="s">
        <v>102</v>
      </c>
      <c r="C27" s="2" t="s">
        <v>102</v>
      </c>
    </row>
    <row r="28" spans="1:3" ht="17.399999999999999" x14ac:dyDescent="0.25">
      <c r="A28" s="3" t="s">
        <v>78</v>
      </c>
      <c r="B28" s="6">
        <v>70.849999999999994</v>
      </c>
      <c r="C28" s="4">
        <v>7791.31</v>
      </c>
    </row>
    <row r="29" spans="1:3" ht="17.399999999999999" x14ac:dyDescent="0.25">
      <c r="A29" s="1" t="s">
        <v>106</v>
      </c>
      <c r="B29" s="2">
        <v>133.18</v>
      </c>
      <c r="C29" s="2">
        <v>1</v>
      </c>
    </row>
    <row r="30" spans="1:3" ht="17.399999999999999" x14ac:dyDescent="0.25">
      <c r="A30" s="3" t="s">
        <v>107</v>
      </c>
      <c r="B30" s="4">
        <v>1</v>
      </c>
      <c r="C30" s="4" t="s">
        <v>102</v>
      </c>
    </row>
    <row r="31" spans="1:3" ht="17.399999999999999" x14ac:dyDescent="0.25">
      <c r="A31" s="1" t="s">
        <v>108</v>
      </c>
      <c r="B31" s="2">
        <v>1</v>
      </c>
      <c r="C31" s="2" t="s">
        <v>102</v>
      </c>
    </row>
    <row r="32" spans="1:3" ht="17.399999999999999" x14ac:dyDescent="0.25">
      <c r="A32" s="3" t="s">
        <v>109</v>
      </c>
      <c r="B32" s="4">
        <v>1</v>
      </c>
      <c r="C32" s="4" t="s">
        <v>102</v>
      </c>
    </row>
    <row r="33" spans="1:3" ht="17.399999999999999" x14ac:dyDescent="0.25">
      <c r="A33" s="2" t="s">
        <v>110</v>
      </c>
      <c r="B33" s="2">
        <v>37.880000000000003</v>
      </c>
      <c r="C33" s="2" t="s">
        <v>102</v>
      </c>
    </row>
    <row r="34" spans="1:3" ht="17.399999999999999" x14ac:dyDescent="0.25">
      <c r="A34" s="4" t="s">
        <v>111</v>
      </c>
      <c r="B34" s="4">
        <v>285.37</v>
      </c>
      <c r="C34" s="4">
        <v>1</v>
      </c>
    </row>
    <row r="35" spans="1:3" ht="17.399999999999999" x14ac:dyDescent="0.25">
      <c r="A35" s="2" t="s">
        <v>112</v>
      </c>
      <c r="B35" s="2">
        <v>1</v>
      </c>
      <c r="C35" s="2" t="s">
        <v>102</v>
      </c>
    </row>
    <row r="36" spans="1:3" ht="17.399999999999999" x14ac:dyDescent="0.25">
      <c r="A36" s="4" t="s">
        <v>113</v>
      </c>
      <c r="B36" s="4">
        <v>1</v>
      </c>
      <c r="C36" s="4" t="s">
        <v>102</v>
      </c>
    </row>
    <row r="37" spans="1:3" ht="17.399999999999999" x14ac:dyDescent="0.25">
      <c r="A37" s="2" t="s">
        <v>114</v>
      </c>
      <c r="B37" s="2">
        <v>1</v>
      </c>
      <c r="C37" s="2" t="s">
        <v>102</v>
      </c>
    </row>
    <row r="38" spans="1:3" ht="17.399999999999999" x14ac:dyDescent="0.25">
      <c r="A38" s="8" t="s">
        <v>120</v>
      </c>
      <c r="B38" s="4" t="s">
        <v>102</v>
      </c>
      <c r="C38" s="4" t="s">
        <v>102</v>
      </c>
    </row>
    <row r="39" spans="1:3" ht="17.399999999999999" x14ac:dyDescent="0.25">
      <c r="A39" s="5" t="s">
        <v>126</v>
      </c>
      <c r="B39" s="2" t="s">
        <v>102</v>
      </c>
      <c r="C39" s="2" t="s">
        <v>102</v>
      </c>
    </row>
    <row r="40" spans="1:3" ht="17.399999999999999" x14ac:dyDescent="0.25">
      <c r="A40" s="8" t="s">
        <v>121</v>
      </c>
      <c r="B40" s="4" t="s">
        <v>102</v>
      </c>
      <c r="C40" s="4" t="s">
        <v>102</v>
      </c>
    </row>
    <row r="41" spans="1:3" ht="34.799999999999997" x14ac:dyDescent="0.25">
      <c r="A41" s="5" t="s">
        <v>127</v>
      </c>
      <c r="B41" s="2" t="s">
        <v>102</v>
      </c>
      <c r="C41" s="2" t="s">
        <v>102</v>
      </c>
    </row>
    <row r="42" spans="1:3" ht="17.399999999999999" x14ac:dyDescent="0.25">
      <c r="A42" s="8" t="s">
        <v>122</v>
      </c>
      <c r="B42" s="4" t="s">
        <v>102</v>
      </c>
      <c r="C42" s="4" t="s">
        <v>102</v>
      </c>
    </row>
    <row r="43" spans="1:3" ht="17.399999999999999" x14ac:dyDescent="0.25">
      <c r="A43" s="5" t="s">
        <v>128</v>
      </c>
      <c r="B43" s="2" t="s">
        <v>102</v>
      </c>
      <c r="C43" s="2" t="s">
        <v>102</v>
      </c>
    </row>
    <row r="44" spans="1:3" ht="17.399999999999999" x14ac:dyDescent="0.25">
      <c r="A44" s="8" t="s">
        <v>123</v>
      </c>
      <c r="B44" s="4" t="s">
        <v>102</v>
      </c>
      <c r="C44" s="4" t="s">
        <v>102</v>
      </c>
    </row>
    <row r="45" spans="1:3" ht="17.399999999999999" x14ac:dyDescent="0.25">
      <c r="A45" s="5" t="s">
        <v>129</v>
      </c>
      <c r="B45" s="2" t="s">
        <v>102</v>
      </c>
      <c r="C45" s="2" t="s">
        <v>102</v>
      </c>
    </row>
    <row r="46" spans="1:3" ht="17.399999999999999" x14ac:dyDescent="0.25">
      <c r="A46" s="8" t="s">
        <v>124</v>
      </c>
      <c r="B46" s="4" t="s">
        <v>102</v>
      </c>
      <c r="C46" s="4" t="s">
        <v>102</v>
      </c>
    </row>
    <row r="47" spans="1:3" ht="17.399999999999999" x14ac:dyDescent="0.25">
      <c r="A47" s="5" t="s">
        <v>130</v>
      </c>
      <c r="B47" s="2" t="s">
        <v>102</v>
      </c>
      <c r="C47" s="2" t="s">
        <v>102</v>
      </c>
    </row>
    <row r="48" spans="1:3" ht="17.399999999999999" x14ac:dyDescent="0.25">
      <c r="A48" s="8" t="s">
        <v>125</v>
      </c>
      <c r="B48" s="4" t="s">
        <v>102</v>
      </c>
      <c r="C48" s="4" t="s">
        <v>102</v>
      </c>
    </row>
    <row r="49" spans="1:3" ht="34.799999999999997" x14ac:dyDescent="0.25">
      <c r="A49" s="5" t="s">
        <v>131</v>
      </c>
      <c r="B49" s="2" t="s">
        <v>102</v>
      </c>
      <c r="C49" s="2" t="s">
        <v>102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考核结果</vt:lpstr>
      <vt:lpstr>绩效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2025-03-17T00:24:23Z</dcterms:modified>
</cp:coreProperties>
</file>